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drawings/drawing3.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drawings/drawing4.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5.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drawings/drawing6.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BAU Template Macro\Universal_Template\"/>
    </mc:Choice>
  </mc:AlternateContent>
  <bookViews>
    <workbookView xWindow="480" yWindow="135" windowWidth="27795" windowHeight="12840"/>
  </bookViews>
  <sheets>
    <sheet name="Form" sheetId="8" r:id="rId1"/>
    <sheet name="SMC_mandatory_field_list" sheetId="25" state="hidden" r:id="rId2"/>
    <sheet name="List of Added Securities" sheetId="9" r:id="rId3"/>
    <sheet name="eDealer Mapping to SMC" sheetId="22" r:id="rId4"/>
    <sheet name="Security Type Level 1" sheetId="23" r:id="rId5"/>
    <sheet name="Collateral Type" sheetId="24" r:id="rId6"/>
    <sheet name="Attributes1" sheetId="1" state="hidden" r:id="rId7"/>
    <sheet name="Sink_data" sheetId="15" state="hidden" r:id="rId8"/>
    <sheet name="Attributes2" sheetId="2" state="hidden" r:id="rId9"/>
    <sheet name="Attributes3" sheetId="3" state="hidden" r:id="rId10"/>
    <sheet name="Attributes 4" sheetId="4" state="hidden" r:id="rId11"/>
    <sheet name="Attributes5" sheetId="10" state="hidden" r:id="rId12"/>
    <sheet name="Attributes6" sheetId="11" state="hidden" r:id="rId13"/>
    <sheet name="Attributes7" sheetId="12" state="hidden" r:id="rId14"/>
    <sheet name="Put" sheetId="17" state="hidden" r:id="rId15"/>
    <sheet name="Call" sheetId="18" state="hidden" r:id="rId16"/>
    <sheet name="Step" sheetId="19" state="hidden" r:id="rId17"/>
    <sheet name="SMCI_TEMPLATE" sheetId="20" state="hidden" r:id="rId18"/>
    <sheet name="VersionCheck" sheetId="26" r:id="rId19"/>
  </sheets>
  <externalReferences>
    <externalReference r:id="rId20"/>
  </externalReferences>
  <definedNames>
    <definedName name="_xlnm._FilterDatabase" localSheetId="13" hidden="1">Attributes7!$B$327:$M$4059</definedName>
    <definedName name="_xlnm._FilterDatabase" localSheetId="3" hidden="1">'eDealer Mapping to SMC'!$A$1:$C$70</definedName>
    <definedName name="ABX" localSheetId="6">Attributes1!$BS$56</definedName>
    <definedName name="BOND" localSheetId="6">Attributes1!$BS$91</definedName>
    <definedName name="CallStartDate_list" localSheetId="5">OFFSET([1]Call!$B$1,1,0,COUNTA([1]Call!$B:$B)-1,1)</definedName>
    <definedName name="CallStartDate_list" localSheetId="3">OFFSET([1]Call!$B$1,1,0,COUNTA([1]Call!$B:$B)-1,1)</definedName>
    <definedName name="CallStartDate_list" localSheetId="4">OFFSET([1]Call!$B$1,1,0,COUNTA([1]Call!$B:$B)-1,1)</definedName>
    <definedName name="CallStartDate_list">OFFSET(Call!$B$1,1,0,COUNTA(Call!$B:$B)-1,1)</definedName>
    <definedName name="CMBX" localSheetId="6">Attributes1!$BS$117</definedName>
    <definedName name="CORP">#REF!</definedName>
    <definedName name="EQY_SIC_NAME" localSheetId="13">Attributes7!$B$383</definedName>
    <definedName name="ExternalData_1" localSheetId="18" hidden="1">VersionCheck!$A$1:$A$2</definedName>
    <definedName name="ISSUER_TYP" localSheetId="13">Attributes7!$B$2189</definedName>
    <definedName name="MyRange">Call!$B$2:$B$3</definedName>
    <definedName name="PARTNERSHIP" localSheetId="6">Attributes1!$BR$159</definedName>
    <definedName name="TYPE_OF_ISSUE" localSheetId="13">Attributes7!$B$4052</definedName>
  </definedNames>
  <calcPr calcId="162913"/>
</workbook>
</file>

<file path=xl/calcChain.xml><?xml version="1.0" encoding="utf-8"?>
<calcChain xmlns="http://schemas.openxmlformats.org/spreadsheetml/2006/main">
  <c r="D4" i="25" l="1"/>
  <c r="D5" i="25"/>
  <c r="D6" i="25"/>
  <c r="D7" i="25"/>
  <c r="D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2" i="25"/>
  <c r="D3" i="25"/>
  <c r="AB42" i="8" l="1"/>
  <c r="AB19" i="8" l="1"/>
  <c r="AB30" i="8"/>
  <c r="AB29" i="8"/>
  <c r="AB10" i="8"/>
  <c r="AB12" i="8"/>
  <c r="AB5" i="8" l="1"/>
  <c r="AB4" i="8"/>
  <c r="AB65" i="8"/>
  <c r="AB77" i="8"/>
  <c r="AB76" i="8"/>
  <c r="AB73" i="8"/>
  <c r="AB72" i="8"/>
  <c r="AB71" i="8"/>
  <c r="AB52" i="8"/>
  <c r="AB51" i="8"/>
  <c r="AB50" i="8"/>
  <c r="AB49" i="8"/>
  <c r="AB48" i="8"/>
  <c r="AB46" i="8"/>
  <c r="AB45" i="8"/>
  <c r="AB39" i="8"/>
  <c r="AB36" i="8"/>
  <c r="AB35" i="8"/>
  <c r="AB33" i="8"/>
  <c r="AB32" i="8"/>
  <c r="AB22" i="8"/>
  <c r="AB21" i="8"/>
  <c r="AB20" i="8"/>
  <c r="AB17" i="8"/>
  <c r="AB16" i="8"/>
  <c r="AB14" i="8"/>
  <c r="AB13" i="8"/>
  <c r="AB11" i="8"/>
  <c r="AB8" i="8"/>
  <c r="AB7" i="8"/>
  <c r="AB6" i="8"/>
  <c r="AB27" i="8"/>
  <c r="AB69" i="8"/>
  <c r="AB70" i="8"/>
  <c r="AB68" i="8"/>
  <c r="AB67" i="8"/>
  <c r="AB66" i="8"/>
  <c r="AB26" i="8"/>
  <c r="U25" i="8"/>
  <c r="AB64" i="8"/>
  <c r="V4" i="8" l="1"/>
  <c r="W4" i="8"/>
  <c r="V5" i="8"/>
  <c r="W5" i="8"/>
  <c r="V6" i="8"/>
  <c r="W6" i="8"/>
  <c r="V7" i="8"/>
  <c r="W7" i="8"/>
  <c r="V8" i="8"/>
  <c r="W8" i="8"/>
  <c r="V9" i="8"/>
  <c r="W9" i="8"/>
  <c r="V10" i="8"/>
  <c r="W10" i="8"/>
  <c r="V11" i="8"/>
  <c r="W11" i="8"/>
  <c r="V12" i="8"/>
  <c r="W12" i="8"/>
  <c r="V13" i="8"/>
  <c r="W13" i="8"/>
  <c r="V14" i="8"/>
  <c r="W14" i="8"/>
  <c r="V15" i="8"/>
  <c r="W15" i="8"/>
  <c r="V16" i="8"/>
  <c r="W16" i="8"/>
  <c r="V17" i="8"/>
  <c r="W17" i="8"/>
  <c r="V18" i="8"/>
  <c r="W18" i="8"/>
  <c r="V19" i="8"/>
  <c r="W19" i="8"/>
  <c r="V20" i="8"/>
  <c r="W20" i="8"/>
  <c r="V21" i="8"/>
  <c r="W21" i="8"/>
  <c r="V22" i="8"/>
  <c r="W22" i="8"/>
  <c r="V23" i="8"/>
  <c r="W23" i="8"/>
  <c r="V24" i="8"/>
  <c r="W24" i="8"/>
  <c r="V25" i="8"/>
  <c r="W25" i="8"/>
  <c r="V26" i="8"/>
  <c r="W26" i="8"/>
  <c r="V27" i="8"/>
  <c r="W27" i="8"/>
  <c r="V28" i="8"/>
  <c r="W28" i="8"/>
  <c r="V29" i="8"/>
  <c r="W29" i="8"/>
  <c r="V30" i="8"/>
  <c r="W30" i="8"/>
  <c r="V31" i="8"/>
  <c r="W31" i="8"/>
  <c r="V32" i="8"/>
  <c r="W32" i="8"/>
  <c r="V33" i="8"/>
  <c r="W33" i="8"/>
  <c r="V34" i="8"/>
  <c r="W34" i="8"/>
  <c r="V35" i="8"/>
  <c r="W35" i="8"/>
  <c r="V36" i="8"/>
  <c r="W36" i="8"/>
  <c r="V37" i="8"/>
  <c r="W37" i="8"/>
  <c r="V38" i="8"/>
  <c r="W38" i="8"/>
  <c r="V39" i="8"/>
  <c r="W39" i="8"/>
  <c r="V40" i="8"/>
  <c r="W40" i="8"/>
  <c r="V41" i="8"/>
  <c r="W41" i="8"/>
  <c r="V42" i="8"/>
  <c r="W42" i="8"/>
  <c r="V43" i="8"/>
  <c r="W43" i="8"/>
  <c r="V44" i="8"/>
  <c r="W44" i="8"/>
  <c r="V45" i="8"/>
  <c r="W45" i="8"/>
  <c r="V46" i="8"/>
  <c r="W46" i="8"/>
  <c r="V47" i="8"/>
  <c r="W47" i="8"/>
  <c r="V49" i="8"/>
  <c r="W49" i="8"/>
  <c r="V54" i="8"/>
  <c r="W54" i="8"/>
  <c r="V55" i="8"/>
  <c r="W55" i="8"/>
  <c r="V56" i="8"/>
  <c r="W56" i="8"/>
  <c r="V57" i="8"/>
  <c r="W57" i="8"/>
  <c r="V58" i="8"/>
  <c r="W58" i="8"/>
  <c r="V59" i="8"/>
  <c r="W59" i="8"/>
  <c r="V60" i="8"/>
  <c r="W60" i="8"/>
  <c r="V61" i="8"/>
  <c r="W61" i="8"/>
  <c r="V62" i="8"/>
  <c r="W62" i="8"/>
  <c r="V63" i="8"/>
  <c r="W63" i="8"/>
  <c r="V64" i="8"/>
  <c r="W64" i="8"/>
  <c r="AB18" i="8" l="1"/>
  <c r="Y84" i="8"/>
  <c r="Y85" i="8"/>
  <c r="Z85" i="8"/>
  <c r="Y86" i="8"/>
  <c r="Z86" i="8"/>
  <c r="Y87" i="8"/>
  <c r="Z87" i="8"/>
  <c r="Y88" i="8"/>
  <c r="Z88" i="8"/>
  <c r="Y89" i="8"/>
  <c r="Z89" i="8"/>
  <c r="Y90" i="8"/>
  <c r="Z90" i="8"/>
  <c r="Y91" i="8"/>
  <c r="Z91" i="8"/>
  <c r="Y92" i="8"/>
  <c r="Z92" i="8"/>
  <c r="Y93" i="8"/>
  <c r="Z93" i="8"/>
  <c r="Y94" i="8"/>
  <c r="Z94" i="8"/>
  <c r="Y95" i="8"/>
  <c r="Z95" i="8"/>
  <c r="Y96" i="8"/>
  <c r="Z96" i="8"/>
  <c r="Y97" i="8"/>
  <c r="Z97" i="8"/>
  <c r="Y98" i="8"/>
  <c r="Z98" i="8"/>
  <c r="Y99" i="8"/>
  <c r="Z99" i="8"/>
  <c r="Y100" i="8"/>
  <c r="Z100" i="8"/>
  <c r="Y101" i="8"/>
  <c r="Z101" i="8"/>
  <c r="Y102" i="8"/>
  <c r="Z102" i="8"/>
  <c r="Y103" i="8"/>
  <c r="Z103" i="8"/>
  <c r="Y104" i="8"/>
  <c r="Z104" i="8"/>
  <c r="Y105" i="8"/>
  <c r="Z105" i="8"/>
  <c r="Y106" i="8"/>
  <c r="Z106" i="8"/>
  <c r="Y107" i="8"/>
  <c r="Z107" i="8"/>
  <c r="Y108" i="8"/>
  <c r="Z108" i="8"/>
  <c r="Y109" i="8"/>
  <c r="Z109" i="8"/>
  <c r="Y110" i="8"/>
  <c r="Z110" i="8"/>
  <c r="Y111" i="8"/>
  <c r="Z111" i="8"/>
  <c r="Y112" i="8"/>
  <c r="Z112" i="8"/>
  <c r="Y113" i="8"/>
  <c r="Z113" i="8"/>
  <c r="Y114" i="8"/>
  <c r="Z114" i="8"/>
  <c r="Y115" i="8"/>
  <c r="Z115" i="8"/>
  <c r="Y116" i="8"/>
  <c r="Z116" i="8"/>
  <c r="Y117" i="8"/>
  <c r="Z117" i="8"/>
  <c r="Y118" i="8"/>
  <c r="Z118" i="8"/>
  <c r="Y119" i="8"/>
  <c r="Z119" i="8"/>
  <c r="Y120" i="8"/>
  <c r="Z120" i="8"/>
  <c r="Y121" i="8"/>
  <c r="Z121" i="8"/>
  <c r="Y122" i="8"/>
  <c r="Z122" i="8"/>
  <c r="Y123" i="8"/>
  <c r="Z123" i="8"/>
  <c r="Y124" i="8"/>
  <c r="Z124" i="8"/>
  <c r="Y125" i="8"/>
  <c r="Z125" i="8"/>
  <c r="Y126" i="8"/>
  <c r="Z126" i="8"/>
  <c r="Y127" i="8"/>
  <c r="Z127" i="8"/>
  <c r="Y128" i="8"/>
  <c r="Z128" i="8"/>
  <c r="Y129" i="8"/>
  <c r="Z129" i="8"/>
  <c r="Y130" i="8"/>
  <c r="Z130" i="8"/>
  <c r="Y131" i="8"/>
  <c r="Z131" i="8"/>
  <c r="Y132" i="8"/>
  <c r="Z132" i="8"/>
  <c r="Y133" i="8"/>
  <c r="Z133" i="8"/>
  <c r="Y134" i="8"/>
  <c r="Z134" i="8"/>
  <c r="Y135" i="8"/>
  <c r="Z135" i="8"/>
  <c r="Y136" i="8"/>
  <c r="Z136" i="8"/>
  <c r="Y137" i="8"/>
  <c r="Z137" i="8"/>
  <c r="Y138" i="8"/>
  <c r="Z138" i="8"/>
  <c r="Y139" i="8"/>
  <c r="Z139" i="8"/>
  <c r="Y140" i="8"/>
  <c r="Z140" i="8"/>
  <c r="Y141" i="8"/>
  <c r="Z141" i="8"/>
  <c r="Y142" i="8"/>
  <c r="Z142" i="8"/>
  <c r="Y143" i="8"/>
  <c r="Z143" i="8"/>
  <c r="Y144" i="8"/>
  <c r="Z144" i="8"/>
  <c r="Y145" i="8"/>
  <c r="Z145" i="8"/>
  <c r="Y146" i="8"/>
  <c r="Z146" i="8"/>
  <c r="Y147" i="8"/>
  <c r="Z147" i="8"/>
  <c r="Y148" i="8"/>
  <c r="Z148" i="8"/>
  <c r="Y149" i="8"/>
  <c r="Z149" i="8"/>
  <c r="Y150" i="8"/>
  <c r="Z150" i="8"/>
  <c r="Y151" i="8"/>
  <c r="Z151" i="8"/>
  <c r="Y152" i="8"/>
  <c r="Z152" i="8"/>
  <c r="Y153" i="8"/>
  <c r="Z153" i="8"/>
  <c r="Y154" i="8"/>
  <c r="Z154" i="8"/>
  <c r="Y155" i="8"/>
  <c r="Z155" i="8"/>
  <c r="Y156" i="8"/>
  <c r="Z156" i="8"/>
  <c r="Y157" i="8"/>
  <c r="Z157" i="8"/>
  <c r="Y158" i="8"/>
  <c r="Z158" i="8"/>
  <c r="Y159" i="8"/>
  <c r="Z159" i="8"/>
  <c r="Y160" i="8"/>
  <c r="Z160" i="8"/>
  <c r="Y161" i="8"/>
  <c r="Z161" i="8"/>
  <c r="Y162" i="8"/>
  <c r="Z162" i="8"/>
  <c r="Y163" i="8"/>
  <c r="Z163" i="8"/>
  <c r="Y164" i="8"/>
  <c r="Z164" i="8"/>
  <c r="Y165" i="8"/>
  <c r="Z165" i="8"/>
  <c r="Y166" i="8"/>
  <c r="Z166" i="8"/>
  <c r="Y167" i="8"/>
  <c r="Z167" i="8"/>
  <c r="Y168" i="8"/>
  <c r="Z168" i="8"/>
  <c r="Y169" i="8"/>
  <c r="Z169" i="8"/>
  <c r="Y170" i="8"/>
  <c r="Z170" i="8"/>
  <c r="Y171" i="8"/>
  <c r="Z171" i="8"/>
  <c r="Y172" i="8"/>
  <c r="Z172" i="8"/>
  <c r="Y173" i="8"/>
  <c r="Z173" i="8"/>
  <c r="Y174" i="8"/>
  <c r="Z174" i="8"/>
  <c r="Y175" i="8"/>
  <c r="Z175" i="8"/>
  <c r="Y176" i="8"/>
  <c r="Z176" i="8"/>
  <c r="Y177" i="8"/>
  <c r="Z177" i="8"/>
  <c r="Y178" i="8"/>
  <c r="Z178" i="8"/>
  <c r="Y179" i="8"/>
  <c r="Z179" i="8"/>
  <c r="Y180" i="8"/>
  <c r="Z180" i="8"/>
  <c r="Y181" i="8"/>
  <c r="Z181" i="8"/>
  <c r="Y182" i="8"/>
  <c r="Z182" i="8"/>
  <c r="Y183" i="8"/>
  <c r="Z183" i="8"/>
  <c r="Y184" i="8"/>
  <c r="Z184" i="8"/>
  <c r="Y185" i="8"/>
  <c r="Z185" i="8"/>
  <c r="Y186" i="8"/>
  <c r="Z186" i="8"/>
  <c r="Y187" i="8"/>
  <c r="Z187" i="8"/>
  <c r="Y188" i="8"/>
  <c r="Z188" i="8"/>
  <c r="Y189" i="8"/>
  <c r="Z189" i="8"/>
  <c r="Y190" i="8"/>
  <c r="Z190" i="8"/>
  <c r="Y191" i="8"/>
  <c r="Z191" i="8"/>
  <c r="Y192" i="8"/>
  <c r="Z192" i="8"/>
  <c r="Y193" i="8"/>
  <c r="Z193" i="8"/>
  <c r="Y194" i="8"/>
  <c r="Z194" i="8"/>
  <c r="Y195" i="8"/>
  <c r="Z195" i="8"/>
  <c r="Y196" i="8"/>
  <c r="Z196" i="8"/>
  <c r="Y197" i="8"/>
  <c r="Z197" i="8"/>
  <c r="Y198" i="8"/>
  <c r="Z198" i="8"/>
  <c r="Y199" i="8"/>
  <c r="Z199" i="8"/>
  <c r="Y200" i="8"/>
  <c r="Z200" i="8"/>
  <c r="Y201" i="8"/>
  <c r="Z201" i="8"/>
  <c r="Y202" i="8"/>
  <c r="Z202" i="8"/>
  <c r="Y203" i="8"/>
  <c r="Z203" i="8"/>
  <c r="Y204" i="8"/>
  <c r="Z204" i="8"/>
  <c r="Y205" i="8"/>
  <c r="Z205" i="8"/>
  <c r="Y206" i="8"/>
  <c r="Z206" i="8"/>
  <c r="Y207" i="8"/>
  <c r="Z207" i="8"/>
  <c r="Y208" i="8"/>
  <c r="Z208" i="8"/>
  <c r="Y209" i="8"/>
  <c r="Z209" i="8"/>
  <c r="Y210" i="8"/>
  <c r="Z210" i="8"/>
  <c r="Y211" i="8"/>
  <c r="Z211" i="8"/>
  <c r="Y212" i="8"/>
  <c r="Z212" i="8"/>
  <c r="Y213" i="8"/>
  <c r="Z213" i="8"/>
  <c r="Y214" i="8"/>
  <c r="Z214" i="8"/>
  <c r="Y215" i="8"/>
  <c r="Z215" i="8"/>
  <c r="Y216" i="8"/>
  <c r="Z216" i="8"/>
  <c r="Y217" i="8"/>
  <c r="Z217" i="8"/>
  <c r="Y218" i="8"/>
  <c r="Z218" i="8"/>
  <c r="Y219" i="8"/>
  <c r="Z219" i="8"/>
  <c r="Y220" i="8"/>
  <c r="Z220" i="8"/>
  <c r="Y221" i="8"/>
  <c r="Z221" i="8"/>
  <c r="Y222" i="8"/>
  <c r="Z222" i="8"/>
  <c r="Y223" i="8"/>
  <c r="Z223" i="8"/>
  <c r="Y224" i="8"/>
  <c r="Z224" i="8"/>
  <c r="Y225" i="8"/>
  <c r="Z225" i="8"/>
  <c r="Y226" i="8"/>
  <c r="Z226" i="8"/>
  <c r="Y227" i="8"/>
  <c r="Z227" i="8"/>
  <c r="Y228" i="8"/>
  <c r="Z228" i="8"/>
  <c r="Y229" i="8"/>
  <c r="Z229" i="8"/>
  <c r="Y230" i="8"/>
  <c r="Z230" i="8"/>
  <c r="Y231" i="8"/>
  <c r="Z231" i="8"/>
  <c r="Y232" i="8"/>
  <c r="Z232" i="8"/>
  <c r="Y233" i="8"/>
  <c r="Z233" i="8"/>
  <c r="Y234" i="8"/>
  <c r="Z234" i="8"/>
  <c r="Y235" i="8"/>
  <c r="Z235" i="8"/>
  <c r="Y236" i="8"/>
  <c r="Z236" i="8"/>
  <c r="Y237" i="8"/>
  <c r="Z237" i="8"/>
  <c r="Y238" i="8"/>
  <c r="Z238" i="8"/>
  <c r="Y239" i="8"/>
  <c r="Z239" i="8"/>
  <c r="Y240" i="8"/>
  <c r="Z240" i="8"/>
  <c r="Y241" i="8"/>
  <c r="Z241" i="8"/>
  <c r="Y242" i="8"/>
  <c r="Z242" i="8"/>
  <c r="Y243" i="8"/>
  <c r="Z243" i="8"/>
  <c r="Y244" i="8"/>
  <c r="Z244" i="8"/>
  <c r="Y245" i="8"/>
  <c r="Z245" i="8"/>
  <c r="Y246" i="8"/>
  <c r="Z246" i="8"/>
  <c r="Y247" i="8"/>
  <c r="Z247" i="8"/>
  <c r="Y248" i="8"/>
  <c r="Z248" i="8"/>
  <c r="Y249" i="8"/>
  <c r="Z249" i="8"/>
  <c r="Y250" i="8"/>
  <c r="Z250" i="8"/>
  <c r="Y251" i="8"/>
  <c r="Z251" i="8"/>
  <c r="Y252" i="8"/>
  <c r="Z252" i="8"/>
  <c r="Y253" i="8"/>
  <c r="Z253" i="8"/>
  <c r="Y254" i="8"/>
  <c r="Z254" i="8"/>
  <c r="Y255" i="8"/>
  <c r="Z255" i="8"/>
  <c r="Y256" i="8"/>
  <c r="Z256" i="8"/>
  <c r="Y257" i="8"/>
  <c r="Z257" i="8"/>
  <c r="Y258" i="8"/>
  <c r="Z258" i="8"/>
  <c r="Y259" i="8"/>
  <c r="Z259" i="8"/>
  <c r="Y260" i="8"/>
  <c r="Z260" i="8"/>
  <c r="Y261" i="8"/>
  <c r="Z261" i="8"/>
  <c r="Y262" i="8"/>
  <c r="Z262" i="8"/>
  <c r="Y263" i="8"/>
  <c r="Z263" i="8"/>
  <c r="Y264" i="8"/>
  <c r="Z264" i="8"/>
  <c r="Y265" i="8"/>
  <c r="Z265" i="8"/>
  <c r="Y266" i="8"/>
  <c r="Z266" i="8"/>
  <c r="Y267" i="8"/>
  <c r="Z267" i="8"/>
  <c r="Y268" i="8"/>
  <c r="Z268" i="8"/>
  <c r="Y269" i="8"/>
  <c r="Z269" i="8"/>
  <c r="Y270" i="8"/>
  <c r="Z270" i="8"/>
  <c r="Y271" i="8"/>
  <c r="Z271" i="8"/>
  <c r="Y272" i="8"/>
  <c r="Z272" i="8"/>
  <c r="Y273" i="8"/>
  <c r="Z273" i="8"/>
  <c r="Y274" i="8"/>
  <c r="Z274" i="8"/>
  <c r="Y275" i="8"/>
  <c r="Z275" i="8"/>
  <c r="Y276" i="8"/>
  <c r="Z276" i="8"/>
  <c r="Y277" i="8"/>
  <c r="Z277" i="8"/>
  <c r="Y278" i="8"/>
  <c r="Z278" i="8"/>
  <c r="Y279" i="8"/>
  <c r="Z279" i="8"/>
  <c r="Y280" i="8"/>
  <c r="Z280" i="8"/>
  <c r="Y281" i="8"/>
  <c r="Z281" i="8"/>
  <c r="Y282" i="8"/>
  <c r="Z282" i="8"/>
  <c r="Y283" i="8"/>
  <c r="Z283" i="8"/>
  <c r="Y284" i="8"/>
  <c r="Z284" i="8"/>
  <c r="Y285" i="8"/>
  <c r="Z285" i="8"/>
  <c r="Y286" i="8"/>
  <c r="Z286" i="8"/>
  <c r="Y287" i="8"/>
  <c r="Z287" i="8"/>
  <c r="Y288" i="8"/>
  <c r="Z288" i="8"/>
  <c r="Y289" i="8"/>
  <c r="Z289" i="8"/>
  <c r="Y290" i="8"/>
  <c r="Z290" i="8"/>
  <c r="Y291" i="8"/>
  <c r="Z291" i="8"/>
  <c r="Y292" i="8"/>
  <c r="Z292" i="8"/>
  <c r="Y293" i="8"/>
  <c r="Z293" i="8"/>
  <c r="Y294" i="8"/>
  <c r="Z294" i="8"/>
  <c r="Y295" i="8"/>
  <c r="Z295" i="8"/>
  <c r="Y296" i="8"/>
  <c r="Z296" i="8"/>
  <c r="Y297" i="8"/>
  <c r="Z297" i="8"/>
  <c r="Y298" i="8"/>
  <c r="Z298" i="8"/>
  <c r="Y299" i="8"/>
  <c r="Z299" i="8"/>
  <c r="Y300" i="8"/>
  <c r="Z300" i="8"/>
  <c r="Y301" i="8"/>
  <c r="Z301" i="8"/>
  <c r="Y302" i="8"/>
  <c r="Z302" i="8"/>
  <c r="Y303" i="8"/>
  <c r="Z303" i="8"/>
  <c r="Y304" i="8"/>
  <c r="Z304" i="8"/>
  <c r="Y305" i="8"/>
  <c r="Z305" i="8"/>
  <c r="Y306" i="8"/>
  <c r="Z306" i="8"/>
  <c r="Y307" i="8"/>
  <c r="Z307" i="8"/>
  <c r="Y308" i="8"/>
  <c r="Z308" i="8"/>
  <c r="Y309" i="8"/>
  <c r="Z309" i="8"/>
  <c r="Y310" i="8"/>
  <c r="Z310" i="8"/>
  <c r="Y311" i="8"/>
  <c r="Z311" i="8"/>
  <c r="Y312" i="8"/>
  <c r="Z312" i="8"/>
  <c r="Y313" i="8"/>
  <c r="Z313" i="8"/>
  <c r="Y314" i="8"/>
  <c r="Z314" i="8"/>
  <c r="Y315" i="8"/>
  <c r="Z315" i="8"/>
  <c r="Y316" i="8"/>
  <c r="Z316" i="8"/>
  <c r="Y317" i="8"/>
  <c r="Z317" i="8"/>
  <c r="Y318" i="8"/>
  <c r="Z318" i="8"/>
  <c r="Y319" i="8"/>
  <c r="Z319" i="8"/>
  <c r="Y320" i="8"/>
  <c r="Z320" i="8"/>
  <c r="Y321" i="8"/>
  <c r="Z321" i="8"/>
  <c r="Y322" i="8"/>
  <c r="Z322" i="8"/>
  <c r="Y323" i="8"/>
  <c r="Z323" i="8"/>
  <c r="Y324" i="8"/>
  <c r="Z324" i="8"/>
  <c r="Y325" i="8"/>
  <c r="Z325" i="8"/>
  <c r="Y326" i="8"/>
  <c r="Z326" i="8"/>
  <c r="Y327" i="8"/>
  <c r="Z327" i="8"/>
  <c r="Y328" i="8"/>
  <c r="Z328" i="8"/>
  <c r="Y329" i="8"/>
  <c r="Z329" i="8"/>
  <c r="Y330" i="8"/>
  <c r="Z330" i="8"/>
  <c r="Y331" i="8"/>
  <c r="Z331" i="8"/>
  <c r="Y332" i="8"/>
  <c r="Z332" i="8"/>
  <c r="Y333" i="8"/>
  <c r="Z333" i="8"/>
  <c r="Y334" i="8"/>
  <c r="Z334" i="8"/>
  <c r="Y335" i="8"/>
  <c r="Z335" i="8"/>
  <c r="Y336" i="8"/>
  <c r="Z336" i="8"/>
  <c r="Y337" i="8"/>
  <c r="Z337" i="8"/>
  <c r="Y338" i="8"/>
  <c r="Z338" i="8"/>
  <c r="Y339" i="8"/>
  <c r="Z339" i="8"/>
  <c r="Y340" i="8"/>
  <c r="Z340" i="8"/>
  <c r="Y341" i="8"/>
  <c r="Z341" i="8"/>
  <c r="Y342" i="8"/>
  <c r="Z342" i="8"/>
  <c r="Y343" i="8"/>
  <c r="Z343" i="8"/>
  <c r="Y344" i="8"/>
  <c r="Z344" i="8"/>
  <c r="Y345" i="8"/>
  <c r="Z345" i="8"/>
  <c r="Y346" i="8"/>
  <c r="Z346" i="8"/>
  <c r="Y347" i="8"/>
  <c r="Z347" i="8"/>
  <c r="Y348" i="8"/>
  <c r="Z348" i="8"/>
  <c r="Y349" i="8"/>
  <c r="Z349" i="8"/>
  <c r="Y350" i="8"/>
  <c r="Z350" i="8"/>
  <c r="Y351" i="8"/>
  <c r="Z351" i="8"/>
  <c r="Y352" i="8"/>
  <c r="Z352" i="8"/>
  <c r="Y353" i="8"/>
  <c r="Z353" i="8"/>
  <c r="Y354" i="8"/>
  <c r="Z354" i="8"/>
  <c r="Y355" i="8"/>
  <c r="Z355" i="8"/>
  <c r="Y356" i="8"/>
  <c r="Z356" i="8"/>
  <c r="Y357" i="8"/>
  <c r="Z357" i="8"/>
  <c r="Y358" i="8"/>
  <c r="Z358" i="8"/>
  <c r="Y359" i="8"/>
  <c r="Z359" i="8"/>
  <c r="Y360" i="8"/>
  <c r="Z360" i="8"/>
  <c r="Y361" i="8"/>
  <c r="Z361" i="8"/>
  <c r="Y362" i="8"/>
  <c r="Z362" i="8"/>
  <c r="Y363" i="8"/>
  <c r="Z363" i="8"/>
  <c r="Y364" i="8"/>
  <c r="Z364" i="8"/>
  <c r="Y365" i="8"/>
  <c r="Z365" i="8"/>
  <c r="Y366" i="8"/>
  <c r="Z366" i="8"/>
  <c r="Y367" i="8"/>
  <c r="Z367" i="8"/>
  <c r="Y368" i="8"/>
  <c r="Z368" i="8"/>
  <c r="Y369" i="8"/>
  <c r="Z369" i="8"/>
  <c r="Y370" i="8"/>
  <c r="Z370" i="8"/>
  <c r="Y371" i="8"/>
  <c r="Z371" i="8"/>
  <c r="Y372" i="8"/>
  <c r="Z372" i="8"/>
  <c r="Y373" i="8"/>
  <c r="Z373" i="8"/>
  <c r="Y374" i="8"/>
  <c r="Z374" i="8"/>
  <c r="Y375" i="8"/>
  <c r="Z375" i="8"/>
  <c r="Y376" i="8"/>
  <c r="Z376" i="8"/>
  <c r="Y377" i="8"/>
  <c r="Z377" i="8"/>
  <c r="Y378" i="8"/>
  <c r="Z378" i="8"/>
  <c r="Y379" i="8"/>
  <c r="Z379" i="8"/>
  <c r="Y380" i="8"/>
  <c r="Z380" i="8"/>
  <c r="Y381" i="8"/>
  <c r="Z381" i="8"/>
  <c r="Y382" i="8"/>
  <c r="Z382" i="8"/>
  <c r="Y383" i="8"/>
  <c r="Z383" i="8"/>
  <c r="Y384" i="8"/>
  <c r="Z384" i="8"/>
  <c r="Y385" i="8"/>
  <c r="Z385" i="8"/>
  <c r="Y386" i="8"/>
  <c r="Z386" i="8"/>
  <c r="Y387" i="8"/>
  <c r="Z387" i="8"/>
  <c r="Y388" i="8"/>
  <c r="Z388" i="8"/>
  <c r="Y389" i="8"/>
  <c r="Z389" i="8"/>
  <c r="Y390" i="8"/>
  <c r="Z390" i="8"/>
  <c r="Y391" i="8"/>
  <c r="Z391" i="8"/>
  <c r="Y392" i="8"/>
  <c r="Z392" i="8"/>
  <c r="Y393" i="8"/>
  <c r="Z393" i="8"/>
  <c r="Y394" i="8"/>
  <c r="Z394" i="8"/>
  <c r="Y395" i="8"/>
  <c r="Z395" i="8"/>
  <c r="Y396" i="8"/>
  <c r="Z396" i="8"/>
  <c r="Y397" i="8"/>
  <c r="Z397" i="8"/>
  <c r="Y398" i="8"/>
  <c r="Z398" i="8"/>
  <c r="Y399" i="8"/>
  <c r="Z399" i="8"/>
  <c r="Y400" i="8"/>
  <c r="Z400" i="8"/>
  <c r="Y401" i="8"/>
  <c r="Z401" i="8"/>
  <c r="Y402" i="8"/>
  <c r="Z402" i="8"/>
  <c r="Y403" i="8"/>
  <c r="Z403" i="8"/>
  <c r="Y404" i="8"/>
  <c r="Z404" i="8"/>
  <c r="Y405" i="8"/>
  <c r="Z405" i="8"/>
  <c r="Y406" i="8"/>
  <c r="Z406" i="8"/>
  <c r="Y407" i="8"/>
  <c r="Z407" i="8"/>
  <c r="Y408" i="8"/>
  <c r="Z408" i="8"/>
  <c r="Y409" i="8"/>
  <c r="Z409" i="8"/>
  <c r="Y410" i="8"/>
  <c r="Z410" i="8"/>
  <c r="Y411" i="8"/>
  <c r="Z411" i="8"/>
  <c r="Y412" i="8"/>
  <c r="Z412" i="8"/>
  <c r="Y413" i="8"/>
  <c r="Z413" i="8"/>
  <c r="Y414" i="8"/>
  <c r="Z414" i="8"/>
  <c r="Y415" i="8"/>
  <c r="Z415" i="8"/>
  <c r="Y416" i="8"/>
  <c r="Z416" i="8"/>
  <c r="Y417" i="8"/>
  <c r="Z417" i="8"/>
  <c r="Y418" i="8"/>
  <c r="Z418" i="8"/>
  <c r="Y419" i="8"/>
  <c r="Z419" i="8"/>
  <c r="Y420" i="8"/>
  <c r="Z420" i="8"/>
  <c r="Y421" i="8"/>
  <c r="Z421" i="8"/>
  <c r="Y422" i="8"/>
  <c r="Z422" i="8"/>
  <c r="Y423" i="8"/>
  <c r="Z423" i="8"/>
  <c r="Y424" i="8"/>
  <c r="Z424" i="8"/>
  <c r="Y425" i="8"/>
  <c r="Z425" i="8"/>
  <c r="Y426" i="8"/>
  <c r="Z426" i="8"/>
  <c r="Y427" i="8"/>
  <c r="Z427" i="8"/>
  <c r="Y428" i="8"/>
  <c r="Z428" i="8"/>
  <c r="Y429" i="8"/>
  <c r="Z429" i="8"/>
  <c r="Y430" i="8"/>
  <c r="Z430" i="8"/>
  <c r="Y431" i="8"/>
  <c r="Z431" i="8"/>
  <c r="Y432" i="8"/>
  <c r="Z432" i="8"/>
  <c r="Y433" i="8"/>
  <c r="Z433" i="8"/>
  <c r="Y434" i="8"/>
  <c r="Z434" i="8"/>
  <c r="Y435" i="8"/>
  <c r="Z435" i="8"/>
  <c r="Y436" i="8"/>
  <c r="Z436" i="8"/>
  <c r="Y437" i="8"/>
  <c r="Z437" i="8"/>
  <c r="Y438" i="8"/>
  <c r="Z438" i="8"/>
  <c r="Y439" i="8"/>
  <c r="Z439" i="8"/>
  <c r="Y440" i="8"/>
  <c r="Z440" i="8"/>
  <c r="Y441" i="8"/>
  <c r="Z441" i="8"/>
  <c r="Y442" i="8"/>
  <c r="Z442" i="8"/>
  <c r="Y443" i="8"/>
  <c r="Z443" i="8"/>
  <c r="Y444" i="8"/>
  <c r="Z444" i="8"/>
  <c r="Y445" i="8"/>
  <c r="Z445" i="8"/>
  <c r="Y446" i="8"/>
  <c r="Z446" i="8"/>
  <c r="Y447" i="8"/>
  <c r="Z447" i="8"/>
  <c r="Y448" i="8"/>
  <c r="Z448" i="8"/>
  <c r="Y449" i="8"/>
  <c r="Z449" i="8"/>
  <c r="Y450" i="8"/>
  <c r="Z450" i="8"/>
  <c r="Y451" i="8"/>
  <c r="Z451" i="8"/>
  <c r="Y452" i="8"/>
  <c r="Z452" i="8"/>
  <c r="Y453" i="8"/>
  <c r="Z453" i="8"/>
  <c r="Y454" i="8"/>
  <c r="Z454" i="8"/>
  <c r="Y455" i="8"/>
  <c r="Z455" i="8"/>
  <c r="Y456" i="8"/>
  <c r="Z456" i="8"/>
  <c r="Y457" i="8"/>
  <c r="Z457" i="8"/>
  <c r="Y458" i="8"/>
  <c r="Z458" i="8"/>
  <c r="Y459" i="8"/>
  <c r="Z459" i="8"/>
  <c r="Y460" i="8"/>
  <c r="Z460" i="8"/>
  <c r="Y461" i="8"/>
  <c r="Z461" i="8"/>
  <c r="Y462" i="8"/>
  <c r="Z462" i="8"/>
  <c r="Y463" i="8"/>
  <c r="Z463" i="8"/>
  <c r="Y464" i="8"/>
  <c r="Z464" i="8"/>
  <c r="Y465" i="8"/>
  <c r="Z465" i="8"/>
  <c r="Y466" i="8"/>
  <c r="Z466" i="8"/>
  <c r="Y467" i="8"/>
  <c r="Z467" i="8"/>
  <c r="Y468" i="8"/>
  <c r="Z468" i="8"/>
  <c r="Y469" i="8"/>
  <c r="Z469" i="8"/>
  <c r="Y470" i="8"/>
  <c r="Z470" i="8"/>
  <c r="Y471" i="8"/>
  <c r="Z471" i="8"/>
  <c r="Y472" i="8"/>
  <c r="Z472" i="8"/>
  <c r="Y473" i="8"/>
  <c r="Z473" i="8"/>
  <c r="Y474" i="8"/>
  <c r="Z474" i="8"/>
  <c r="Y475" i="8"/>
  <c r="Z475" i="8"/>
  <c r="Y476" i="8"/>
  <c r="Z476" i="8"/>
  <c r="Y477" i="8"/>
  <c r="Z477" i="8"/>
  <c r="Y478" i="8"/>
  <c r="Z478" i="8"/>
  <c r="Y479" i="8"/>
  <c r="Z479" i="8"/>
  <c r="Y480" i="8"/>
  <c r="Z480" i="8"/>
  <c r="Y481" i="8"/>
  <c r="Z481" i="8"/>
  <c r="Y482" i="8"/>
  <c r="Z482" i="8"/>
  <c r="Y483" i="8"/>
  <c r="Z483" i="8"/>
  <c r="Y484" i="8"/>
  <c r="Z484" i="8"/>
  <c r="Y485" i="8"/>
  <c r="Z485" i="8"/>
  <c r="Y486" i="8"/>
  <c r="Z486" i="8"/>
  <c r="Y487" i="8"/>
  <c r="Z487" i="8"/>
  <c r="Y488" i="8"/>
  <c r="Z488" i="8"/>
  <c r="Y489" i="8"/>
  <c r="Z489" i="8"/>
  <c r="Y490" i="8"/>
  <c r="Z490" i="8"/>
  <c r="Y491" i="8"/>
  <c r="Z491" i="8"/>
  <c r="Y492" i="8"/>
  <c r="Z492" i="8"/>
  <c r="Y493" i="8"/>
  <c r="Z493" i="8"/>
  <c r="Y494" i="8"/>
  <c r="Z494" i="8"/>
  <c r="Y495" i="8"/>
  <c r="Z495" i="8"/>
  <c r="Y496" i="8"/>
  <c r="Z496" i="8"/>
  <c r="Y497" i="8"/>
  <c r="Z497" i="8"/>
  <c r="Y498" i="8"/>
  <c r="Z498" i="8"/>
  <c r="Y499" i="8"/>
  <c r="Z499" i="8"/>
  <c r="Y500" i="8"/>
  <c r="Z500" i="8"/>
  <c r="Y501" i="8"/>
  <c r="Z501" i="8"/>
  <c r="Y502" i="8"/>
  <c r="Z502" i="8"/>
  <c r="Y503" i="8"/>
  <c r="Z503" i="8"/>
  <c r="Y504" i="8"/>
  <c r="Z504" i="8"/>
  <c r="Y505" i="8"/>
  <c r="Z505" i="8"/>
  <c r="Y506" i="8"/>
  <c r="Z506" i="8"/>
  <c r="Y507" i="8"/>
  <c r="Z507" i="8"/>
  <c r="Y508" i="8"/>
  <c r="Z508" i="8"/>
  <c r="Y509" i="8"/>
  <c r="Z509" i="8"/>
  <c r="Y510" i="8"/>
  <c r="Z510" i="8"/>
  <c r="Y511" i="8"/>
  <c r="Z511" i="8"/>
  <c r="Y512" i="8"/>
  <c r="Z512" i="8"/>
  <c r="Y513" i="8"/>
  <c r="Z513" i="8"/>
  <c r="Y514" i="8"/>
  <c r="Z514" i="8"/>
  <c r="Y515" i="8"/>
  <c r="Z515" i="8"/>
  <c r="Y516" i="8"/>
  <c r="Z516" i="8"/>
  <c r="Y517" i="8"/>
  <c r="Z517" i="8"/>
  <c r="Y518" i="8"/>
  <c r="Z518" i="8"/>
  <c r="Y519" i="8"/>
  <c r="Z519" i="8"/>
  <c r="Y520" i="8"/>
  <c r="Z520" i="8"/>
  <c r="Y521" i="8"/>
  <c r="Z521" i="8"/>
  <c r="Y522" i="8"/>
  <c r="Z522" i="8"/>
  <c r="Y523" i="8"/>
  <c r="Z523" i="8"/>
  <c r="Y524" i="8"/>
  <c r="Z524" i="8"/>
  <c r="Y525" i="8"/>
  <c r="Z525" i="8"/>
  <c r="Y526" i="8"/>
  <c r="Z526" i="8"/>
  <c r="Y527" i="8"/>
  <c r="Z527" i="8"/>
  <c r="Y528" i="8"/>
  <c r="Z528" i="8"/>
  <c r="Y529" i="8"/>
  <c r="Z529" i="8"/>
  <c r="Y530" i="8"/>
  <c r="Z530" i="8"/>
  <c r="Y531" i="8"/>
  <c r="Z531" i="8"/>
  <c r="Y532" i="8"/>
  <c r="Z532" i="8"/>
  <c r="Y533" i="8"/>
  <c r="Z533" i="8"/>
  <c r="Y534" i="8"/>
  <c r="Z534" i="8"/>
  <c r="Y535" i="8"/>
  <c r="Z535" i="8"/>
  <c r="Y536" i="8"/>
  <c r="Z536" i="8"/>
  <c r="Y537" i="8"/>
  <c r="Z537" i="8"/>
  <c r="Y538" i="8"/>
  <c r="Z538" i="8"/>
  <c r="Y539" i="8"/>
  <c r="Z539" i="8"/>
  <c r="Y540" i="8"/>
  <c r="Z540" i="8"/>
  <c r="Y541" i="8"/>
  <c r="Z541" i="8"/>
  <c r="Y542" i="8"/>
  <c r="Z542" i="8"/>
  <c r="Y543" i="8"/>
  <c r="Z543" i="8"/>
  <c r="Y544" i="8"/>
  <c r="Z544" i="8"/>
  <c r="Y545" i="8"/>
  <c r="Z545" i="8"/>
  <c r="Y546" i="8"/>
  <c r="Z546" i="8"/>
  <c r="Y547" i="8"/>
  <c r="Z547" i="8"/>
  <c r="Y548" i="8"/>
  <c r="Z548" i="8"/>
  <c r="Y549" i="8"/>
  <c r="Z549" i="8"/>
  <c r="Y550" i="8"/>
  <c r="Z550" i="8"/>
  <c r="Y551" i="8"/>
  <c r="Z551" i="8"/>
  <c r="Y552" i="8"/>
  <c r="Z552" i="8"/>
  <c r="Y553" i="8"/>
  <c r="Z553" i="8"/>
  <c r="Y554" i="8"/>
  <c r="Z554" i="8"/>
  <c r="Y555" i="8"/>
  <c r="Z555" i="8"/>
  <c r="Y556" i="8"/>
  <c r="Z556" i="8"/>
  <c r="Y557" i="8"/>
  <c r="Z557" i="8"/>
  <c r="Y558" i="8"/>
  <c r="Z558" i="8"/>
  <c r="Y559" i="8"/>
  <c r="Z559" i="8"/>
  <c r="Y560" i="8"/>
  <c r="Z560" i="8"/>
  <c r="Y561" i="8"/>
  <c r="Z561" i="8"/>
  <c r="Y562" i="8"/>
  <c r="Z562" i="8"/>
  <c r="Y563" i="8"/>
  <c r="Z563" i="8"/>
  <c r="Y564" i="8"/>
  <c r="Z564" i="8"/>
  <c r="Y565" i="8"/>
  <c r="Z565" i="8"/>
  <c r="Y566" i="8"/>
  <c r="Z566" i="8"/>
  <c r="Y567" i="8"/>
  <c r="Z567" i="8"/>
  <c r="Y568" i="8"/>
  <c r="Z568" i="8"/>
  <c r="Y569" i="8"/>
  <c r="Z569" i="8"/>
  <c r="Y570" i="8"/>
  <c r="Z570" i="8"/>
  <c r="Y571" i="8"/>
  <c r="Z571" i="8"/>
  <c r="Y572" i="8"/>
  <c r="Z572" i="8"/>
  <c r="Y573" i="8"/>
  <c r="Z573" i="8"/>
  <c r="Y574" i="8"/>
  <c r="Z574" i="8"/>
  <c r="Y575" i="8"/>
  <c r="Z575" i="8"/>
  <c r="Y576" i="8"/>
  <c r="Z576" i="8"/>
  <c r="Y577" i="8"/>
  <c r="Z577" i="8"/>
  <c r="Y578" i="8"/>
  <c r="Z578" i="8"/>
  <c r="Y579" i="8"/>
  <c r="Z579" i="8"/>
  <c r="Y580" i="8"/>
  <c r="Z580" i="8"/>
  <c r="Y581" i="8"/>
  <c r="Z581" i="8"/>
  <c r="Y582" i="8"/>
  <c r="Z582" i="8"/>
  <c r="Y583" i="8"/>
  <c r="Z583" i="8"/>
  <c r="Y584" i="8"/>
  <c r="Z584" i="8"/>
  <c r="Y585" i="8"/>
  <c r="Z585" i="8"/>
  <c r="Y586" i="8"/>
  <c r="Z586" i="8"/>
  <c r="Y587" i="8"/>
  <c r="Z587" i="8"/>
  <c r="Y588" i="8"/>
  <c r="Z588" i="8"/>
  <c r="Y589" i="8"/>
  <c r="Z589" i="8"/>
  <c r="Y590" i="8"/>
  <c r="Z590" i="8"/>
  <c r="Y591" i="8"/>
  <c r="Z591" i="8"/>
  <c r="Y592" i="8"/>
  <c r="Z592" i="8"/>
  <c r="Y593" i="8"/>
  <c r="Z593" i="8"/>
  <c r="Y594" i="8"/>
  <c r="Z594" i="8"/>
  <c r="Y595" i="8"/>
  <c r="Z595" i="8"/>
  <c r="Y596" i="8"/>
  <c r="Z596" i="8"/>
  <c r="Y597" i="8"/>
  <c r="Z597" i="8"/>
  <c r="Y598" i="8"/>
  <c r="Z598" i="8"/>
  <c r="Y599" i="8"/>
  <c r="Z599" i="8"/>
  <c r="Y600" i="8"/>
  <c r="Z600" i="8"/>
  <c r="Y601" i="8"/>
  <c r="Z601" i="8"/>
  <c r="Y602" i="8"/>
  <c r="Z602" i="8"/>
  <c r="Y603" i="8"/>
  <c r="Z603" i="8"/>
  <c r="Y604" i="8"/>
  <c r="Z604" i="8"/>
  <c r="Y605" i="8"/>
  <c r="Z605" i="8"/>
  <c r="Y606" i="8"/>
  <c r="Z606" i="8"/>
  <c r="Y607" i="8"/>
  <c r="Z607" i="8"/>
  <c r="Y608" i="8"/>
  <c r="Z608" i="8"/>
  <c r="Y609" i="8"/>
  <c r="Z609" i="8"/>
  <c r="Y610" i="8"/>
  <c r="Z610" i="8"/>
  <c r="Y611" i="8"/>
  <c r="Z611" i="8"/>
  <c r="Y612" i="8"/>
  <c r="Z612" i="8"/>
  <c r="Y613" i="8"/>
  <c r="Z613" i="8"/>
  <c r="Y614" i="8"/>
  <c r="Z614" i="8"/>
  <c r="Y615" i="8"/>
  <c r="Z615" i="8"/>
  <c r="Y616" i="8"/>
  <c r="Z616" i="8"/>
  <c r="Y617" i="8"/>
  <c r="Z617" i="8"/>
  <c r="Y618" i="8"/>
  <c r="Z618" i="8"/>
  <c r="Y619" i="8"/>
  <c r="Z619" i="8"/>
  <c r="Y620" i="8"/>
  <c r="Z620" i="8"/>
  <c r="Y621" i="8"/>
  <c r="Z621" i="8"/>
  <c r="Y622" i="8"/>
  <c r="Z622" i="8"/>
  <c r="Y623" i="8"/>
  <c r="Z623" i="8"/>
  <c r="Y624" i="8"/>
  <c r="Z624" i="8"/>
  <c r="Y625" i="8"/>
  <c r="Z625" i="8"/>
  <c r="Y626" i="8"/>
  <c r="Z626" i="8"/>
  <c r="Y627" i="8"/>
  <c r="Z627" i="8"/>
  <c r="Y628" i="8"/>
  <c r="Z628" i="8"/>
  <c r="Y629" i="8"/>
  <c r="Z629" i="8"/>
  <c r="Y630" i="8"/>
  <c r="Z630" i="8"/>
  <c r="Y631" i="8"/>
  <c r="Z631" i="8"/>
  <c r="Y632" i="8"/>
  <c r="Z632" i="8"/>
  <c r="Y633" i="8"/>
  <c r="Z633" i="8"/>
  <c r="Y634" i="8"/>
  <c r="Z634" i="8"/>
  <c r="Y635" i="8"/>
  <c r="Z635" i="8"/>
  <c r="Y636" i="8"/>
  <c r="Z636" i="8"/>
  <c r="Y637" i="8"/>
  <c r="Z637" i="8"/>
  <c r="Y638" i="8"/>
  <c r="Z638" i="8"/>
  <c r="Y639" i="8"/>
  <c r="Z639" i="8"/>
  <c r="Y640" i="8"/>
  <c r="Z640" i="8"/>
  <c r="Y641" i="8"/>
  <c r="Z641" i="8"/>
  <c r="Y642" i="8"/>
  <c r="Z642" i="8"/>
  <c r="Y643" i="8"/>
  <c r="Z643" i="8"/>
  <c r="Y644" i="8"/>
  <c r="Z644" i="8"/>
  <c r="Y645" i="8"/>
  <c r="Z645" i="8"/>
  <c r="Y646" i="8"/>
  <c r="Z646" i="8"/>
  <c r="Y647" i="8"/>
  <c r="Z647" i="8"/>
  <c r="Y648" i="8"/>
  <c r="Z648" i="8"/>
  <c r="Y649" i="8"/>
  <c r="Z649" i="8"/>
  <c r="Y650" i="8"/>
  <c r="Z650" i="8"/>
  <c r="Y651" i="8"/>
  <c r="Z651" i="8"/>
  <c r="Y652" i="8"/>
  <c r="Z652" i="8"/>
  <c r="Y653" i="8"/>
  <c r="Z653" i="8"/>
  <c r="Y654" i="8"/>
  <c r="Z654" i="8"/>
  <c r="Y655" i="8"/>
  <c r="Z655" i="8"/>
  <c r="Y656" i="8"/>
  <c r="Z656" i="8"/>
  <c r="Y657" i="8"/>
  <c r="Z657" i="8"/>
  <c r="Y658" i="8"/>
  <c r="Z658" i="8"/>
  <c r="Y659" i="8"/>
  <c r="Z659" i="8"/>
  <c r="Y660" i="8"/>
  <c r="Z660" i="8"/>
  <c r="Y661" i="8"/>
  <c r="Z661" i="8"/>
  <c r="Y662" i="8"/>
  <c r="Z662" i="8"/>
  <c r="Y663" i="8"/>
  <c r="Z663" i="8"/>
  <c r="Y664" i="8"/>
  <c r="Z664" i="8"/>
  <c r="Y665" i="8"/>
  <c r="Z665" i="8"/>
  <c r="Y666" i="8"/>
  <c r="Z666" i="8"/>
  <c r="Y667" i="8"/>
  <c r="Z667" i="8"/>
  <c r="Y668" i="8"/>
  <c r="Z668" i="8"/>
  <c r="Y669" i="8"/>
  <c r="Z669" i="8"/>
  <c r="Y670" i="8"/>
  <c r="Z670" i="8"/>
  <c r="Y671" i="8"/>
  <c r="Z671" i="8"/>
  <c r="Y672" i="8"/>
  <c r="Z672" i="8"/>
  <c r="Y673" i="8"/>
  <c r="Z673" i="8"/>
  <c r="Y674" i="8"/>
  <c r="Z674" i="8"/>
  <c r="Y675" i="8"/>
  <c r="Z675" i="8"/>
  <c r="Y676" i="8"/>
  <c r="Z676" i="8"/>
  <c r="Y677" i="8"/>
  <c r="Z677" i="8"/>
  <c r="Y678" i="8"/>
  <c r="Z678" i="8"/>
  <c r="Y679" i="8"/>
  <c r="Z679" i="8"/>
  <c r="Y680" i="8"/>
  <c r="Z680" i="8"/>
  <c r="Y681" i="8"/>
  <c r="Z681" i="8"/>
  <c r="Y682" i="8"/>
  <c r="Z682" i="8"/>
  <c r="Y683" i="8"/>
  <c r="Z683" i="8"/>
  <c r="Y684" i="8"/>
  <c r="Z684" i="8"/>
  <c r="Y685" i="8"/>
  <c r="Z685" i="8"/>
  <c r="Y686" i="8"/>
  <c r="Z686" i="8"/>
  <c r="Y687" i="8"/>
  <c r="Z687" i="8"/>
  <c r="Y688" i="8"/>
  <c r="Z688" i="8"/>
  <c r="Y689" i="8"/>
  <c r="Z689" i="8"/>
  <c r="Y690" i="8"/>
  <c r="Z690" i="8"/>
  <c r="Y691" i="8"/>
  <c r="Z691" i="8"/>
  <c r="Y692" i="8"/>
  <c r="Z692" i="8"/>
  <c r="Y693" i="8"/>
  <c r="Z693" i="8"/>
  <c r="Y694" i="8"/>
  <c r="Z694" i="8"/>
  <c r="Y695" i="8"/>
  <c r="Z695" i="8"/>
  <c r="Y696" i="8"/>
  <c r="Z696" i="8"/>
  <c r="Y697" i="8"/>
  <c r="Z697" i="8"/>
  <c r="Y698" i="8"/>
  <c r="Z698" i="8"/>
  <c r="Y699" i="8"/>
  <c r="Z699" i="8"/>
  <c r="Y700" i="8"/>
  <c r="Z700" i="8"/>
  <c r="Y701" i="8"/>
  <c r="Z701" i="8"/>
  <c r="Y702" i="8"/>
  <c r="Z702" i="8"/>
  <c r="Y703" i="8"/>
  <c r="Z703" i="8"/>
  <c r="Y704" i="8"/>
  <c r="Z704" i="8"/>
  <c r="Y705" i="8"/>
  <c r="Z705" i="8"/>
  <c r="Y706" i="8"/>
  <c r="Z706" i="8"/>
  <c r="Y707" i="8"/>
  <c r="Z707" i="8"/>
  <c r="Y708" i="8"/>
  <c r="Z708" i="8"/>
  <c r="Y709" i="8"/>
  <c r="Z709" i="8"/>
  <c r="Y710" i="8"/>
  <c r="Z710" i="8"/>
  <c r="Y711" i="8"/>
  <c r="Z711" i="8"/>
  <c r="Y712" i="8"/>
  <c r="Z712" i="8"/>
  <c r="Y713" i="8"/>
  <c r="Z713" i="8"/>
  <c r="Y714" i="8"/>
  <c r="Z714" i="8"/>
  <c r="Y715" i="8"/>
  <c r="Z715" i="8"/>
  <c r="Y716" i="8"/>
  <c r="Z716" i="8"/>
  <c r="Y717" i="8"/>
  <c r="Z717" i="8"/>
  <c r="Y718" i="8"/>
  <c r="Z718" i="8"/>
  <c r="Y719" i="8"/>
  <c r="Z719" i="8"/>
  <c r="Y720" i="8"/>
  <c r="Z720" i="8"/>
  <c r="Y721" i="8"/>
  <c r="Z721" i="8"/>
  <c r="Y722" i="8"/>
  <c r="Z722" i="8"/>
  <c r="Y723" i="8"/>
  <c r="Z723" i="8"/>
  <c r="Y724" i="8"/>
  <c r="Z724" i="8"/>
  <c r="Y725" i="8"/>
  <c r="Z725" i="8"/>
  <c r="Y726" i="8"/>
  <c r="Z726" i="8"/>
  <c r="Y727" i="8"/>
  <c r="Z727" i="8"/>
  <c r="Y728" i="8"/>
  <c r="Z728" i="8"/>
  <c r="Y729" i="8"/>
  <c r="Z729" i="8"/>
  <c r="Y730" i="8"/>
  <c r="Z730" i="8"/>
  <c r="Y731" i="8"/>
  <c r="Z731" i="8"/>
  <c r="Y732" i="8"/>
  <c r="Z732" i="8"/>
  <c r="Y733" i="8"/>
  <c r="Z733" i="8"/>
  <c r="Y734" i="8"/>
  <c r="Z734" i="8"/>
  <c r="Y735" i="8"/>
  <c r="Z735" i="8"/>
  <c r="Y736" i="8"/>
  <c r="Z736" i="8"/>
  <c r="Y737" i="8"/>
  <c r="Z737" i="8"/>
  <c r="Y738" i="8"/>
  <c r="Z738" i="8"/>
  <c r="Y739" i="8"/>
  <c r="Z739" i="8"/>
  <c r="Y740" i="8"/>
  <c r="Z740" i="8"/>
  <c r="Y741" i="8"/>
  <c r="Z741" i="8"/>
  <c r="Y742" i="8"/>
  <c r="Z742" i="8"/>
  <c r="Y743" i="8"/>
  <c r="Z743" i="8"/>
  <c r="Y744" i="8"/>
  <c r="Z744" i="8"/>
  <c r="Y745" i="8"/>
  <c r="Z745" i="8"/>
  <c r="Y746" i="8"/>
  <c r="Z746" i="8"/>
  <c r="Y747" i="8"/>
  <c r="Z747" i="8"/>
  <c r="Y748" i="8"/>
  <c r="Z748" i="8"/>
  <c r="Y749" i="8"/>
  <c r="Z749" i="8"/>
  <c r="Y750" i="8"/>
  <c r="Z750" i="8"/>
  <c r="Y751" i="8"/>
  <c r="Z751" i="8"/>
  <c r="Y752" i="8"/>
  <c r="Z752" i="8"/>
  <c r="Y753" i="8"/>
  <c r="Z753" i="8"/>
  <c r="Y754" i="8"/>
  <c r="Z754" i="8"/>
  <c r="Y755" i="8"/>
  <c r="Z755" i="8"/>
  <c r="Y756" i="8"/>
  <c r="Z756" i="8"/>
  <c r="Y757" i="8"/>
  <c r="Z757" i="8"/>
  <c r="Y758" i="8"/>
  <c r="Z758" i="8"/>
  <c r="Y759" i="8"/>
  <c r="Z759" i="8"/>
  <c r="Y760" i="8"/>
  <c r="Z760" i="8"/>
  <c r="Y761" i="8"/>
  <c r="Z761" i="8"/>
  <c r="Y762" i="8"/>
  <c r="Z762" i="8"/>
  <c r="Y763" i="8"/>
  <c r="Z763" i="8"/>
  <c r="Y764" i="8"/>
  <c r="Z764" i="8"/>
  <c r="Y765" i="8"/>
  <c r="Z765" i="8"/>
  <c r="Y766" i="8"/>
  <c r="Z766" i="8"/>
  <c r="Y767" i="8"/>
  <c r="Z767" i="8"/>
  <c r="Y768" i="8"/>
  <c r="Z768" i="8"/>
  <c r="Y769" i="8"/>
  <c r="Z769" i="8"/>
  <c r="Y770" i="8"/>
  <c r="Z770" i="8"/>
  <c r="Y771" i="8"/>
  <c r="Z771" i="8"/>
  <c r="Y772" i="8"/>
  <c r="Z772" i="8"/>
  <c r="Y773" i="8"/>
  <c r="Z773" i="8"/>
  <c r="Y774" i="8"/>
  <c r="Z774" i="8"/>
  <c r="Y775" i="8"/>
  <c r="Z775" i="8"/>
  <c r="Y776" i="8"/>
  <c r="Z776" i="8"/>
  <c r="Y777" i="8"/>
  <c r="Z777" i="8"/>
  <c r="Y778" i="8"/>
  <c r="Z778" i="8"/>
  <c r="Y779" i="8"/>
  <c r="Z779" i="8"/>
  <c r="Y780" i="8"/>
  <c r="Z780" i="8"/>
  <c r="Y781" i="8"/>
  <c r="Z781" i="8"/>
  <c r="Y782" i="8"/>
  <c r="Z782" i="8"/>
  <c r="Y783" i="8"/>
  <c r="Z783" i="8"/>
  <c r="Y784" i="8"/>
  <c r="Z784" i="8"/>
  <c r="Y785" i="8"/>
  <c r="Z785" i="8"/>
  <c r="Y786" i="8"/>
  <c r="Z786" i="8"/>
  <c r="Y787" i="8"/>
  <c r="Z787" i="8"/>
  <c r="Y788" i="8"/>
  <c r="Z788" i="8"/>
  <c r="Y789" i="8"/>
  <c r="Z789" i="8"/>
  <c r="Y790" i="8"/>
  <c r="Z790" i="8"/>
  <c r="Y791" i="8"/>
  <c r="Z791" i="8"/>
  <c r="Y792" i="8"/>
  <c r="Z792" i="8"/>
  <c r="Y793" i="8"/>
  <c r="Z793" i="8"/>
  <c r="Y794" i="8"/>
  <c r="Z794" i="8"/>
  <c r="Y795" i="8"/>
  <c r="Z795" i="8"/>
  <c r="Y796" i="8"/>
  <c r="Z796" i="8"/>
  <c r="Y797" i="8"/>
  <c r="Z797" i="8"/>
  <c r="Y798" i="8"/>
  <c r="Z798" i="8"/>
  <c r="Y799" i="8"/>
  <c r="Z799" i="8"/>
  <c r="Y800" i="8"/>
  <c r="Z800" i="8"/>
  <c r="Y801" i="8"/>
  <c r="Z801" i="8"/>
  <c r="Y802" i="8"/>
  <c r="Z802" i="8"/>
  <c r="Y803" i="8"/>
  <c r="Z803" i="8"/>
  <c r="Y804" i="8"/>
  <c r="Z804" i="8"/>
  <c r="Y805" i="8"/>
  <c r="Z805" i="8"/>
  <c r="Y806" i="8"/>
  <c r="Z806" i="8"/>
  <c r="Y807" i="8"/>
  <c r="Z807" i="8"/>
  <c r="Y808" i="8"/>
  <c r="Z808" i="8"/>
  <c r="Y809" i="8"/>
  <c r="Z809" i="8"/>
  <c r="Y810" i="8"/>
  <c r="Z810" i="8"/>
  <c r="Y811" i="8"/>
  <c r="Z811" i="8"/>
  <c r="Y812" i="8"/>
  <c r="Z812" i="8"/>
  <c r="Y813" i="8"/>
  <c r="Z813" i="8"/>
  <c r="Y814" i="8"/>
  <c r="Z814" i="8"/>
  <c r="Y815" i="8"/>
  <c r="Z815" i="8"/>
  <c r="Y816" i="8"/>
  <c r="Z816" i="8"/>
  <c r="Y817" i="8"/>
  <c r="Z817" i="8"/>
  <c r="Y818" i="8"/>
  <c r="Z818" i="8"/>
  <c r="Y819" i="8"/>
  <c r="Z819" i="8"/>
  <c r="Y820" i="8"/>
  <c r="Z820" i="8"/>
  <c r="Y821" i="8"/>
  <c r="Z821" i="8"/>
  <c r="Y822" i="8"/>
  <c r="Z822" i="8"/>
  <c r="Y823" i="8"/>
  <c r="Z823" i="8"/>
  <c r="Y824" i="8"/>
  <c r="Z824" i="8"/>
  <c r="Y825" i="8"/>
  <c r="Z825" i="8"/>
  <c r="Y826" i="8"/>
  <c r="Z826" i="8"/>
  <c r="Y827" i="8"/>
  <c r="Z827" i="8"/>
  <c r="Y828" i="8"/>
  <c r="Z828" i="8"/>
  <c r="Y829" i="8"/>
  <c r="Z829" i="8"/>
  <c r="Y830" i="8"/>
  <c r="Z830" i="8"/>
  <c r="Y831" i="8"/>
  <c r="Z831" i="8"/>
  <c r="Y832" i="8"/>
  <c r="Z832" i="8"/>
  <c r="Y833" i="8"/>
  <c r="Z833" i="8"/>
  <c r="Y834" i="8"/>
  <c r="Z834" i="8"/>
  <c r="Y835" i="8"/>
  <c r="Z835" i="8"/>
  <c r="Y836" i="8"/>
  <c r="Z836" i="8"/>
  <c r="Y837" i="8"/>
  <c r="Z837" i="8"/>
  <c r="Y838" i="8"/>
  <c r="Z838" i="8"/>
  <c r="Y839" i="8"/>
  <c r="Z839" i="8"/>
  <c r="Y840" i="8"/>
  <c r="Z840" i="8"/>
  <c r="Y841" i="8"/>
  <c r="Z841" i="8"/>
  <c r="Y842" i="8"/>
  <c r="Z842" i="8"/>
  <c r="Y843" i="8"/>
  <c r="Z843" i="8"/>
  <c r="Y844" i="8"/>
  <c r="Z844" i="8"/>
  <c r="Y845" i="8"/>
  <c r="Z845" i="8"/>
  <c r="Y846" i="8"/>
  <c r="Z846" i="8"/>
  <c r="Y847" i="8"/>
  <c r="Z847" i="8"/>
  <c r="Y848" i="8"/>
  <c r="Z848" i="8"/>
  <c r="Y849" i="8"/>
  <c r="Z849" i="8"/>
  <c r="Y850" i="8"/>
  <c r="Z850" i="8"/>
  <c r="Y851" i="8"/>
  <c r="Z851" i="8"/>
  <c r="Y852" i="8"/>
  <c r="Z852" i="8"/>
  <c r="Y853" i="8"/>
  <c r="Z853" i="8"/>
  <c r="Y854" i="8"/>
  <c r="Z854" i="8"/>
  <c r="Y855" i="8"/>
  <c r="Z855" i="8"/>
  <c r="Y856" i="8"/>
  <c r="Z856" i="8"/>
  <c r="Y857" i="8"/>
  <c r="Z857" i="8"/>
  <c r="Y858" i="8"/>
  <c r="Z858" i="8"/>
  <c r="Y859" i="8"/>
  <c r="Z859" i="8"/>
  <c r="Y860" i="8"/>
  <c r="Z860" i="8"/>
  <c r="Y861" i="8"/>
  <c r="Z861" i="8"/>
  <c r="Y862" i="8"/>
  <c r="Z862" i="8"/>
  <c r="Y863" i="8"/>
  <c r="Z863" i="8"/>
  <c r="Y864" i="8"/>
  <c r="Z864" i="8"/>
  <c r="Y865" i="8"/>
  <c r="Z865" i="8"/>
  <c r="Y866" i="8"/>
  <c r="Z866" i="8"/>
  <c r="Y867" i="8"/>
  <c r="Z867" i="8"/>
  <c r="Y868" i="8"/>
  <c r="Z868" i="8"/>
  <c r="Y869" i="8"/>
  <c r="Z869" i="8"/>
  <c r="Y870" i="8"/>
  <c r="Z870" i="8"/>
  <c r="Y871" i="8"/>
  <c r="Z871" i="8"/>
  <c r="Y872" i="8"/>
  <c r="Z872" i="8"/>
  <c r="Y873" i="8"/>
  <c r="Z873" i="8"/>
  <c r="Y874" i="8"/>
  <c r="Z874" i="8"/>
  <c r="Y875" i="8"/>
  <c r="Z875" i="8"/>
  <c r="Y876" i="8"/>
  <c r="Z876" i="8"/>
  <c r="Y877" i="8"/>
  <c r="Z877" i="8"/>
  <c r="Y878" i="8"/>
  <c r="Z878" i="8"/>
  <c r="Y879" i="8"/>
  <c r="Z879" i="8"/>
  <c r="Y880" i="8"/>
  <c r="Z880" i="8"/>
  <c r="Y881" i="8"/>
  <c r="Z881" i="8"/>
  <c r="Y882" i="8"/>
  <c r="Z882" i="8"/>
  <c r="Y883" i="8"/>
  <c r="Z883" i="8"/>
  <c r="Y884" i="8"/>
  <c r="Z884" i="8"/>
  <c r="Y885" i="8"/>
  <c r="Z885" i="8"/>
  <c r="Y886" i="8"/>
  <c r="Z886" i="8"/>
  <c r="Y887" i="8"/>
  <c r="Z887" i="8"/>
  <c r="Y888" i="8"/>
  <c r="Z888" i="8"/>
  <c r="Y889" i="8"/>
  <c r="Z889" i="8"/>
  <c r="Y890" i="8"/>
  <c r="Z890" i="8"/>
  <c r="Y891" i="8"/>
  <c r="Z891" i="8"/>
  <c r="Y892" i="8"/>
  <c r="Z892" i="8"/>
  <c r="Y893" i="8"/>
  <c r="Z893" i="8"/>
  <c r="Y894" i="8"/>
  <c r="Z894" i="8"/>
  <c r="Y895" i="8"/>
  <c r="Z895" i="8"/>
  <c r="Y896" i="8"/>
  <c r="Z896" i="8"/>
  <c r="Y897" i="8"/>
  <c r="Z897" i="8"/>
  <c r="Y898" i="8"/>
  <c r="Z898" i="8"/>
  <c r="Y899" i="8"/>
  <c r="Z899" i="8"/>
  <c r="Y900" i="8"/>
  <c r="Z900" i="8"/>
  <c r="Y901" i="8"/>
  <c r="Z901" i="8"/>
  <c r="Y902" i="8"/>
  <c r="Z902" i="8"/>
  <c r="Y903" i="8"/>
  <c r="Z903" i="8"/>
  <c r="Y904" i="8"/>
  <c r="Z904" i="8"/>
  <c r="Y905" i="8"/>
  <c r="Z905" i="8"/>
  <c r="Y906" i="8"/>
  <c r="Z906" i="8"/>
  <c r="Y907" i="8"/>
  <c r="Z907" i="8"/>
  <c r="Y908" i="8"/>
  <c r="Z908" i="8"/>
  <c r="Y909" i="8"/>
  <c r="Z909" i="8"/>
  <c r="Y910" i="8"/>
  <c r="Z910" i="8"/>
  <c r="Y911" i="8"/>
  <c r="Z911" i="8"/>
  <c r="Y912" i="8"/>
  <c r="Z912" i="8"/>
  <c r="Y913" i="8"/>
  <c r="Z913" i="8"/>
  <c r="Y914" i="8"/>
  <c r="Z914" i="8"/>
  <c r="Y915" i="8"/>
  <c r="Z915" i="8"/>
  <c r="Y916" i="8"/>
  <c r="Z916" i="8"/>
  <c r="Y917" i="8"/>
  <c r="Z917" i="8"/>
  <c r="Y918" i="8"/>
  <c r="Z918" i="8"/>
  <c r="Y919" i="8"/>
  <c r="Z919" i="8"/>
  <c r="Y920" i="8"/>
  <c r="Z920" i="8"/>
  <c r="Y921" i="8"/>
  <c r="Z921" i="8"/>
  <c r="Y922" i="8"/>
  <c r="Z922" i="8"/>
  <c r="Y923" i="8"/>
  <c r="Z923" i="8"/>
  <c r="Y924" i="8"/>
  <c r="Z924" i="8"/>
  <c r="Y925" i="8"/>
  <c r="Z925" i="8"/>
  <c r="Y926" i="8"/>
  <c r="Z926" i="8"/>
  <c r="Y927" i="8"/>
  <c r="Z927" i="8"/>
  <c r="Y928" i="8"/>
  <c r="Z928" i="8"/>
  <c r="Y929" i="8"/>
  <c r="Z929" i="8"/>
  <c r="Y930" i="8"/>
  <c r="Z930" i="8"/>
  <c r="Y931" i="8"/>
  <c r="Z931" i="8"/>
  <c r="Y932" i="8"/>
  <c r="Z932" i="8"/>
  <c r="Y933" i="8"/>
  <c r="Z933" i="8"/>
  <c r="Y934" i="8"/>
  <c r="Z934" i="8"/>
  <c r="Y935" i="8"/>
  <c r="Z935" i="8"/>
  <c r="Y936" i="8"/>
  <c r="Z936" i="8"/>
  <c r="Y937" i="8"/>
  <c r="Z937" i="8"/>
  <c r="Y938" i="8"/>
  <c r="Z938" i="8"/>
  <c r="Y939" i="8"/>
  <c r="Z939" i="8"/>
  <c r="Y940" i="8"/>
  <c r="Z940" i="8"/>
  <c r="Y941" i="8"/>
  <c r="Z941" i="8"/>
  <c r="Y942" i="8"/>
  <c r="Z942" i="8"/>
  <c r="Y943" i="8"/>
  <c r="Z943" i="8"/>
  <c r="Y944" i="8"/>
  <c r="Z944" i="8"/>
  <c r="Y945" i="8"/>
  <c r="Z945" i="8"/>
  <c r="Y946" i="8"/>
  <c r="Z946" i="8"/>
  <c r="Y947" i="8"/>
  <c r="Z947" i="8"/>
  <c r="Y948" i="8"/>
  <c r="Z948" i="8"/>
  <c r="Y949" i="8"/>
  <c r="Z949" i="8"/>
  <c r="Y950" i="8"/>
  <c r="Z950" i="8"/>
  <c r="Y951" i="8"/>
  <c r="Z951" i="8"/>
  <c r="Y952" i="8"/>
  <c r="Z952" i="8"/>
  <c r="Y953" i="8"/>
  <c r="Z953" i="8"/>
  <c r="Y954" i="8"/>
  <c r="Z954" i="8"/>
  <c r="Y955" i="8"/>
  <c r="Z955" i="8"/>
  <c r="Y956" i="8"/>
  <c r="Z956" i="8"/>
  <c r="Y957" i="8"/>
  <c r="Z957" i="8"/>
  <c r="Y958" i="8"/>
  <c r="Z958" i="8"/>
  <c r="Y959" i="8"/>
  <c r="Z959" i="8"/>
  <c r="Y960" i="8"/>
  <c r="Z960" i="8"/>
  <c r="Y961" i="8"/>
  <c r="Z961" i="8"/>
  <c r="Y962" i="8"/>
  <c r="Z962" i="8"/>
  <c r="Y963" i="8"/>
  <c r="Z963" i="8"/>
  <c r="Y964" i="8"/>
  <c r="Z964" i="8"/>
  <c r="Y965" i="8"/>
  <c r="Z965" i="8"/>
  <c r="Y966" i="8"/>
  <c r="Z966" i="8"/>
  <c r="Y967" i="8"/>
  <c r="Z967" i="8"/>
  <c r="Y968" i="8"/>
  <c r="Z968" i="8"/>
  <c r="Y969" i="8"/>
  <c r="Z969" i="8"/>
  <c r="Y970" i="8"/>
  <c r="Z970" i="8"/>
  <c r="Y971" i="8"/>
  <c r="Z971" i="8"/>
  <c r="Y972" i="8"/>
  <c r="Z972" i="8"/>
  <c r="Y973" i="8"/>
  <c r="Z973" i="8"/>
  <c r="Y974" i="8"/>
  <c r="Z974" i="8"/>
  <c r="Y975" i="8"/>
  <c r="Z975" i="8"/>
  <c r="Y976" i="8"/>
  <c r="Z976" i="8"/>
  <c r="Y977" i="8"/>
  <c r="Z977" i="8"/>
  <c r="Y978" i="8"/>
  <c r="Z978" i="8"/>
  <c r="Y979" i="8"/>
  <c r="Z979" i="8"/>
  <c r="Y980" i="8"/>
  <c r="Z980" i="8"/>
  <c r="Y981" i="8"/>
  <c r="Z981" i="8"/>
  <c r="Y982" i="8"/>
  <c r="Z982" i="8"/>
  <c r="Y983" i="8"/>
  <c r="Z983" i="8"/>
  <c r="Y984" i="8"/>
  <c r="Z984" i="8"/>
  <c r="Y985" i="8"/>
  <c r="Z985" i="8"/>
  <c r="Y986" i="8"/>
  <c r="Z986" i="8"/>
  <c r="Y987" i="8"/>
  <c r="Z987" i="8"/>
  <c r="Y988" i="8"/>
  <c r="Z988" i="8"/>
  <c r="Y989" i="8"/>
  <c r="Z989" i="8"/>
  <c r="Y990" i="8"/>
  <c r="Z990" i="8"/>
  <c r="Y991" i="8"/>
  <c r="Z991" i="8"/>
  <c r="Y992" i="8"/>
  <c r="Z992" i="8"/>
  <c r="Y993" i="8"/>
  <c r="Z993" i="8"/>
  <c r="Y994" i="8"/>
  <c r="Z994" i="8"/>
  <c r="Y995" i="8"/>
  <c r="Z995" i="8"/>
  <c r="Y996" i="8"/>
  <c r="Z996" i="8"/>
  <c r="Y997" i="8"/>
  <c r="Z997" i="8"/>
  <c r="Y998" i="8"/>
  <c r="Z998" i="8"/>
  <c r="Y999" i="8"/>
  <c r="Z999" i="8"/>
  <c r="Y1000" i="8"/>
  <c r="Z1000" i="8"/>
  <c r="Y1001" i="8"/>
  <c r="Z1001" i="8"/>
  <c r="Y1002" i="8"/>
  <c r="Z1002" i="8"/>
  <c r="Y1003" i="8"/>
  <c r="Z1003" i="8"/>
  <c r="Y1004" i="8"/>
  <c r="Z1004" i="8"/>
  <c r="Y1005" i="8"/>
  <c r="Z1005" i="8"/>
  <c r="Y1006" i="8"/>
  <c r="Z1006" i="8"/>
  <c r="Y1007" i="8"/>
  <c r="Z1007" i="8"/>
  <c r="Y1008" i="8"/>
  <c r="Z1008" i="8"/>
  <c r="Y1009" i="8"/>
  <c r="Z1009" i="8"/>
  <c r="Y1010" i="8"/>
  <c r="Z1010" i="8"/>
  <c r="Y1011" i="8"/>
  <c r="Z1011" i="8"/>
  <c r="Y1012" i="8"/>
  <c r="Z1012" i="8"/>
  <c r="Y1013" i="8"/>
  <c r="Z1013" i="8"/>
  <c r="Y1014" i="8"/>
  <c r="Z1014" i="8"/>
  <c r="Y1015" i="8"/>
  <c r="Z1015" i="8"/>
  <c r="Y1016" i="8"/>
  <c r="Z1016" i="8"/>
  <c r="Y1017" i="8"/>
  <c r="Z1017" i="8"/>
  <c r="Y1018" i="8"/>
  <c r="Z1018" i="8"/>
  <c r="Y1019" i="8"/>
  <c r="Z1019" i="8"/>
  <c r="Y1020" i="8"/>
  <c r="Z1020" i="8"/>
  <c r="Y1021" i="8"/>
  <c r="Z1021" i="8"/>
  <c r="Y1022" i="8"/>
  <c r="Z1022" i="8"/>
  <c r="Y1023" i="8"/>
  <c r="Z1023" i="8"/>
  <c r="Y1024" i="8"/>
  <c r="Z1024" i="8"/>
  <c r="Y1025" i="8"/>
  <c r="Z1025" i="8"/>
  <c r="Y1026" i="8"/>
  <c r="Z1026" i="8"/>
  <c r="Y1027" i="8"/>
  <c r="Z1027" i="8"/>
  <c r="Y1028" i="8"/>
  <c r="Z1028" i="8"/>
  <c r="Y1029" i="8"/>
  <c r="Z1029" i="8"/>
  <c r="Y1030" i="8"/>
  <c r="Z1030" i="8"/>
  <c r="Y1031" i="8"/>
  <c r="Z1031" i="8"/>
  <c r="Y1032" i="8"/>
  <c r="Z1032" i="8"/>
  <c r="Y1033" i="8"/>
  <c r="Z1033" i="8"/>
  <c r="Y1034" i="8"/>
  <c r="Z1034" i="8"/>
  <c r="Y1035" i="8"/>
  <c r="Z1035" i="8"/>
  <c r="Y1036" i="8"/>
  <c r="Z1036" i="8"/>
  <c r="Y1037" i="8"/>
  <c r="Z1037" i="8"/>
  <c r="Y1038" i="8"/>
  <c r="Z1038" i="8"/>
  <c r="Y1039" i="8"/>
  <c r="Z1039" i="8"/>
  <c r="Y1040" i="8"/>
  <c r="Z1040" i="8"/>
  <c r="Y1041" i="8"/>
  <c r="Z1041" i="8"/>
  <c r="Y1042" i="8"/>
  <c r="Z1042" i="8"/>
  <c r="Y1043" i="8"/>
  <c r="Z1043" i="8"/>
  <c r="Y1044" i="8"/>
  <c r="Z1044" i="8"/>
  <c r="Y1045" i="8"/>
  <c r="Z1045" i="8"/>
  <c r="Y1046" i="8"/>
  <c r="Z1046" i="8"/>
  <c r="Y1047" i="8"/>
  <c r="Z1047" i="8"/>
  <c r="Y1048" i="8"/>
  <c r="Z1048" i="8"/>
  <c r="Y1049" i="8"/>
  <c r="Z1049" i="8"/>
  <c r="Y1050" i="8"/>
  <c r="Z1050" i="8"/>
  <c r="Y1051" i="8"/>
  <c r="Z1051" i="8"/>
  <c r="Y1052" i="8"/>
  <c r="Z1052" i="8"/>
  <c r="Y1053" i="8"/>
  <c r="Z1053" i="8"/>
  <c r="Y1054" i="8"/>
  <c r="Z1054" i="8"/>
  <c r="Y1055" i="8"/>
  <c r="Z1055" i="8"/>
  <c r="Y1056" i="8"/>
  <c r="Z1056" i="8"/>
  <c r="Y1057" i="8"/>
  <c r="Z1057" i="8"/>
  <c r="Y1058" i="8"/>
  <c r="Z1058" i="8"/>
  <c r="Y1059" i="8"/>
  <c r="Z1059" i="8"/>
  <c r="Y1060" i="8"/>
  <c r="Z1060" i="8"/>
  <c r="Y1061" i="8"/>
  <c r="Z1061" i="8"/>
  <c r="Y1062" i="8"/>
  <c r="Z1062" i="8"/>
  <c r="Y1063" i="8"/>
  <c r="Z1063" i="8"/>
  <c r="Y1064" i="8"/>
  <c r="Z1064" i="8"/>
  <c r="Y1065" i="8"/>
  <c r="Z1065" i="8"/>
  <c r="Y1066" i="8"/>
  <c r="Z1066" i="8"/>
  <c r="Y1067" i="8"/>
  <c r="Z1067" i="8"/>
  <c r="Y1068" i="8"/>
  <c r="Z1068" i="8"/>
  <c r="Y1069" i="8"/>
  <c r="Z1069" i="8"/>
  <c r="Y1070" i="8"/>
  <c r="Z1070" i="8"/>
  <c r="Y1071" i="8"/>
  <c r="Z1071" i="8"/>
  <c r="Y1072" i="8"/>
  <c r="Z1072" i="8"/>
  <c r="Y1073" i="8"/>
  <c r="Z1073" i="8"/>
  <c r="Y1074" i="8"/>
  <c r="Z1074" i="8"/>
  <c r="Y1075" i="8"/>
  <c r="Z1075" i="8"/>
  <c r="AH78" i="8" l="1"/>
  <c r="AF78" i="8"/>
  <c r="AB63" i="8"/>
  <c r="AB53" i="8" l="1"/>
  <c r="AB54" i="8"/>
  <c r="AB56" i="8"/>
  <c r="AB55" i="8"/>
  <c r="Y55" i="8"/>
  <c r="Y56" i="8"/>
  <c r="Y57" i="8"/>
  <c r="AH57" i="8"/>
  <c r="Y58" i="8"/>
  <c r="AH58" i="8"/>
  <c r="Y81" i="8" l="1"/>
  <c r="Y82" i="8"/>
  <c r="Y83" i="8"/>
  <c r="Y1076" i="8"/>
  <c r="Z1076" i="8"/>
  <c r="Y1077" i="8"/>
  <c r="Z1077" i="8"/>
  <c r="Y1078" i="8"/>
  <c r="Z1078" i="8"/>
  <c r="Y1079" i="8"/>
  <c r="Z1079" i="8"/>
  <c r="Y1080" i="8"/>
  <c r="Z1080" i="8"/>
  <c r="Y1081" i="8"/>
  <c r="Z1081" i="8"/>
  <c r="Y1082" i="8"/>
  <c r="Z1082" i="8"/>
  <c r="Y1083" i="8"/>
  <c r="Z1083" i="8"/>
  <c r="Y1084" i="8"/>
  <c r="Z1084" i="8"/>
  <c r="Y1085" i="8"/>
  <c r="Z1085" i="8"/>
  <c r="Y1086" i="8"/>
  <c r="Z1086" i="8"/>
  <c r="Y1087" i="8"/>
  <c r="Z1087" i="8"/>
  <c r="Y1088" i="8"/>
  <c r="Z1088" i="8"/>
  <c r="Y1089" i="8"/>
  <c r="Z1089" i="8"/>
  <c r="Y1090" i="8"/>
  <c r="Z1090" i="8"/>
  <c r="Y1091" i="8"/>
  <c r="Z1091" i="8"/>
  <c r="Y1092" i="8"/>
  <c r="Z1092" i="8"/>
  <c r="Y1093" i="8"/>
  <c r="Z1093" i="8"/>
  <c r="Y1094" i="8"/>
  <c r="Z1094" i="8"/>
  <c r="Y1095" i="8"/>
  <c r="Z1095" i="8"/>
  <c r="Y1096" i="8"/>
  <c r="Z1096" i="8"/>
  <c r="Y1097" i="8"/>
  <c r="Z1097" i="8"/>
  <c r="Y1098" i="8"/>
  <c r="Z1098" i="8"/>
  <c r="Y1099" i="8"/>
  <c r="Z1099" i="8"/>
  <c r="Y1100" i="8"/>
  <c r="Z1100" i="8"/>
  <c r="Y1101" i="8"/>
  <c r="Z1101" i="8"/>
  <c r="Y1102" i="8"/>
  <c r="Z1102" i="8"/>
  <c r="Y1103" i="8"/>
  <c r="Z1103" i="8"/>
  <c r="Y1104" i="8"/>
  <c r="Z1104" i="8"/>
  <c r="Y1105" i="8"/>
  <c r="Z1105" i="8"/>
  <c r="Y1106" i="8"/>
  <c r="Z1106" i="8"/>
  <c r="Y1107" i="8"/>
  <c r="Z1107" i="8"/>
  <c r="Y1108" i="8"/>
  <c r="Z1108" i="8"/>
  <c r="Y1109" i="8"/>
  <c r="Z1109" i="8"/>
  <c r="Y1110" i="8"/>
  <c r="Z1110" i="8"/>
  <c r="Y1111" i="8"/>
  <c r="Z1111" i="8"/>
  <c r="Y1112" i="8"/>
  <c r="Z1112" i="8"/>
  <c r="Y1113" i="8"/>
  <c r="Z1113" i="8"/>
  <c r="Y1114" i="8"/>
  <c r="Z1114" i="8"/>
  <c r="Y1115" i="8"/>
  <c r="Z1115" i="8"/>
  <c r="Y1116" i="8"/>
  <c r="Z1116" i="8"/>
  <c r="Y1117" i="8"/>
  <c r="Z1117" i="8"/>
  <c r="Y1118" i="8"/>
  <c r="Z1118" i="8"/>
  <c r="Y1119" i="8"/>
  <c r="Z1119" i="8"/>
  <c r="Y1120" i="8"/>
  <c r="Z1120" i="8"/>
  <c r="Y1121" i="8"/>
  <c r="Z1121" i="8"/>
  <c r="Y1122" i="8"/>
  <c r="Z1122" i="8"/>
  <c r="Y1123" i="8"/>
  <c r="Z1123" i="8"/>
  <c r="Y1124" i="8"/>
  <c r="Z1124" i="8"/>
  <c r="Y1125" i="8"/>
  <c r="Z1125" i="8"/>
  <c r="Y1126" i="8"/>
  <c r="Z1126" i="8"/>
  <c r="Y1127" i="8"/>
  <c r="Z1127" i="8"/>
  <c r="Y1128" i="8"/>
  <c r="Z1128" i="8"/>
  <c r="Y1129" i="8"/>
  <c r="Z1129" i="8"/>
  <c r="Y1130" i="8"/>
  <c r="Z1130" i="8"/>
  <c r="Y1131" i="8"/>
  <c r="Z1131" i="8"/>
  <c r="Y1132" i="8"/>
  <c r="Z1132" i="8"/>
  <c r="Y1133" i="8"/>
  <c r="Z1133" i="8"/>
  <c r="Y1134" i="8"/>
  <c r="Z1134" i="8"/>
  <c r="Y1135" i="8"/>
  <c r="Z1135" i="8"/>
  <c r="Y1136" i="8"/>
  <c r="Z1136" i="8"/>
  <c r="Y1137" i="8"/>
  <c r="Z1137" i="8"/>
  <c r="Y1138" i="8"/>
  <c r="Z1138" i="8"/>
  <c r="Y1139" i="8"/>
  <c r="Z1139" i="8"/>
  <c r="Y1140" i="8"/>
  <c r="Z1140" i="8"/>
  <c r="Y1141" i="8"/>
  <c r="Z1141" i="8"/>
  <c r="Y1142" i="8"/>
  <c r="Z1142" i="8"/>
  <c r="Y1143" i="8"/>
  <c r="Z1143" i="8"/>
  <c r="Y1144" i="8"/>
  <c r="Z1144" i="8"/>
  <c r="Y1145" i="8"/>
  <c r="Z1145" i="8"/>
  <c r="Y1146" i="8"/>
  <c r="Z1146" i="8"/>
  <c r="Y1147" i="8"/>
  <c r="Z1147" i="8"/>
  <c r="Y1148" i="8"/>
  <c r="Z1148" i="8"/>
  <c r="Y1149" i="8"/>
  <c r="Z1149" i="8"/>
  <c r="Y1150" i="8"/>
  <c r="Z1150" i="8"/>
  <c r="Y1151" i="8"/>
  <c r="Z1151" i="8"/>
  <c r="Y1152" i="8"/>
  <c r="Z1152" i="8"/>
  <c r="Y1153" i="8"/>
  <c r="Z1153" i="8"/>
  <c r="Y1154" i="8"/>
  <c r="Z1154" i="8"/>
  <c r="Y1155" i="8"/>
  <c r="Z1155" i="8"/>
  <c r="Y1156" i="8"/>
  <c r="Z1156" i="8"/>
  <c r="Y1157" i="8"/>
  <c r="Z1157" i="8"/>
  <c r="Y1158" i="8"/>
  <c r="Z1158" i="8"/>
  <c r="Y1159" i="8"/>
  <c r="Z1159" i="8"/>
  <c r="Y1160" i="8"/>
  <c r="Z1160" i="8"/>
  <c r="Y1161" i="8"/>
  <c r="Z1161" i="8"/>
  <c r="Y1162" i="8"/>
  <c r="Z1162" i="8"/>
  <c r="Y1163" i="8"/>
  <c r="Z1163" i="8"/>
  <c r="Y1164" i="8"/>
  <c r="Z1164" i="8"/>
  <c r="Y1165" i="8"/>
  <c r="Z1165" i="8"/>
  <c r="Y1166" i="8"/>
  <c r="Z1166" i="8"/>
  <c r="Y1167" i="8"/>
  <c r="Z1167" i="8"/>
  <c r="Y1168" i="8"/>
  <c r="Z1168" i="8"/>
  <c r="Y1169" i="8"/>
  <c r="Z1169" i="8"/>
  <c r="Y1170" i="8"/>
  <c r="Z1170" i="8"/>
  <c r="Y1171" i="8"/>
  <c r="Z1171" i="8"/>
  <c r="Y1172" i="8"/>
  <c r="Z1172" i="8"/>
  <c r="Y1173" i="8"/>
  <c r="Z1173" i="8"/>
  <c r="Y1174" i="8"/>
  <c r="Z1174" i="8"/>
  <c r="Y1175" i="8"/>
  <c r="Z1175" i="8"/>
  <c r="Y1176" i="8"/>
  <c r="Z1176" i="8"/>
  <c r="Y1177" i="8"/>
  <c r="Z1177" i="8"/>
  <c r="Y1178" i="8"/>
  <c r="Z1178" i="8"/>
  <c r="Y1179" i="8"/>
  <c r="Z1179" i="8"/>
  <c r="Y1180" i="8"/>
  <c r="Z1180" i="8"/>
  <c r="Y1181" i="8"/>
  <c r="Z1181" i="8"/>
  <c r="Y1182" i="8"/>
  <c r="Z1182" i="8"/>
  <c r="Y1183" i="8"/>
  <c r="Z1183" i="8"/>
  <c r="Y1184" i="8"/>
  <c r="Z1184" i="8"/>
  <c r="Y1185" i="8"/>
  <c r="Z1185" i="8"/>
  <c r="Y1186" i="8"/>
  <c r="Z1186" i="8"/>
  <c r="Y1187" i="8"/>
  <c r="Z1187" i="8"/>
  <c r="Y1188" i="8"/>
  <c r="Z1188" i="8"/>
  <c r="Y1189" i="8"/>
  <c r="Z1189" i="8"/>
  <c r="Y1190" i="8"/>
  <c r="Z1190" i="8"/>
  <c r="Y1191" i="8"/>
  <c r="Z1191" i="8"/>
  <c r="Y1192" i="8"/>
  <c r="Z1192" i="8"/>
  <c r="Y1193" i="8"/>
  <c r="Z1193" i="8"/>
  <c r="Y1194" i="8"/>
  <c r="Z1194" i="8"/>
  <c r="Y1195" i="8"/>
  <c r="Z1195" i="8"/>
  <c r="Y1196" i="8"/>
  <c r="Z1196" i="8"/>
  <c r="Y1197" i="8"/>
  <c r="Z1197" i="8"/>
  <c r="Y1198" i="8"/>
  <c r="Z1198" i="8"/>
  <c r="Y1199" i="8"/>
  <c r="Z1199" i="8"/>
  <c r="Y1200" i="8"/>
  <c r="Z1200" i="8"/>
  <c r="Y1201" i="8"/>
  <c r="Z1201" i="8"/>
  <c r="Y1202" i="8"/>
  <c r="Z1202" i="8"/>
  <c r="Y1203" i="8"/>
  <c r="Z1203" i="8"/>
  <c r="Y1204" i="8"/>
  <c r="Z1204" i="8"/>
  <c r="Y1205" i="8"/>
  <c r="Z1205" i="8"/>
  <c r="Y1206" i="8"/>
  <c r="Z1206" i="8"/>
  <c r="Y1207" i="8"/>
  <c r="Z1207" i="8"/>
  <c r="Y1208" i="8"/>
  <c r="Z1208" i="8"/>
  <c r="Y1209" i="8"/>
  <c r="Z1209" i="8"/>
  <c r="Y1210" i="8"/>
  <c r="Z1210" i="8"/>
  <c r="Y1211" i="8"/>
  <c r="Z1211" i="8"/>
  <c r="Y1212" i="8"/>
  <c r="Z1212" i="8"/>
  <c r="Y1213" i="8"/>
  <c r="Z1213" i="8"/>
  <c r="Y1214" i="8"/>
  <c r="Z1214" i="8"/>
  <c r="Y1215" i="8"/>
  <c r="Z1215" i="8"/>
  <c r="Y1216" i="8"/>
  <c r="Z1216" i="8"/>
  <c r="Y1217" i="8"/>
  <c r="Z1217" i="8"/>
  <c r="Y1218" i="8"/>
  <c r="Z1218" i="8"/>
  <c r="Y1219" i="8"/>
  <c r="Z1219" i="8"/>
  <c r="Y1220" i="8"/>
  <c r="Z1220" i="8"/>
  <c r="Y1221" i="8"/>
  <c r="Z1221" i="8"/>
  <c r="Y1222" i="8"/>
  <c r="Z1222" i="8"/>
  <c r="Y1223" i="8"/>
  <c r="Z1223" i="8"/>
  <c r="Y1224" i="8"/>
  <c r="Z1224" i="8"/>
  <c r="Y1225" i="8"/>
  <c r="Z1225" i="8"/>
  <c r="Y1226" i="8"/>
  <c r="Z1226" i="8"/>
  <c r="Y1227" i="8"/>
  <c r="Z1227" i="8"/>
  <c r="Y1228" i="8"/>
  <c r="Z1228" i="8"/>
  <c r="Y1229" i="8"/>
  <c r="Z1229" i="8"/>
  <c r="Y1230" i="8"/>
  <c r="Z1230" i="8"/>
  <c r="Y1231" i="8"/>
  <c r="Z1231" i="8"/>
  <c r="Y1232" i="8"/>
  <c r="Z1232" i="8"/>
  <c r="Y1233" i="8"/>
  <c r="Z1233" i="8"/>
  <c r="Y1234" i="8"/>
  <c r="Z1234" i="8"/>
  <c r="Y1235" i="8"/>
  <c r="Z1235" i="8"/>
  <c r="Y1236" i="8"/>
  <c r="Z1236" i="8"/>
  <c r="Y1237" i="8"/>
  <c r="Z1237" i="8"/>
  <c r="Y1238" i="8"/>
  <c r="Z1238" i="8"/>
  <c r="Y1239" i="8"/>
  <c r="Z1239" i="8"/>
  <c r="Y1240" i="8"/>
  <c r="Z1240" i="8"/>
  <c r="Y1241" i="8"/>
  <c r="Z1241" i="8"/>
  <c r="Y1242" i="8"/>
  <c r="Z1242" i="8"/>
  <c r="Y1243" i="8"/>
  <c r="Z1243" i="8"/>
  <c r="Y1244" i="8"/>
  <c r="Z1244" i="8"/>
  <c r="Y1245" i="8"/>
  <c r="Z1245" i="8"/>
  <c r="Y1246" i="8"/>
  <c r="Z1246" i="8"/>
  <c r="Y1247" i="8"/>
  <c r="Z1247" i="8"/>
  <c r="Y1248" i="8"/>
  <c r="Z1248" i="8"/>
  <c r="Y1249" i="8"/>
  <c r="Z1249" i="8"/>
  <c r="Y1250" i="8"/>
  <c r="Z1250" i="8"/>
  <c r="Y1251" i="8"/>
  <c r="Z1251" i="8"/>
  <c r="Y1252" i="8"/>
  <c r="Z1252" i="8"/>
  <c r="Y1253" i="8"/>
  <c r="Z1253" i="8"/>
  <c r="Y1254" i="8"/>
  <c r="Z1254" i="8"/>
  <c r="Y1255" i="8"/>
  <c r="Z1255" i="8"/>
  <c r="Y1256" i="8"/>
  <c r="Z1256" i="8"/>
  <c r="Y1257" i="8"/>
  <c r="Z1257" i="8"/>
  <c r="Y1258" i="8"/>
  <c r="Z1258" i="8"/>
  <c r="Y1259" i="8"/>
  <c r="Z1259" i="8"/>
  <c r="Y1260" i="8"/>
  <c r="Z1260" i="8"/>
  <c r="Y1261" i="8"/>
  <c r="Z1261" i="8"/>
  <c r="Y1262" i="8"/>
  <c r="Z1262" i="8"/>
  <c r="Y1263" i="8"/>
  <c r="Z1263" i="8"/>
  <c r="Y1264" i="8"/>
  <c r="Z1264" i="8"/>
  <c r="Y1265" i="8"/>
  <c r="Z1265" i="8"/>
  <c r="Y1266" i="8"/>
  <c r="Z1266" i="8"/>
  <c r="Y1267" i="8"/>
  <c r="Z1267" i="8"/>
  <c r="Y1268" i="8"/>
  <c r="Z1268" i="8"/>
  <c r="Y1269" i="8"/>
  <c r="Z1269" i="8"/>
  <c r="Y1270" i="8"/>
  <c r="Z1270" i="8"/>
  <c r="Y1271" i="8"/>
  <c r="Z1271" i="8"/>
  <c r="Y1272" i="8"/>
  <c r="Z1272" i="8"/>
  <c r="Y1273" i="8"/>
  <c r="Z1273" i="8"/>
  <c r="Y1274" i="8"/>
  <c r="Z1274" i="8"/>
  <c r="Y1275" i="8"/>
  <c r="Z1275" i="8"/>
  <c r="Y1276" i="8"/>
  <c r="Z1276" i="8"/>
  <c r="Y1277" i="8"/>
  <c r="Z1277" i="8"/>
  <c r="Y1278" i="8"/>
  <c r="Z1278" i="8"/>
  <c r="Y1279" i="8"/>
  <c r="Z1279" i="8"/>
  <c r="Y1280" i="8"/>
  <c r="Z1280" i="8"/>
  <c r="Y1281" i="8"/>
  <c r="Z1281" i="8"/>
  <c r="Y1282" i="8"/>
  <c r="Z1282" i="8"/>
  <c r="Y1283" i="8"/>
  <c r="Z1283" i="8"/>
  <c r="Y1284" i="8"/>
  <c r="Z1284" i="8"/>
  <c r="Y1285" i="8"/>
  <c r="Z1285" i="8"/>
  <c r="Y1286" i="8"/>
  <c r="Z1286" i="8"/>
  <c r="Y1287" i="8"/>
  <c r="Z1287" i="8"/>
  <c r="Y1288" i="8"/>
  <c r="Z1288" i="8"/>
  <c r="Y1289" i="8"/>
  <c r="Z1289" i="8"/>
  <c r="Y1290" i="8"/>
  <c r="Z1290" i="8"/>
  <c r="Y1291" i="8"/>
  <c r="Z1291" i="8"/>
  <c r="Y1292" i="8"/>
  <c r="Z1292" i="8"/>
  <c r="Y1293" i="8"/>
  <c r="Z1293" i="8"/>
  <c r="Y1294" i="8"/>
  <c r="Z1294" i="8"/>
  <c r="Y1295" i="8"/>
  <c r="Z1295" i="8"/>
  <c r="Y1296" i="8"/>
  <c r="Z1296" i="8"/>
  <c r="Y1297" i="8"/>
  <c r="Z1297" i="8"/>
  <c r="Y1298" i="8"/>
  <c r="Z1298" i="8"/>
  <c r="Y1299" i="8"/>
  <c r="Z1299" i="8"/>
  <c r="Y1300" i="8"/>
  <c r="Z1300" i="8"/>
  <c r="Y1301" i="8"/>
  <c r="Z1301" i="8"/>
  <c r="Y1302" i="8"/>
  <c r="Z1302" i="8"/>
  <c r="Y1303" i="8"/>
  <c r="Z1303" i="8"/>
  <c r="Y1304" i="8"/>
  <c r="Z1304" i="8"/>
  <c r="Y1305" i="8"/>
  <c r="Z1305" i="8"/>
  <c r="Y1306" i="8"/>
  <c r="Z1306" i="8"/>
  <c r="Y1307" i="8"/>
  <c r="Z1307" i="8"/>
  <c r="Y1308" i="8"/>
  <c r="Z1308" i="8"/>
  <c r="Y1309" i="8"/>
  <c r="Z1309" i="8"/>
  <c r="Y1310" i="8"/>
  <c r="Z1310" i="8"/>
  <c r="Y1311" i="8"/>
  <c r="Z1311" i="8"/>
  <c r="Y1312" i="8"/>
  <c r="Z1312" i="8"/>
  <c r="Y1313" i="8"/>
  <c r="Z1313" i="8"/>
  <c r="Y1314" i="8"/>
  <c r="Z1314" i="8"/>
  <c r="Y1315" i="8"/>
  <c r="Z1315" i="8"/>
  <c r="Y1316" i="8"/>
  <c r="Z1316" i="8"/>
  <c r="Y1317" i="8"/>
  <c r="Z1317" i="8"/>
  <c r="Y1318" i="8"/>
  <c r="Z1318" i="8"/>
  <c r="Y1319" i="8"/>
  <c r="Z1319" i="8"/>
  <c r="Y1320" i="8"/>
  <c r="Z1320" i="8"/>
  <c r="Y1321" i="8"/>
  <c r="Z1321" i="8"/>
  <c r="Y1322" i="8"/>
  <c r="Z1322" i="8"/>
  <c r="Y1323" i="8"/>
  <c r="Z1323" i="8"/>
  <c r="Y1324" i="8"/>
  <c r="Z1324" i="8"/>
  <c r="Y1325" i="8"/>
  <c r="Z1325" i="8"/>
  <c r="Y1326" i="8"/>
  <c r="Z1326" i="8"/>
  <c r="Y1327" i="8"/>
  <c r="Z1327" i="8"/>
  <c r="Y1328" i="8"/>
  <c r="Z1328" i="8"/>
  <c r="Y1329" i="8"/>
  <c r="Z1329" i="8"/>
  <c r="Y1330" i="8"/>
  <c r="Z1330" i="8"/>
  <c r="Y1331" i="8"/>
  <c r="Z1331" i="8"/>
  <c r="Y1332" i="8"/>
  <c r="Z1332" i="8"/>
  <c r="Y1333" i="8"/>
  <c r="Z1333" i="8"/>
  <c r="Y1334" i="8"/>
  <c r="Z1334" i="8"/>
  <c r="Y1335" i="8"/>
  <c r="Z1335" i="8"/>
  <c r="Y1336" i="8"/>
  <c r="Z1336" i="8"/>
  <c r="Y1337" i="8"/>
  <c r="Z1337" i="8"/>
  <c r="Y1338" i="8"/>
  <c r="Z1338" i="8"/>
  <c r="Y1339" i="8"/>
  <c r="Z1339" i="8"/>
  <c r="Y1340" i="8"/>
  <c r="Z1340" i="8"/>
  <c r="Y1341" i="8"/>
  <c r="Z1341" i="8"/>
  <c r="Y1342" i="8"/>
  <c r="Z1342" i="8"/>
  <c r="Y1343" i="8"/>
  <c r="Z1343" i="8"/>
  <c r="Y1344" i="8"/>
  <c r="Z1344" i="8"/>
  <c r="Y1345" i="8"/>
  <c r="Z1345" i="8"/>
  <c r="Y1346" i="8"/>
  <c r="Z1346" i="8"/>
  <c r="Y1347" i="8"/>
  <c r="Z1347" i="8"/>
  <c r="Y1348" i="8"/>
  <c r="Z1348" i="8"/>
  <c r="Y1349" i="8"/>
  <c r="Z1349" i="8"/>
  <c r="Y1350" i="8"/>
  <c r="Z1350" i="8"/>
  <c r="Y1351" i="8"/>
  <c r="Z1351" i="8"/>
  <c r="Y1352" i="8"/>
  <c r="Z1352" i="8"/>
  <c r="Y1353" i="8"/>
  <c r="Z1353" i="8"/>
  <c r="Y1354" i="8"/>
  <c r="Z1354" i="8"/>
  <c r="Y1355" i="8"/>
  <c r="Z1355" i="8"/>
  <c r="Y1356" i="8"/>
  <c r="Z1356" i="8"/>
  <c r="Y1357" i="8"/>
  <c r="Z1357" i="8"/>
  <c r="Y1358" i="8"/>
  <c r="Z1358" i="8"/>
  <c r="Y1359" i="8"/>
  <c r="Z1359" i="8"/>
  <c r="Y1360" i="8"/>
  <c r="Z1360" i="8"/>
  <c r="Y1361" i="8"/>
  <c r="Z1361" i="8"/>
  <c r="Y1362" i="8"/>
  <c r="Z1362" i="8"/>
  <c r="Y1363" i="8"/>
  <c r="Z1363" i="8"/>
  <c r="Y1364" i="8"/>
  <c r="Z1364" i="8"/>
  <c r="Y1365" i="8"/>
  <c r="Z1365" i="8"/>
  <c r="Y1366" i="8"/>
  <c r="Z1366" i="8"/>
  <c r="Y1367" i="8"/>
  <c r="Z1367" i="8"/>
  <c r="Y1368" i="8"/>
  <c r="Z1368" i="8"/>
  <c r="Y1369" i="8"/>
  <c r="Z1369" i="8"/>
  <c r="Y1370" i="8"/>
  <c r="Z1370" i="8"/>
  <c r="Y1371" i="8"/>
  <c r="Z1371" i="8"/>
  <c r="Y1372" i="8"/>
  <c r="Z1372" i="8"/>
  <c r="Y1373" i="8"/>
  <c r="Z1373" i="8"/>
  <c r="Y1374" i="8"/>
  <c r="Z1374" i="8"/>
  <c r="Y1375" i="8"/>
  <c r="Z1375" i="8"/>
  <c r="Y1376" i="8"/>
  <c r="Z1376" i="8"/>
  <c r="Y1377" i="8"/>
  <c r="Z1377" i="8"/>
  <c r="Y1378" i="8"/>
  <c r="Z1378" i="8"/>
  <c r="Y1379" i="8"/>
  <c r="Z1379" i="8"/>
  <c r="Y1380" i="8"/>
  <c r="Z1380" i="8"/>
  <c r="Y1381" i="8"/>
  <c r="Z1381" i="8"/>
  <c r="Y1382" i="8"/>
  <c r="Z1382" i="8"/>
  <c r="Y1383" i="8"/>
  <c r="Z1383" i="8"/>
  <c r="Y1384" i="8"/>
  <c r="Z1384" i="8"/>
  <c r="Y1385" i="8"/>
  <c r="Z1385" i="8"/>
  <c r="Y1386" i="8"/>
  <c r="Z1386" i="8"/>
  <c r="Y1387" i="8"/>
  <c r="Z1387" i="8"/>
  <c r="Y1388" i="8"/>
  <c r="Z1388" i="8"/>
  <c r="Y1389" i="8"/>
  <c r="Z1389" i="8"/>
  <c r="Y1390" i="8"/>
  <c r="Z1390" i="8"/>
  <c r="Y1391" i="8"/>
  <c r="Z1391" i="8"/>
  <c r="Y1392" i="8"/>
  <c r="Z1392" i="8"/>
  <c r="Y1393" i="8"/>
  <c r="Z1393" i="8"/>
  <c r="Y1394" i="8"/>
  <c r="Z1394" i="8"/>
  <c r="Y1395" i="8"/>
  <c r="Z1395" i="8"/>
  <c r="Y1396" i="8"/>
  <c r="Z1396" i="8"/>
  <c r="Y1397" i="8"/>
  <c r="Z1397" i="8"/>
  <c r="Y1398" i="8"/>
  <c r="Z1398" i="8"/>
  <c r="Y1399" i="8"/>
  <c r="Z1399" i="8"/>
  <c r="Y1400" i="8"/>
  <c r="Z1400" i="8"/>
  <c r="Y1401" i="8"/>
  <c r="Z1401" i="8"/>
  <c r="Y1402" i="8"/>
  <c r="Z1402" i="8"/>
  <c r="Y1403" i="8"/>
  <c r="Z1403" i="8"/>
  <c r="Y1404" i="8"/>
  <c r="Z1404" i="8"/>
  <c r="Y1405" i="8"/>
  <c r="Z1405" i="8"/>
  <c r="Y1406" i="8"/>
  <c r="Z1406" i="8"/>
  <c r="Y1407" i="8"/>
  <c r="Z1407" i="8"/>
  <c r="Y1408" i="8"/>
  <c r="Z1408" i="8"/>
  <c r="Y1409" i="8"/>
  <c r="Z1409" i="8"/>
  <c r="Y1410" i="8"/>
  <c r="Z1410" i="8"/>
  <c r="Y1411" i="8"/>
  <c r="Z1411" i="8"/>
  <c r="Y1412" i="8"/>
  <c r="Z1412" i="8"/>
  <c r="Y1413" i="8"/>
  <c r="Z1413" i="8"/>
  <c r="Y1414" i="8"/>
  <c r="Z1414" i="8"/>
  <c r="Y1415" i="8"/>
  <c r="Z1415" i="8"/>
  <c r="Y1416" i="8"/>
  <c r="Z1416" i="8"/>
  <c r="Y1417" i="8"/>
  <c r="Z1417" i="8"/>
  <c r="Y1418" i="8"/>
  <c r="Z1418" i="8"/>
  <c r="Y1419" i="8"/>
  <c r="Z1419" i="8"/>
  <c r="Y1420" i="8"/>
  <c r="Z1420" i="8"/>
  <c r="Y1421" i="8"/>
  <c r="Z1421" i="8"/>
  <c r="Y1422" i="8"/>
  <c r="Z1422" i="8"/>
  <c r="Y1423" i="8"/>
  <c r="Z1423" i="8"/>
  <c r="Y1424" i="8"/>
  <c r="Z1424" i="8"/>
  <c r="Y1425" i="8"/>
  <c r="Z1425" i="8"/>
  <c r="Y1426" i="8"/>
  <c r="Z1426" i="8"/>
  <c r="Y1427" i="8"/>
  <c r="Z1427" i="8"/>
  <c r="Y1428" i="8"/>
  <c r="Z1428" i="8"/>
  <c r="Y1429" i="8"/>
  <c r="Z1429" i="8"/>
  <c r="Y1430" i="8"/>
  <c r="Z1430" i="8"/>
  <c r="Y1431" i="8"/>
  <c r="Z1431" i="8"/>
  <c r="Y1432" i="8"/>
  <c r="Z1432" i="8"/>
  <c r="Y1433" i="8"/>
  <c r="Z1433" i="8"/>
  <c r="Y1434" i="8"/>
  <c r="Z1434" i="8"/>
  <c r="Y1435" i="8"/>
  <c r="Z1435" i="8"/>
  <c r="Y1436" i="8"/>
  <c r="Z1436" i="8"/>
  <c r="Y1437" i="8"/>
  <c r="Z1437" i="8"/>
  <c r="Y1438" i="8"/>
  <c r="Z1438" i="8"/>
  <c r="Y1439" i="8"/>
  <c r="Z1439" i="8"/>
  <c r="Y1440" i="8"/>
  <c r="Z1440" i="8"/>
  <c r="Y1441" i="8"/>
  <c r="Z1441" i="8"/>
  <c r="Y1442" i="8"/>
  <c r="Z1442" i="8"/>
  <c r="Y1443" i="8"/>
  <c r="Z1443" i="8"/>
  <c r="Y1444" i="8"/>
  <c r="Z1444" i="8"/>
  <c r="Y1445" i="8"/>
  <c r="Z1445" i="8"/>
  <c r="Y1446" i="8"/>
  <c r="Z1446" i="8"/>
  <c r="Y1447" i="8"/>
  <c r="Z1447" i="8"/>
  <c r="Y1448" i="8"/>
  <c r="Z1448" i="8"/>
  <c r="Y1449" i="8"/>
  <c r="Z1449" i="8"/>
  <c r="Y1450" i="8"/>
  <c r="Z1450" i="8"/>
  <c r="Y1451" i="8"/>
  <c r="Z1451" i="8"/>
  <c r="Y1452" i="8"/>
  <c r="Z1452" i="8"/>
  <c r="Y1453" i="8"/>
  <c r="Z1453" i="8"/>
  <c r="Y1454" i="8"/>
  <c r="Z1454" i="8"/>
  <c r="Y1455" i="8"/>
  <c r="Z1455" i="8"/>
  <c r="Y1456" i="8"/>
  <c r="Z1456" i="8"/>
  <c r="Y1457" i="8"/>
  <c r="Z1457" i="8"/>
  <c r="Y1458" i="8"/>
  <c r="Z1458" i="8"/>
  <c r="Y1459" i="8"/>
  <c r="Z1459" i="8"/>
  <c r="Y1460" i="8"/>
  <c r="Z1460" i="8"/>
  <c r="Y1461" i="8"/>
  <c r="Z1461" i="8"/>
  <c r="Y1462" i="8"/>
  <c r="Z1462" i="8"/>
  <c r="Y1463" i="8"/>
  <c r="Z1463" i="8"/>
  <c r="Y1464" i="8"/>
  <c r="Z1464" i="8"/>
  <c r="Y1465" i="8"/>
  <c r="Z1465" i="8"/>
  <c r="Y1466" i="8"/>
  <c r="Z1466" i="8"/>
  <c r="Y1467" i="8"/>
  <c r="Z1467" i="8"/>
  <c r="Y1468" i="8"/>
  <c r="Z1468" i="8"/>
  <c r="Y1469" i="8"/>
  <c r="Z1469" i="8"/>
  <c r="Y1470" i="8"/>
  <c r="Z1470" i="8"/>
  <c r="Y1471" i="8"/>
  <c r="Z1471" i="8"/>
  <c r="Y1472" i="8"/>
  <c r="Z1472" i="8"/>
  <c r="Y1473" i="8"/>
  <c r="Z1473" i="8"/>
  <c r="Y1474" i="8"/>
  <c r="Z1474" i="8"/>
  <c r="Y1475" i="8"/>
  <c r="Z1475" i="8"/>
  <c r="Y1476" i="8"/>
  <c r="Z1476" i="8"/>
  <c r="Y1477" i="8"/>
  <c r="Z1477" i="8"/>
  <c r="Y1478" i="8"/>
  <c r="Z1478" i="8"/>
  <c r="Y1479" i="8"/>
  <c r="Z1479" i="8"/>
  <c r="Y1480" i="8"/>
  <c r="Z1480" i="8"/>
  <c r="Y1481" i="8"/>
  <c r="Z1481" i="8"/>
  <c r="Y1482" i="8"/>
  <c r="Z1482" i="8"/>
  <c r="Y1483" i="8"/>
  <c r="Z1483" i="8"/>
  <c r="Y1484" i="8"/>
  <c r="Z1484" i="8"/>
  <c r="Y1485" i="8"/>
  <c r="Z1485" i="8"/>
  <c r="Y1486" i="8"/>
  <c r="Z1486" i="8"/>
  <c r="Y1487" i="8"/>
  <c r="Z1487" i="8"/>
  <c r="Y1488" i="8"/>
  <c r="Z1488" i="8"/>
  <c r="Y1489" i="8"/>
  <c r="Z1489" i="8"/>
  <c r="Y1490" i="8"/>
  <c r="Z1490" i="8"/>
  <c r="Y1491" i="8"/>
  <c r="Z1491" i="8"/>
  <c r="Y1492" i="8"/>
  <c r="Z1492" i="8"/>
  <c r="Y1493" i="8"/>
  <c r="Z1493" i="8"/>
  <c r="Y1494" i="8"/>
  <c r="Z1494" i="8"/>
  <c r="Y1495" i="8"/>
  <c r="Z1495" i="8"/>
  <c r="Y1496" i="8"/>
  <c r="Z1496" i="8"/>
  <c r="Y1497" i="8"/>
  <c r="Z1497" i="8"/>
  <c r="Y1498" i="8"/>
  <c r="Z1498" i="8"/>
  <c r="Y1499" i="8"/>
  <c r="Z1499" i="8"/>
  <c r="Y1500" i="8"/>
  <c r="Z1500" i="8"/>
  <c r="Y1501" i="8"/>
  <c r="Z1501" i="8"/>
  <c r="Y1502" i="8"/>
  <c r="Z1502" i="8"/>
  <c r="Y1503" i="8"/>
  <c r="Z1503" i="8"/>
  <c r="Y1504" i="8"/>
  <c r="Z1504" i="8"/>
  <c r="Y1505" i="8"/>
  <c r="Z1505" i="8"/>
  <c r="Y1506" i="8"/>
  <c r="Z1506" i="8"/>
  <c r="Y1507" i="8"/>
  <c r="Z1507" i="8"/>
  <c r="Y1508" i="8"/>
  <c r="Z1508" i="8"/>
  <c r="Y1509" i="8"/>
  <c r="Z1509" i="8"/>
  <c r="Y1510" i="8"/>
  <c r="Z1510" i="8"/>
  <c r="Y1511" i="8"/>
  <c r="Z1511" i="8"/>
  <c r="Y1512" i="8"/>
  <c r="Z1512" i="8"/>
  <c r="Y1513" i="8"/>
  <c r="Z1513" i="8"/>
  <c r="Y1514" i="8"/>
  <c r="Z1514" i="8"/>
  <c r="Y1515" i="8"/>
  <c r="Z1515" i="8"/>
  <c r="Y1516" i="8"/>
  <c r="Z1516" i="8"/>
  <c r="Y1517" i="8"/>
  <c r="Z1517" i="8"/>
  <c r="Y1518" i="8"/>
  <c r="Z1518" i="8"/>
  <c r="Y1519" i="8"/>
  <c r="Z1519" i="8"/>
  <c r="Y1520" i="8"/>
  <c r="Z1520" i="8"/>
  <c r="Y1521" i="8"/>
  <c r="Z1521" i="8"/>
  <c r="Y1522" i="8"/>
  <c r="Z1522" i="8"/>
  <c r="Y1523" i="8"/>
  <c r="Z1523" i="8"/>
  <c r="Y1524" i="8"/>
  <c r="Z1524" i="8"/>
  <c r="Y1525" i="8"/>
  <c r="Z1525" i="8"/>
  <c r="Y1526" i="8"/>
  <c r="Z1526" i="8"/>
  <c r="Y1527" i="8"/>
  <c r="Z1527" i="8"/>
  <c r="Y1528" i="8"/>
  <c r="Z1528" i="8"/>
  <c r="Y1529" i="8"/>
  <c r="Z1529" i="8"/>
  <c r="Y1530" i="8"/>
  <c r="Z1530" i="8"/>
  <c r="Y1531" i="8"/>
  <c r="Z1531" i="8"/>
  <c r="Y1532" i="8"/>
  <c r="Z1532" i="8"/>
  <c r="Y1533" i="8"/>
  <c r="Z1533" i="8"/>
  <c r="Y1534" i="8"/>
  <c r="Z1534" i="8"/>
  <c r="Y1535" i="8"/>
  <c r="Z1535" i="8"/>
  <c r="Y1536" i="8"/>
  <c r="Z1536" i="8"/>
  <c r="Y1537" i="8"/>
  <c r="Z1537" i="8"/>
  <c r="Y1538" i="8"/>
  <c r="Z1538" i="8"/>
  <c r="Y1539" i="8"/>
  <c r="Z1539" i="8"/>
  <c r="Y1540" i="8"/>
  <c r="Z1540" i="8"/>
  <c r="Y1541" i="8"/>
  <c r="Z1541" i="8"/>
  <c r="Y1542" i="8"/>
  <c r="Z1542" i="8"/>
  <c r="Y1543" i="8"/>
  <c r="Z1543" i="8"/>
  <c r="Y1544" i="8"/>
  <c r="Z1544" i="8"/>
  <c r="Y1545" i="8"/>
  <c r="Z1545" i="8"/>
  <c r="Y1546" i="8"/>
  <c r="Z1546" i="8"/>
  <c r="Y1547" i="8"/>
  <c r="Z1547" i="8"/>
  <c r="Y1548" i="8"/>
  <c r="Z1548" i="8"/>
  <c r="Y1549" i="8"/>
  <c r="Z1549" i="8"/>
  <c r="Y1550" i="8"/>
  <c r="Z1550" i="8"/>
  <c r="AB62" i="8" l="1"/>
  <c r="AB61" i="8"/>
  <c r="AB60" i="8"/>
  <c r="Y61" i="8"/>
  <c r="Y62" i="8"/>
  <c r="Y63" i="8"/>
  <c r="Y64" i="8"/>
  <c r="Y65" i="8"/>
  <c r="Y66" i="8"/>
  <c r="Y67" i="8"/>
  <c r="Y68" i="8"/>
  <c r="Y69" i="8"/>
  <c r="Y70" i="8"/>
  <c r="Y50" i="8"/>
  <c r="AB47" i="8"/>
  <c r="Y47" i="8"/>
  <c r="AB44" i="8" l="1"/>
  <c r="AB43" i="8"/>
  <c r="AB41" i="8"/>
  <c r="AB40" i="8"/>
  <c r="Y40" i="8"/>
  <c r="Y41" i="8"/>
  <c r="Y42" i="8"/>
  <c r="Y43" i="8"/>
  <c r="Y44" i="8"/>
  <c r="AB15" i="8"/>
  <c r="Y15" i="8"/>
  <c r="U4" i="8"/>
  <c r="Y4" i="8"/>
  <c r="AA1" i="8"/>
  <c r="Z84" i="8" s="1"/>
  <c r="Z81" i="8" l="1"/>
  <c r="Z83" i="8"/>
  <c r="Z82" i="8"/>
  <c r="Z57" i="8"/>
  <c r="Z56" i="8"/>
  <c r="Z55" i="8"/>
  <c r="Z58" i="8"/>
  <c r="Z61" i="8"/>
  <c r="Z63" i="8"/>
  <c r="Z65" i="8"/>
  <c r="Z67" i="8"/>
  <c r="Z69" i="8"/>
  <c r="Z47" i="8"/>
  <c r="Z50" i="8"/>
  <c r="Z62" i="8"/>
  <c r="Z64" i="8"/>
  <c r="Z66" i="8"/>
  <c r="Z68" i="8"/>
  <c r="Z70" i="8"/>
  <c r="Z44" i="8"/>
  <c r="Z42" i="8"/>
  <c r="Z40" i="8"/>
  <c r="Z15" i="8"/>
  <c r="Z43" i="8"/>
  <c r="Z41" i="8"/>
  <c r="Z4" i="8"/>
  <c r="U5" i="8"/>
  <c r="Y79" i="8" l="1"/>
  <c r="Y80" i="8"/>
  <c r="Y6" i="8"/>
  <c r="Y7" i="8"/>
  <c r="Y8" i="8"/>
  <c r="Y9" i="8"/>
  <c r="Y10" i="8"/>
  <c r="Y11" i="8"/>
  <c r="Y12" i="8"/>
  <c r="Y13" i="8"/>
  <c r="Y14" i="8"/>
  <c r="Y16" i="8"/>
  <c r="Y17" i="8"/>
  <c r="Y18" i="8"/>
  <c r="Y19" i="8"/>
  <c r="Y20" i="8"/>
  <c r="Y21" i="8"/>
  <c r="Y22" i="8"/>
  <c r="Y23" i="8"/>
  <c r="Y24" i="8"/>
  <c r="Y25" i="8"/>
  <c r="Y26" i="8"/>
  <c r="Y27" i="8"/>
  <c r="Y28" i="8"/>
  <c r="Y29" i="8"/>
  <c r="Y30" i="8"/>
  <c r="Y31" i="8"/>
  <c r="Y32" i="8"/>
  <c r="Y33" i="8"/>
  <c r="Y34" i="8"/>
  <c r="Y35" i="8"/>
  <c r="Y36" i="8"/>
  <c r="Y37" i="8"/>
  <c r="Y38" i="8"/>
  <c r="Y39" i="8"/>
  <c r="Y45" i="8"/>
  <c r="Y46" i="8"/>
  <c r="Y48" i="8"/>
  <c r="Y49" i="8"/>
  <c r="Y51" i="8"/>
  <c r="Y52" i="8"/>
  <c r="Y53" i="8"/>
  <c r="Y54" i="8"/>
  <c r="Y59" i="8"/>
  <c r="Y60" i="8"/>
  <c r="Y71" i="8"/>
  <c r="Y72" i="8"/>
  <c r="Y73" i="8"/>
  <c r="Y74" i="8"/>
  <c r="Y75" i="8"/>
  <c r="Y76" i="8"/>
  <c r="Y77" i="8"/>
  <c r="Y78" i="8"/>
  <c r="Y5" i="8"/>
  <c r="Z79" i="8" l="1"/>
  <c r="Z75" i="8"/>
  <c r="Z71" i="8"/>
  <c r="Z60" i="8"/>
  <c r="Z52" i="8"/>
  <c r="Z46" i="8"/>
  <c r="Z37" i="8"/>
  <c r="Z33" i="8"/>
  <c r="Z29" i="8"/>
  <c r="Z25" i="8"/>
  <c r="Z21" i="8"/>
  <c r="Z17" i="8"/>
  <c r="Z12" i="8"/>
  <c r="Z8" i="8"/>
  <c r="Z78" i="8"/>
  <c r="Z74" i="8"/>
  <c r="Z59" i="8"/>
  <c r="Z51" i="8"/>
  <c r="Z45" i="8"/>
  <c r="Z36" i="8"/>
  <c r="Z32" i="8"/>
  <c r="Z28" i="8"/>
  <c r="Z24" i="8"/>
  <c r="Z20" i="8"/>
  <c r="Z16" i="8"/>
  <c r="Z11" i="8"/>
  <c r="Z7" i="8"/>
  <c r="Z77" i="8"/>
  <c r="Z73" i="8"/>
  <c r="Z54" i="8"/>
  <c r="Z49" i="8"/>
  <c r="Z39" i="8"/>
  <c r="Z35" i="8"/>
  <c r="Z31" i="8"/>
  <c r="Z27" i="8"/>
  <c r="Z23" i="8"/>
  <c r="Z19" i="8"/>
  <c r="Z14" i="8"/>
  <c r="Z10" i="8"/>
  <c r="Z6" i="8"/>
  <c r="Z5" i="8"/>
  <c r="Z80" i="8"/>
  <c r="Z76" i="8"/>
  <c r="Z72" i="8"/>
  <c r="Z53" i="8"/>
  <c r="Z48" i="8"/>
  <c r="Z38" i="8"/>
  <c r="Z34" i="8"/>
  <c r="Z30" i="8"/>
  <c r="Z26" i="8"/>
  <c r="Z22" i="8"/>
  <c r="Z18" i="8"/>
  <c r="Z13" i="8"/>
  <c r="Z9" i="8"/>
  <c r="U64" i="8" l="1"/>
  <c r="U63" i="8"/>
  <c r="U62" i="8"/>
  <c r="AB75" i="8" s="1"/>
  <c r="U60" i="8"/>
  <c r="AM57" i="8"/>
  <c r="AF59" i="8" s="1"/>
  <c r="AM53" i="8"/>
  <c r="U55" i="8"/>
  <c r="U57" i="8" l="1"/>
  <c r="AM56" i="8" l="1"/>
  <c r="AM52" i="8"/>
  <c r="AF58" i="8" s="1"/>
  <c r="AM45" i="8"/>
  <c r="U39" i="8"/>
  <c r="U61" i="8"/>
  <c r="AB74" i="8" s="1"/>
  <c r="U38" i="8"/>
  <c r="U30" i="8"/>
  <c r="AB31" i="8" s="1"/>
  <c r="U27" i="8"/>
  <c r="AB28" i="8" s="1"/>
  <c r="U24" i="8"/>
  <c r="AB25" i="8" s="1"/>
  <c r="U58" i="8"/>
  <c r="AM48" i="8"/>
  <c r="AJ57" i="8" s="1"/>
  <c r="U46" i="8"/>
  <c r="AD54" i="8" s="1"/>
  <c r="U49" i="8"/>
  <c r="AD56" i="8" s="1"/>
  <c r="U47" i="8"/>
  <c r="AD55" i="8" s="1"/>
  <c r="U45" i="8"/>
  <c r="AD53" i="8" s="1"/>
  <c r="U44" i="8"/>
  <c r="AB38" i="8"/>
  <c r="U29" i="8"/>
  <c r="U28" i="8"/>
  <c r="AM39" i="8" l="1"/>
  <c r="AD57" i="8" s="1"/>
  <c r="AF57" i="8"/>
  <c r="AM51" i="8"/>
  <c r="AD58" i="8" s="1"/>
  <c r="AM55" i="8"/>
  <c r="AM49" i="8"/>
  <c r="AB58" i="8" s="1"/>
  <c r="AM38" i="8"/>
  <c r="AB57" i="8" s="1"/>
  <c r="AB23" i="8"/>
  <c r="U22" i="8"/>
  <c r="U21" i="8"/>
  <c r="U34" i="8" l="1"/>
  <c r="U59" i="8" l="1"/>
  <c r="U56" i="8" l="1"/>
  <c r="U54" i="8"/>
  <c r="AM59" i="8" l="1"/>
  <c r="AJ59" i="8" s="1"/>
  <c r="AM54" i="8"/>
  <c r="AJ58" i="8" s="1"/>
  <c r="AD59" i="8"/>
  <c r="AB59" i="8"/>
  <c r="AH59" i="8"/>
  <c r="AM58" i="8"/>
  <c r="AM46" i="8" l="1"/>
  <c r="U43" i="8" l="1"/>
  <c r="U41" i="8"/>
  <c r="U42" i="8"/>
  <c r="U40" i="8"/>
  <c r="AM25" i="8" l="1"/>
  <c r="AO25" i="8" s="1"/>
  <c r="U33" i="8"/>
  <c r="U32" i="8"/>
  <c r="U15" i="8"/>
  <c r="U37" i="8" l="1"/>
  <c r="U35" i="8"/>
  <c r="AB37" i="8"/>
  <c r="U36" i="8"/>
  <c r="AB34" i="8"/>
  <c r="U31" i="8"/>
  <c r="AM26" i="8"/>
  <c r="AO26" i="8" s="1"/>
  <c r="U26" i="8" l="1"/>
  <c r="U7" i="8"/>
  <c r="AB24" i="8" l="1"/>
  <c r="U23" i="8"/>
  <c r="U20" i="8" l="1"/>
  <c r="U19" i="8" l="1"/>
  <c r="U17" i="8"/>
  <c r="U16" i="8" l="1"/>
  <c r="U14" i="8" l="1"/>
  <c r="U13" i="8"/>
  <c r="U11" i="8"/>
  <c r="AB9" i="8"/>
  <c r="U18" i="8" l="1"/>
  <c r="U12" i="8"/>
  <c r="U10" i="8"/>
  <c r="U9" i="8"/>
  <c r="U8" i="8"/>
  <c r="U6" i="8"/>
</calcChain>
</file>

<file path=xl/connections.xml><?xml version="1.0" encoding="utf-8"?>
<connections xmlns="http://schemas.openxmlformats.org/spreadsheetml/2006/main">
  <connection id="1" keepAlive="1" name="Query - VersionCheck" description="Connection to the 'VersionCheck' query in the workbook." type="5" refreshedVersion="6" background="1" saveData="1">
    <dbPr connection="Provider=Microsoft.Mashup.OleDb.1;Data Source=$Workbook$;Location=VersionCheck;Extended Properties=&quot;&quot;" command="SELECT * FROM [VersionCheck]"/>
  </connection>
</connections>
</file>

<file path=xl/sharedStrings.xml><?xml version="1.0" encoding="utf-8"?>
<sst xmlns="http://schemas.openxmlformats.org/spreadsheetml/2006/main" count="15119" uniqueCount="9220">
  <si>
    <t xml:space="preserve">Product.MarketSectorDescription </t>
  </si>
  <si>
    <t>ABS</t>
  </si>
  <si>
    <t>BASKET</t>
  </si>
  <si>
    <t>CDS</t>
  </si>
  <si>
    <t>CMO</t>
  </si>
  <si>
    <t>COMMODITY</t>
  </si>
  <si>
    <t>CORP</t>
  </si>
  <si>
    <t>CURRENCY</t>
  </si>
  <si>
    <t>EQUITY</t>
  </si>
  <si>
    <t>FORWARD</t>
  </si>
  <si>
    <t>FUTURE</t>
  </si>
  <si>
    <t>GOVT</t>
  </si>
  <si>
    <t>INDEX</t>
  </si>
  <si>
    <t>LOAN</t>
  </si>
  <si>
    <t>MONEY_MKT</t>
  </si>
  <si>
    <t>MBS</t>
  </si>
  <si>
    <t>MUNI</t>
  </si>
  <si>
    <t>OPTION</t>
  </si>
  <si>
    <t>PFD</t>
  </si>
  <si>
    <t>SPREAD</t>
  </si>
  <si>
    <t>WARRANT</t>
  </si>
  <si>
    <t>Coupon Dividend Type</t>
  </si>
  <si>
    <t>Coupon changes to predetermined levels on specific dates.</t>
  </si>
  <si>
    <t>STEP</t>
  </si>
  <si>
    <t>Coupon is fixed.</t>
  </si>
  <si>
    <t>FIX</t>
  </si>
  <si>
    <t>Coupon is periodically reset via an auction.</t>
  </si>
  <si>
    <t>AUCT</t>
  </si>
  <si>
    <t>Coupon is reset at specified intervals according to a pre-determined formula bas</t>
  </si>
  <si>
    <t>FLT</t>
  </si>
  <si>
    <t>Coupon rate structure can change between fixed rate and floating rate in accorda</t>
  </si>
  <si>
    <t>VAR</t>
  </si>
  <si>
    <t>Coupon type is unknown.</t>
  </si>
  <si>
    <t>UNK</t>
  </si>
  <si>
    <t>Original issue discount; security is issued at a price less than par</t>
  </si>
  <si>
    <t>OID</t>
  </si>
  <si>
    <t>Payment in Kind</t>
  </si>
  <si>
    <t>PIK</t>
  </si>
  <si>
    <t>Security has a zero coupon to a predetermined date, then converts to fixed rate.</t>
  </si>
  <si>
    <t>ZERF</t>
  </si>
  <si>
    <t>Security has been co-mingled with an existing security</t>
  </si>
  <si>
    <t>FNGD</t>
  </si>
  <si>
    <t>Security has been exchanged for another security</t>
  </si>
  <si>
    <t>EXCH</t>
  </si>
  <si>
    <t>Security is in default</t>
  </si>
  <si>
    <t>DFLT</t>
  </si>
  <si>
    <t>Security is trading without accrued interest</t>
  </si>
  <si>
    <t>FLAT</t>
  </si>
  <si>
    <t>Security originally had a var. coupon, and has since been remarked as fixed rate</t>
  </si>
  <si>
    <t>VARF</t>
  </si>
  <si>
    <t>Security, although authorized, has not yet been issued.</t>
  </si>
  <si>
    <t>WHEN</t>
  </si>
  <si>
    <t>The bond sold at a discount to its face value, makes no payments until maturity.</t>
  </si>
  <si>
    <t>ZERO</t>
  </si>
  <si>
    <t>Coupon Dividend Frequency</t>
  </si>
  <si>
    <t>Issue Status</t>
  </si>
  <si>
    <t>Acquired</t>
  </si>
  <si>
    <t>ACQU</t>
  </si>
  <si>
    <t>Active</t>
  </si>
  <si>
    <t>ACTV</t>
  </si>
  <si>
    <t>ACTIV</t>
  </si>
  <si>
    <t>Additional Information on DES</t>
  </si>
  <si>
    <t>INFO</t>
  </si>
  <si>
    <t>ADDIN</t>
  </si>
  <si>
    <t>Auction</t>
  </si>
  <si>
    <t>AUCTN</t>
  </si>
  <si>
    <t>Automatic</t>
  </si>
  <si>
    <t>ATMTC</t>
  </si>
  <si>
    <t>Cancelled</t>
  </si>
  <si>
    <t>CANCL</t>
  </si>
  <si>
    <t>Converted</t>
  </si>
  <si>
    <t>CONV</t>
  </si>
  <si>
    <t>Delisted</t>
  </si>
  <si>
    <t>DLSTD</t>
  </si>
  <si>
    <t>Expired</t>
  </si>
  <si>
    <t>EXPRD</t>
  </si>
  <si>
    <t>Frozen</t>
  </si>
  <si>
    <t>FROZN</t>
  </si>
  <si>
    <t>Halt - SEC Revocation</t>
  </si>
  <si>
    <t>HREC</t>
  </si>
  <si>
    <t>Halted</t>
  </si>
  <si>
    <t>HALTD</t>
  </si>
  <si>
    <t>INACTIVE</t>
  </si>
  <si>
    <t>INACT</t>
  </si>
  <si>
    <t>Liquidated</t>
  </si>
  <si>
    <t>LQDAT</t>
  </si>
  <si>
    <t>LOW</t>
  </si>
  <si>
    <t>Market Imbalance Buy</t>
  </si>
  <si>
    <t>MIMBB</t>
  </si>
  <si>
    <t>Market Imbalance Sell</t>
  </si>
  <si>
    <t>MIMBS</t>
  </si>
  <si>
    <t>Matured Issue</t>
  </si>
  <si>
    <t>MATRD</t>
  </si>
  <si>
    <t>News and Resumption Times</t>
  </si>
  <si>
    <t>NEWRE</t>
  </si>
  <si>
    <t>NO INSCRITA</t>
  </si>
  <si>
    <t>NOREG</t>
  </si>
  <si>
    <t>No Open / No Resume</t>
  </si>
  <si>
    <t>NOOP</t>
  </si>
  <si>
    <t>NOT APPLICABLE</t>
  </si>
  <si>
    <t>NA</t>
  </si>
  <si>
    <t>Opening Auction</t>
  </si>
  <si>
    <t>OPAUC</t>
  </si>
  <si>
    <t>Opening Delay</t>
  </si>
  <si>
    <t>OPDEL</t>
  </si>
  <si>
    <t>Opening pending new</t>
  </si>
  <si>
    <t>OPNG</t>
  </si>
  <si>
    <t>Pending</t>
  </si>
  <si>
    <t>PENDG</t>
  </si>
  <si>
    <t>POSTPONED</t>
  </si>
  <si>
    <t>POSTD</t>
  </si>
  <si>
    <t>Price Not Available</t>
  </si>
  <si>
    <t>PRNAV</t>
  </si>
  <si>
    <t>Put</t>
  </si>
  <si>
    <t>PUT</t>
  </si>
  <si>
    <t>Repurchased</t>
  </si>
  <si>
    <t>REPCH</t>
  </si>
  <si>
    <t>Reserved</t>
  </si>
  <si>
    <t>RSRVD</t>
  </si>
  <si>
    <t>Restricted- OFAC Countries</t>
  </si>
  <si>
    <t>RESTR</t>
  </si>
  <si>
    <t>Security has been exchanged for another</t>
  </si>
  <si>
    <t>EXCHD</t>
  </si>
  <si>
    <t>Security has been fully called at a call</t>
  </si>
  <si>
    <t>CALLD</t>
  </si>
  <si>
    <t>Security has been funged (interchanged)</t>
  </si>
  <si>
    <t>FUNGD</t>
  </si>
  <si>
    <t>Security has been Withdrawn.</t>
  </si>
  <si>
    <t>WITHD</t>
  </si>
  <si>
    <t>Security has stopped paying on coupons</t>
  </si>
  <si>
    <t>DEFLT</t>
  </si>
  <si>
    <t>Security was Deleted</t>
  </si>
  <si>
    <t>DELT</t>
  </si>
  <si>
    <t>Suspended</t>
  </si>
  <si>
    <t>SUSPD</t>
  </si>
  <si>
    <t>Ticker Change</t>
  </si>
  <si>
    <t>TKCHG</t>
  </si>
  <si>
    <t>Unlisted</t>
  </si>
  <si>
    <t>ULSTD</t>
  </si>
  <si>
    <t>UP</t>
  </si>
  <si>
    <t>WARNING</t>
  </si>
  <si>
    <t>WARN</t>
  </si>
  <si>
    <t>When Issued</t>
  </si>
  <si>
    <t>WISSD</t>
  </si>
  <si>
    <t>SECURITY TYPE LEVEL1</t>
  </si>
  <si>
    <t>Market Sector</t>
  </si>
  <si>
    <t>MONEY-MKT</t>
  </si>
  <si>
    <t>CMBS</t>
  </si>
  <si>
    <t>ABS-AUTO</t>
  </si>
  <si>
    <t>CROSS-CRNCY</t>
  </si>
  <si>
    <t>COMMON-STOCK</t>
  </si>
  <si>
    <t>BOND-FUTURE</t>
  </si>
  <si>
    <t>AUSTRALIAN</t>
  </si>
  <si>
    <t>COMMODITY-INDEX</t>
  </si>
  <si>
    <t>ADVISED/LOC</t>
  </si>
  <si>
    <t>CA-POOL</t>
  </si>
  <si>
    <t>BANK-NOTE</t>
  </si>
  <si>
    <t>DOUBLE BARREL</t>
  </si>
  <si>
    <t>BOND-OPTION</t>
  </si>
  <si>
    <t>PRIVATE-PREFERRED</t>
  </si>
  <si>
    <t>FUTURE-SPREAD</t>
  </si>
  <si>
    <t>BASKET-WRNT</t>
  </si>
  <si>
    <t>N/A</t>
  </si>
  <si>
    <t>CMO-FLOATER</t>
  </si>
  <si>
    <t>ABS-CARD</t>
  </si>
  <si>
    <t>DEPOSIT-CRNCY</t>
  </si>
  <si>
    <t>DEPOSITORY-RECEIPT</t>
  </si>
  <si>
    <t>COMMODITY-FUTURE</t>
  </si>
  <si>
    <t>BULLDOG</t>
  </si>
  <si>
    <t>CREDIT-INDEX</t>
  </si>
  <si>
    <t>BULLET</t>
  </si>
  <si>
    <t>SBA-POOL</t>
  </si>
  <si>
    <t>BANKERS-ACCEPTANCE</t>
  </si>
  <si>
    <t>GENERAL OBLIGATION</t>
  </si>
  <si>
    <t>COMMODITY-OPTION</t>
  </si>
  <si>
    <t>PUBLIC-PREFERRED</t>
  </si>
  <si>
    <t>HYBRID-SPREAD</t>
  </si>
  <si>
    <t>COMDTY-FUT-WRNT</t>
  </si>
  <si>
    <t>CMO-INT-ONLY</t>
  </si>
  <si>
    <t>ABS-CASHFLOW</t>
  </si>
  <si>
    <t>FORD-CROSS-CRNCY</t>
  </si>
  <si>
    <t>INCOME-DEPOSIT-SEC</t>
  </si>
  <si>
    <t>CURRENCY-FUTURE</t>
  </si>
  <si>
    <t>CANADIAN</t>
  </si>
  <si>
    <t>CURRENCY-INDEX</t>
  </si>
  <si>
    <t>LOAN-CERTIFICATE</t>
  </si>
  <si>
    <t>TBA-POOL</t>
  </si>
  <si>
    <t>CERT-OF-DEPOSIT</t>
  </si>
  <si>
    <t>MUNI BOND</t>
  </si>
  <si>
    <t>CURRENCY-OPTION</t>
  </si>
  <si>
    <t>OPTION-SPREAD</t>
  </si>
  <si>
    <t>COMDTY-INDEX-WRNT</t>
  </si>
  <si>
    <t>CMO-INV-FLOATER</t>
  </si>
  <si>
    <t>ABS-HOME</t>
  </si>
  <si>
    <t>FORWARD-CRNCY</t>
  </si>
  <si>
    <t>LISTED-NOTE</t>
  </si>
  <si>
    <t>INDEX-FUTURE</t>
  </si>
  <si>
    <t>DOMESTIC</t>
  </si>
  <si>
    <t>EQUITY-INDEX</t>
  </si>
  <si>
    <t>US-POOL</t>
  </si>
  <si>
    <t>COMM-PAPER</t>
  </si>
  <si>
    <t>MUNI NOTE</t>
  </si>
  <si>
    <t>INDEX-OPTION</t>
  </si>
  <si>
    <t>CORP-BOND-WRNT</t>
  </si>
  <si>
    <t>CMO-OTHER</t>
  </si>
  <si>
    <t>ABS-HYBRID</t>
  </si>
  <si>
    <t>IMM FORWARD-CRNCY</t>
  </si>
  <si>
    <t>MUTUAL-FUND</t>
  </si>
  <si>
    <t>INTEREST-RATE-FUTURE</t>
  </si>
  <si>
    <t>DOMESTIC-MTN</t>
  </si>
  <si>
    <t>ETF-INDEX</t>
  </si>
  <si>
    <t>COMM-PAPER(CORP)</t>
  </si>
  <si>
    <t>REVENUE</t>
  </si>
  <si>
    <t>INTEREST-RATE-OPTION</t>
  </si>
  <si>
    <t>CURRENCY-WARRANT</t>
  </si>
  <si>
    <t>CMO-PRIN-ONLY</t>
  </si>
  <si>
    <t>ABS-MARKET-VALUE</t>
  </si>
  <si>
    <t>NON-DELIVB-FRD-CRNCY</t>
  </si>
  <si>
    <t>PARTICIPATION</t>
  </si>
  <si>
    <t>OTHER-FUTURE</t>
  </si>
  <si>
    <t>EURO-DOLLAR</t>
  </si>
  <si>
    <t>NON-EQUITY-INDEX</t>
  </si>
  <si>
    <t>COMM-PAPER(MUNI)</t>
  </si>
  <si>
    <t>OPTION-FUTURE</t>
  </si>
  <si>
    <t>EQUITY-WRNT</t>
  </si>
  <si>
    <t>CMO-Z-ACCRUAL</t>
  </si>
  <si>
    <t>ABS-OTHER</t>
  </si>
  <si>
    <t>ONSHORE-FORDCRNCY</t>
  </si>
  <si>
    <t>PARTNERSHIP</t>
  </si>
  <si>
    <t>STOCK-FUTURE</t>
  </si>
  <si>
    <t>EURO-MTN</t>
  </si>
  <si>
    <t>REAL-ESTATE-INDEX</t>
  </si>
  <si>
    <t>COMM-PAPER(PFD)</t>
  </si>
  <si>
    <t>OTHER-OPTION</t>
  </si>
  <si>
    <t>HEDGE-FUND-WRNT</t>
  </si>
  <si>
    <t>WHLN-FLOATER</t>
  </si>
  <si>
    <t>ABS-SYN</t>
  </si>
  <si>
    <t>ONSHORE-SWAP-CRNCY</t>
  </si>
  <si>
    <t>PREFERENCE</t>
  </si>
  <si>
    <t>EURO-NON-DOLLAR</t>
  </si>
  <si>
    <t>STRUCTURED-FIN-INDEX</t>
  </si>
  <si>
    <t>DEPOSIT-NOTE(MTN)</t>
  </si>
  <si>
    <t>SPREAD-OPTION</t>
  </si>
  <si>
    <t>INDEX-FUT-WRNT</t>
  </si>
  <si>
    <t>WHLN-INT-ONLY</t>
  </si>
  <si>
    <t>OPTION-VOLY-CRNCY</t>
  </si>
  <si>
    <t>PRIV-PLACEMENT</t>
  </si>
  <si>
    <t>EURO-ZONE</t>
  </si>
  <si>
    <t>DISCOUNT-NOTE</t>
  </si>
  <si>
    <t>STOCK-OPTION</t>
  </si>
  <si>
    <t>INDEX-WRNT</t>
  </si>
  <si>
    <t>WHLN-INV-FLOATER</t>
  </si>
  <si>
    <t>OTHER-CRNCY</t>
  </si>
  <si>
    <t>RIGHT</t>
  </si>
  <si>
    <t>GLOBAL</t>
  </si>
  <si>
    <t>MEDIUM-TERM-NOTE</t>
  </si>
  <si>
    <t>INT-RATE-FUT-WRNT</t>
  </si>
  <si>
    <t>WHLN-OTHER</t>
  </si>
  <si>
    <t>REPO-CRNCY</t>
  </si>
  <si>
    <t>SECOND-MORT-LENDING</t>
  </si>
  <si>
    <t>MONEY-MARKET</t>
  </si>
  <si>
    <t>INT-RATE-SWAP-WRNT</t>
  </si>
  <si>
    <t>WHLN-PRIN-ONLY</t>
  </si>
  <si>
    <t>CCDS</t>
  </si>
  <si>
    <t>SPOT-CRNCY</t>
  </si>
  <si>
    <t>SUB-FUND</t>
  </si>
  <si>
    <t>RESTRUCTURD-DEBT</t>
  </si>
  <si>
    <t>INT-RATE-WRNT</t>
  </si>
  <si>
    <t>WHLN-Z-ACCRUAL</t>
  </si>
  <si>
    <t>SWAP-CRNCY</t>
  </si>
  <si>
    <t>TRUST</t>
  </si>
  <si>
    <t>SAMURAI</t>
  </si>
  <si>
    <t>REPO</t>
  </si>
  <si>
    <t>PFD-WRNT</t>
  </si>
  <si>
    <t>SWAPTION-VOLY-CRNCY</t>
  </si>
  <si>
    <t>UNIT</t>
  </si>
  <si>
    <t>UK-GILT-STOCK</t>
  </si>
  <si>
    <t>TERM-DEPOSIT</t>
  </si>
  <si>
    <t>VVPR-STRIP</t>
  </si>
  <si>
    <t>US-DOMESTIC</t>
  </si>
  <si>
    <t>VRDO (CORP)</t>
  </si>
  <si>
    <t>US-GOVERNMENT</t>
  </si>
  <si>
    <t>VRDO (MUNI)</t>
  </si>
  <si>
    <t>YANKEE</t>
  </si>
  <si>
    <t>US-NON-DOLLAR</t>
  </si>
  <si>
    <t>Currency attribute</t>
  </si>
  <si>
    <t>Description</t>
  </si>
  <si>
    <t>Currency code</t>
  </si>
  <si>
    <t>USD</t>
  </si>
  <si>
    <t>---</t>
  </si>
  <si>
    <t>ABC</t>
  </si>
  <si>
    <t>ADP</t>
  </si>
  <si>
    <t>AED</t>
  </si>
  <si>
    <t>AFN</t>
  </si>
  <si>
    <t>AFS</t>
  </si>
  <si>
    <t>ALL</t>
  </si>
  <si>
    <t>AMD</t>
  </si>
  <si>
    <t>ANG</t>
  </si>
  <si>
    <t>AOA</t>
  </si>
  <si>
    <t>AON</t>
  </si>
  <si>
    <t>AOR</t>
  </si>
  <si>
    <t>ARS</t>
  </si>
  <si>
    <t>ATS</t>
  </si>
  <si>
    <t>AUD</t>
  </si>
  <si>
    <t>AWG</t>
  </si>
  <si>
    <t>AZN</t>
  </si>
  <si>
    <t>BAM</t>
  </si>
  <si>
    <t>BBD</t>
  </si>
  <si>
    <t>BDT</t>
  </si>
  <si>
    <t>BEF</t>
  </si>
  <si>
    <t>BGN</t>
  </si>
  <si>
    <t>BHD</t>
  </si>
  <si>
    <t>BIF</t>
  </si>
  <si>
    <t>BIS</t>
  </si>
  <si>
    <t>BMD</t>
  </si>
  <si>
    <t>BND</t>
  </si>
  <si>
    <t>BOB</t>
  </si>
  <si>
    <t>BOF</t>
  </si>
  <si>
    <t>BOV</t>
  </si>
  <si>
    <t>BRC</t>
  </si>
  <si>
    <t>BRL</t>
  </si>
  <si>
    <t>BRS</t>
  </si>
  <si>
    <t>BSD</t>
  </si>
  <si>
    <t>BTN</t>
  </si>
  <si>
    <t>BWP</t>
  </si>
  <si>
    <t>BYR</t>
  </si>
  <si>
    <t>BZD</t>
  </si>
  <si>
    <t>CAD</t>
  </si>
  <si>
    <t>CDF</t>
  </si>
  <si>
    <t>CER</t>
  </si>
  <si>
    <t>CHE</t>
  </si>
  <si>
    <t>CHF</t>
  </si>
  <si>
    <t>CHW</t>
  </si>
  <si>
    <t>CLF</t>
  </si>
  <si>
    <t>CLP</t>
  </si>
  <si>
    <t>CNH</t>
  </si>
  <si>
    <t>CNY</t>
  </si>
  <si>
    <t>COP</t>
  </si>
  <si>
    <t>COU</t>
  </si>
  <si>
    <t>CRC</t>
  </si>
  <si>
    <t>CSD</t>
  </si>
  <si>
    <t>CSK</t>
  </si>
  <si>
    <t>CUC</t>
  </si>
  <si>
    <t>CUP</t>
  </si>
  <si>
    <t>CUV</t>
  </si>
  <si>
    <t>CVE</t>
  </si>
  <si>
    <t>CYP</t>
  </si>
  <si>
    <t>CZK</t>
  </si>
  <si>
    <t>DEM</t>
  </si>
  <si>
    <t>DJF</t>
  </si>
  <si>
    <t>DKK</t>
  </si>
  <si>
    <t>DOP</t>
  </si>
  <si>
    <t>DZD</t>
  </si>
  <si>
    <t>EAS</t>
  </si>
  <si>
    <t>EBF</t>
  </si>
  <si>
    <t>ECP</t>
  </si>
  <si>
    <t>ECS</t>
  </si>
  <si>
    <t>ECU</t>
  </si>
  <si>
    <t>EDG</t>
  </si>
  <si>
    <t>EDM</t>
  </si>
  <si>
    <t>EEC</t>
  </si>
  <si>
    <t>EEE</t>
  </si>
  <si>
    <t>EEK</t>
  </si>
  <si>
    <t>EES</t>
  </si>
  <si>
    <t>EFM</t>
  </si>
  <si>
    <t>EFR</t>
  </si>
  <si>
    <t>EGD</t>
  </si>
  <si>
    <t>EGP</t>
  </si>
  <si>
    <t>EIL</t>
  </si>
  <si>
    <t>EIP</t>
  </si>
  <si>
    <t>ELF</t>
  </si>
  <si>
    <t>EML</t>
  </si>
  <si>
    <t>EPE</t>
  </si>
  <si>
    <t>ERN</t>
  </si>
  <si>
    <t>ESK</t>
  </si>
  <si>
    <t>ESP</t>
  </si>
  <si>
    <t>EST</t>
  </si>
  <si>
    <t>ETB</t>
  </si>
  <si>
    <t>EUc</t>
  </si>
  <si>
    <t>EUD</t>
  </si>
  <si>
    <t>EUR</t>
  </si>
  <si>
    <t>FGS</t>
  </si>
  <si>
    <t>FIM</t>
  </si>
  <si>
    <t>FIS</t>
  </si>
  <si>
    <t>FJD</t>
  </si>
  <si>
    <t>FKP</t>
  </si>
  <si>
    <t>FRF</t>
  </si>
  <si>
    <t>GBP</t>
  </si>
  <si>
    <t>GBS</t>
  </si>
  <si>
    <t>GCS</t>
  </si>
  <si>
    <t>GEK</t>
  </si>
  <si>
    <t>GEL</t>
  </si>
  <si>
    <t>GFS</t>
  </si>
  <si>
    <t>GGP</t>
  </si>
  <si>
    <t>GHC</t>
  </si>
  <si>
    <t>GHS</t>
  </si>
  <si>
    <t>GIP</t>
  </si>
  <si>
    <t>GKS</t>
  </si>
  <si>
    <t>GMD</t>
  </si>
  <si>
    <t>GNF</t>
  </si>
  <si>
    <t>GQE</t>
  </si>
  <si>
    <t>GRD</t>
  </si>
  <si>
    <t>GRN</t>
  </si>
  <si>
    <t>GTQ</t>
  </si>
  <si>
    <t>GWP</t>
  </si>
  <si>
    <t>GYD</t>
  </si>
  <si>
    <t>HKD</t>
  </si>
  <si>
    <t>HNL</t>
  </si>
  <si>
    <t>HRD</t>
  </si>
  <si>
    <t>HRK</t>
  </si>
  <si>
    <t>HTG</t>
  </si>
  <si>
    <t>HUF</t>
  </si>
  <si>
    <t>IDR</t>
  </si>
  <si>
    <t>IDX</t>
  </si>
  <si>
    <t>IEP</t>
  </si>
  <si>
    <t>ILS</t>
  </si>
  <si>
    <t>IMP</t>
  </si>
  <si>
    <t>INR</t>
  </si>
  <si>
    <t>IQD</t>
  </si>
  <si>
    <t>IRR</t>
  </si>
  <si>
    <t>ISK</t>
  </si>
  <si>
    <t>ITL</t>
  </si>
  <si>
    <t>JEP</t>
  </si>
  <si>
    <t>JMD</t>
  </si>
  <si>
    <t>JOD</t>
  </si>
  <si>
    <t>JPY</t>
  </si>
  <si>
    <t>KBS</t>
  </si>
  <si>
    <t>KES</t>
  </si>
  <si>
    <t>KGS</t>
  </si>
  <si>
    <t>KHR</t>
  </si>
  <si>
    <t>KMF</t>
  </si>
  <si>
    <t>KPW</t>
  </si>
  <si>
    <t>KRW</t>
  </si>
  <si>
    <t>KWD</t>
  </si>
  <si>
    <t>KYD</t>
  </si>
  <si>
    <t>KZT</t>
  </si>
  <si>
    <t>LAK</t>
  </si>
  <si>
    <t>LBP</t>
  </si>
  <si>
    <t>LKR</t>
  </si>
  <si>
    <t>LRD</t>
  </si>
  <si>
    <t>LSL</t>
  </si>
  <si>
    <t>LTL</t>
  </si>
  <si>
    <t>LUF</t>
  </si>
  <si>
    <t>LVL</t>
  </si>
  <si>
    <t>LVR</t>
  </si>
  <si>
    <t>LYD</t>
  </si>
  <si>
    <t>MAD</t>
  </si>
  <si>
    <t>MDL</t>
  </si>
  <si>
    <t>MFS</t>
  </si>
  <si>
    <t>MGA</t>
  </si>
  <si>
    <t>MGF</t>
  </si>
  <si>
    <t>MKD</t>
  </si>
  <si>
    <t>MLF</t>
  </si>
  <si>
    <t>MMK</t>
  </si>
  <si>
    <t>MNT</t>
  </si>
  <si>
    <t>MOP</t>
  </si>
  <si>
    <t>MRO</t>
  </si>
  <si>
    <t>MTL</t>
  </si>
  <si>
    <t>MTP</t>
  </si>
  <si>
    <t>MUR</t>
  </si>
  <si>
    <t>MUY</t>
  </si>
  <si>
    <t>MVR</t>
  </si>
  <si>
    <t>MWK</t>
  </si>
  <si>
    <t>MXN</t>
  </si>
  <si>
    <t>MXO</t>
  </si>
  <si>
    <t>MXV</t>
  </si>
  <si>
    <t>MYc</t>
  </si>
  <si>
    <t>MYR</t>
  </si>
  <si>
    <t>MZN</t>
  </si>
  <si>
    <t>NAD</t>
  </si>
  <si>
    <t>NGN</t>
  </si>
  <si>
    <t>NID</t>
  </si>
  <si>
    <t>NIO</t>
  </si>
  <si>
    <t>NIS</t>
  </si>
  <si>
    <t>NLG</t>
  </si>
  <si>
    <t>NOK</t>
  </si>
  <si>
    <t>NPR</t>
  </si>
  <si>
    <t>NZc</t>
  </si>
  <si>
    <t>NZD</t>
  </si>
  <si>
    <t>OMR</t>
  </si>
  <si>
    <t>PAB</t>
  </si>
  <si>
    <t>PEI</t>
  </si>
  <si>
    <t>PEN</t>
  </si>
  <si>
    <t>PGK</t>
  </si>
  <si>
    <t>PHP</t>
  </si>
  <si>
    <t>PIS</t>
  </si>
  <si>
    <t>PKR</t>
  </si>
  <si>
    <t>PLN</t>
  </si>
  <si>
    <t>PLZ</t>
  </si>
  <si>
    <t>PTE</t>
  </si>
  <si>
    <t>PYG</t>
  </si>
  <si>
    <t>QAR</t>
  </si>
  <si>
    <t>RFS</t>
  </si>
  <si>
    <t>RLS</t>
  </si>
  <si>
    <t>ROb</t>
  </si>
  <si>
    <t>RON</t>
  </si>
  <si>
    <t>RSD</t>
  </si>
  <si>
    <t>RUB</t>
  </si>
  <si>
    <t>RUR</t>
  </si>
  <si>
    <t>RWF</t>
  </si>
  <si>
    <t>SAR</t>
  </si>
  <si>
    <t>SBD</t>
  </si>
  <si>
    <t>SCR</t>
  </si>
  <si>
    <t>SDD</t>
  </si>
  <si>
    <t>SDG</t>
  </si>
  <si>
    <t>SDR</t>
  </si>
  <si>
    <t>SEK</t>
  </si>
  <si>
    <t>SGc</t>
  </si>
  <si>
    <t>SGD</t>
  </si>
  <si>
    <t>SHP</t>
  </si>
  <si>
    <t>SIT</t>
  </si>
  <si>
    <t>SKK</t>
  </si>
  <si>
    <t>SLL</t>
  </si>
  <si>
    <t>SMG</t>
  </si>
  <si>
    <t>SMS</t>
  </si>
  <si>
    <t>SOS</t>
  </si>
  <si>
    <t>SPL</t>
  </si>
  <si>
    <t>SRD</t>
  </si>
  <si>
    <t>SRG</t>
  </si>
  <si>
    <t>SSP</t>
  </si>
  <si>
    <t>STD</t>
  </si>
  <si>
    <t>SVC</t>
  </si>
  <si>
    <t>SYP</t>
  </si>
  <si>
    <t>SZL</t>
  </si>
  <si>
    <t>SZS</t>
  </si>
  <si>
    <t>THB</t>
  </si>
  <si>
    <t>THO</t>
  </si>
  <si>
    <t>TJR</t>
  </si>
  <si>
    <t>TJS</t>
  </si>
  <si>
    <t>TLS</t>
  </si>
  <si>
    <t>TMM</t>
  </si>
  <si>
    <t>TMS</t>
  </si>
  <si>
    <t>TMT</t>
  </si>
  <si>
    <t>TND</t>
  </si>
  <si>
    <t>TOP</t>
  </si>
  <si>
    <t>TPE</t>
  </si>
  <si>
    <t>TRL</t>
  </si>
  <si>
    <t>TRY</t>
  </si>
  <si>
    <t>TSS</t>
  </si>
  <si>
    <t>TTD</t>
  </si>
  <si>
    <t>TUVALU</t>
  </si>
  <si>
    <t>TVD</t>
  </si>
  <si>
    <t>TVS</t>
  </si>
  <si>
    <t>TWD</t>
  </si>
  <si>
    <t>TZS</t>
  </si>
  <si>
    <t>UAH</t>
  </si>
  <si>
    <t>UAK</t>
  </si>
  <si>
    <t>UDI</t>
  </si>
  <si>
    <t>UGX</t>
  </si>
  <si>
    <t>UIP</t>
  </si>
  <si>
    <t>USN</t>
  </si>
  <si>
    <t>USS</t>
  </si>
  <si>
    <t>UUI</t>
  </si>
  <si>
    <t>UVR</t>
  </si>
  <si>
    <t>UYI</t>
  </si>
  <si>
    <t>UYP</t>
  </si>
  <si>
    <t>UYU</t>
  </si>
  <si>
    <t>UZS</t>
  </si>
  <si>
    <t>VAC</t>
  </si>
  <si>
    <t>VBS</t>
  </si>
  <si>
    <t>VCS</t>
  </si>
  <si>
    <t>VEB</t>
  </si>
  <si>
    <t>VEE</t>
  </si>
  <si>
    <t>VEF</t>
  </si>
  <si>
    <t>VEO</t>
  </si>
  <si>
    <t>VND</t>
  </si>
  <si>
    <t>VUV</t>
  </si>
  <si>
    <t>WST</t>
  </si>
  <si>
    <t>CENTRAL AFRICAN REPUBLIC</t>
  </si>
  <si>
    <t>XAF</t>
  </si>
  <si>
    <t>XAG</t>
  </si>
  <si>
    <t>XAL</t>
  </si>
  <si>
    <t>XAU</t>
  </si>
  <si>
    <t>XBC</t>
  </si>
  <si>
    <t>XCD</t>
  </si>
  <si>
    <t>XCU</t>
  </si>
  <si>
    <t>XDR</t>
  </si>
  <si>
    <t>XEU</t>
  </si>
  <si>
    <t>XGY</t>
  </si>
  <si>
    <t>XMU</t>
  </si>
  <si>
    <t>XNI</t>
  </si>
  <si>
    <t>XOF</t>
  </si>
  <si>
    <t>XPB</t>
  </si>
  <si>
    <t>XPD</t>
  </si>
  <si>
    <t>XPF</t>
  </si>
  <si>
    <t>XPT</t>
  </si>
  <si>
    <t>XPY</t>
  </si>
  <si>
    <t>XRA</t>
  </si>
  <si>
    <t>XRH</t>
  </si>
  <si>
    <t>XRI</t>
  </si>
  <si>
    <t>XRU</t>
  </si>
  <si>
    <t>XSN</t>
  </si>
  <si>
    <t>XSU</t>
  </si>
  <si>
    <t>XTY</t>
  </si>
  <si>
    <t>XUY</t>
  </si>
  <si>
    <t>NOT DEFINED</t>
  </si>
  <si>
    <t>XXX</t>
  </si>
  <si>
    <t>XZI</t>
  </si>
  <si>
    <t>YER</t>
  </si>
  <si>
    <t>YTI</t>
  </si>
  <si>
    <t>YTL</t>
  </si>
  <si>
    <t>YUD</t>
  </si>
  <si>
    <t>YUM</t>
  </si>
  <si>
    <t>ZAL</t>
  </si>
  <si>
    <t>ZAR</t>
  </si>
  <si>
    <t>ZMW</t>
  </si>
  <si>
    <t>ZRN</t>
  </si>
  <si>
    <t>ZWL</t>
  </si>
  <si>
    <t>Is When Issued</t>
  </si>
  <si>
    <t>Y</t>
  </si>
  <si>
    <t>N</t>
  </si>
  <si>
    <t>AccrualMethod Domain Values</t>
  </si>
  <si>
    <t>Code</t>
  </si>
  <si>
    <t>NL/365 NON-EOM - Actual day month /365 day year - no leap (in leap years, February 29th is not counted in the numerator), non End Of Month (used when the pay date falls on the last day in one month, but not in another).</t>
  </si>
  <si>
    <t>NL/365 N-EOM</t>
  </si>
  <si>
    <t>NL/ACT - Actual day month /Act day year - no leap convention (in leap years, February 29th is not counted in the numerator).</t>
  </si>
  <si>
    <t>NL/ACT</t>
  </si>
  <si>
    <t>NL/ACT NON-EOM - Actual day month/Actual day year - no leap (in leap years, February 29th is not counted in the numerator), non End Of Month (used when the pay date falls on the last day in one month, but not in another).</t>
  </si>
  <si>
    <t>NL/ACT N-EOM</t>
  </si>
  <si>
    <t>Used for T-Bills by the Citi Indices</t>
  </si>
  <si>
    <t>T-BILL</t>
  </si>
  <si>
    <t>US MUNI: 30/360</t>
  </si>
  <si>
    <t>US MUNI: 30/360 NON-EOM</t>
  </si>
  <si>
    <t>US MUNI:30/360 N-EOM</t>
  </si>
  <si>
    <t>ACT/364 NON-EOM</t>
  </si>
  <si>
    <t>30/360 - 30 day month/360 day year.</t>
  </si>
  <si>
    <t>30/360</t>
  </si>
  <si>
    <t>DTC INCOME AT MATURITY COMM PAPER FORMULA</t>
  </si>
  <si>
    <t>DTC/IAM/CP</t>
  </si>
  <si>
    <t>ACTUAL DAYS /366 DTC WILL TRANSLATE ACTUAL DATE WHEN DATED DATE FALSL ON LEAP YEAR</t>
  </si>
  <si>
    <t>ACT/366</t>
  </si>
  <si>
    <t>30/360 NON-EOM - 30 day month/360 day year, non End Of Month convention. Used when the pay date falls on the last day in one month, but not in another (ex. the bond pays March 30 and September 30).</t>
  </si>
  <si>
    <t>30/360 N-EOM</t>
  </si>
  <si>
    <t>30/365 - 30 day month/365 day year.</t>
  </si>
  <si>
    <t>30/365</t>
  </si>
  <si>
    <t>30/365 NON-EOM - 30 day month/365 day year, non End Of Month convention. Used when the pay date falls on the last day in one month, but not in another (ex. the bond pays March 30 and September 30).</t>
  </si>
  <si>
    <t>30/365 N-EOM</t>
  </si>
  <si>
    <t>30/ACT - 30 day month/Actual day year.</t>
  </si>
  <si>
    <t>30/ACT</t>
  </si>
  <si>
    <t>30/ACT NON-EOM - 30 day month/Actual day year, non End Of Month convention. Used when the pay date falls on the last day in one month, but not in another (ex. the bond pays March 30 and September 30).</t>
  </si>
  <si>
    <t>30/ACT N-EOM</t>
  </si>
  <si>
    <t>ACT/360 - Actual day month/360 day year.</t>
  </si>
  <si>
    <t>ACT/360</t>
  </si>
  <si>
    <t>ACT/360 NON-EOM - Actual day month/360 day year, non End Of Month convention. Used when the pay date falls on the last day in one month, but not in another (ex. the bond pays March 30 and September 30).</t>
  </si>
  <si>
    <t>ACT/360 N-EOM</t>
  </si>
  <si>
    <t>ACT/360 NOM - Actual day month/360 day year. For nominal(NOM), pay date is not ajusted for business day when accrued interest is calculated.</t>
  </si>
  <si>
    <t>ACT/360 NOM</t>
  </si>
  <si>
    <t>ACT/360 - Actual day month/360 day year, adjusted for next business day.</t>
  </si>
  <si>
    <t>ACT/360(102)</t>
  </si>
  <si>
    <t>ACT/364 - Actual day month/364 day year</t>
  </si>
  <si>
    <t>ACT/364</t>
  </si>
  <si>
    <t>ACT/365 - Actual day month/365 day year.</t>
  </si>
  <si>
    <t>ACT/365</t>
  </si>
  <si>
    <t>ACT/365 NON-EOM - Actual day month/365 day year, non End Of Month convention. Used when the pay date falls on the last day in one month, but not in another (ex. the bond pays March 30 and September 30).</t>
  </si>
  <si>
    <t>ACT/365 N-EOM</t>
  </si>
  <si>
    <t>ACT/365 - Actual number of days, 365 days a year. For Nominal, pay date is not adjusted for business day when accrued interest is calculated.</t>
  </si>
  <si>
    <t>ACT/365 NOM</t>
  </si>
  <si>
    <t>ACT/365 - Actual day month/365 day year, adjusted for next business day.</t>
  </si>
  <si>
    <t>ACT/365(103)</t>
  </si>
  <si>
    <t>ACT/ACT - Actual day month/Actual day year.</t>
  </si>
  <si>
    <t>ACT/ACT</t>
  </si>
  <si>
    <t>ACT/ACT NON-EOM - Actual day month/Actual day year, non End Of Month convention - used when the pay date falls on the last day in one month, but not in another (ex. the bond pays March 30 and September 30).</t>
  </si>
  <si>
    <t>ACT/ACT N-EOM</t>
  </si>
  <si>
    <t>ACT/ACT NOM - Actual day month/Actual day year. For nominal(NOM), pay date is not ajusted for business day when accrued interest is calculated.</t>
  </si>
  <si>
    <t>ACT/ACT NOM</t>
  </si>
  <si>
    <t>ACT/ACT - Actual day month/Actual day year, adjusted for next business day.</t>
  </si>
  <si>
    <t>ACT/ACT(101)</t>
  </si>
  <si>
    <t>AFB or "euro" method uses only one denominator (either 365 or 366), depending on whether February 29 is included or not in the reference period.</t>
  </si>
  <si>
    <t>AFB ACT/ACT</t>
  </si>
  <si>
    <t>AFB or "euro" method uses only one denominator (either 365 or 366), depending on whether February 29 is included or not in the reference period.For Nominal day count, pay date is not adjusted for business day when accrued interest is calculated</t>
  </si>
  <si>
    <t>AFB ACT/ACT NOM</t>
  </si>
  <si>
    <t>BUS DAYS/252</t>
  </si>
  <si>
    <t>BUS DAYS/252 N-EOM</t>
  </si>
  <si>
    <t>GERMAN 30/360 NON-EOM</t>
  </si>
  <si>
    <t>GER: 30/360 NON-EOM</t>
  </si>
  <si>
    <t>GERMAN 30/360</t>
  </si>
  <si>
    <t>ISDA or "historical" method divides the period in question in two parts, effectively making interest accrued in a single day in the 365-day year worthier than the same in the 366-day year.</t>
  </si>
  <si>
    <t>ISDA ACT/ACT</t>
  </si>
  <si>
    <t>ISDA or "historical" method divides the period in question in two parts, effectively making interest accrued in a single day in the 365-day year worthier than the same in the 366-day year. For nominal(NOM), pay date is not adjusted for business day w</t>
  </si>
  <si>
    <t>ISDA ACT/ACT NOM</t>
  </si>
  <si>
    <t>ISMA (International Securities Market Association) treats the 31st day of a month the same as the 30th.</t>
  </si>
  <si>
    <t>ISMA ACT/ACT</t>
  </si>
  <si>
    <t>ISMA (International Securities Market Association) treats the 31st day of a month the same as the 30th. For Nominal day count, pay date is not adjusted for business day when accrued interest is calculated.</t>
  </si>
  <si>
    <t>ISMA ACT/ACT NOM</t>
  </si>
  <si>
    <t>ISMA-30/360 - 30 day month/360 day year, follows the International Securities Marketing Association Standards, treats the 31st of the month as the 30th.</t>
  </si>
  <si>
    <t>ISMA-30/360</t>
  </si>
  <si>
    <t>ISMA-30/360 NON-EOM - 30 day month/360 day year, follows the Intl Securities Marketing Association Standards, treats the 31st of the month as the 30th, non End Of Month (used when the pay date falls on the last day in one month, but not in another).</t>
  </si>
  <si>
    <t>ISMA-30/360 N-EOM</t>
  </si>
  <si>
    <t>ISMA-30/365 - 30 day month/365 day year, follows the International Securities Marketing Association Standards, treats the 31st of the month as the 30th</t>
  </si>
  <si>
    <t>ISMA-30/365</t>
  </si>
  <si>
    <t>ISMA-30/365 NON-EOM - 30 day month/365 day year, follows the Intl Securities Marketing Association Standards, treats the 31st of the month as the 30th, non End Of Month (used when the pay date falls on the last day in one month, but not in another).</t>
  </si>
  <si>
    <t>ISMA-30/365 N-EOM</t>
  </si>
  <si>
    <t>ISMA-30/ACT - 30 day month/Actual day year, follows the International Securities Marketing Association Standards, treats the 31st of the month as the 30th.</t>
  </si>
  <si>
    <t>ISMA-30/ACT</t>
  </si>
  <si>
    <t>ISMA-30/ACT NON-EOM - 30 day month/Act day year, follows the Intl Securities Marketing Association Standards, treats the 31st of the month as the 30th, non End Of Month (used when the pay date falls on the last day in one month, but not in another).</t>
  </si>
  <si>
    <t>ISMA-30/ACT N-EOM</t>
  </si>
  <si>
    <t>NL/360 - Actual day month /360 day year - no leap convention (in leap years, February 29th is not counted in the numerator).</t>
  </si>
  <si>
    <t>NL/360</t>
  </si>
  <si>
    <t>NL/360 NON-EOM - Actual day month /360 day year - no leap (in leap years, February 29th is not counted in the numerator), non End Of Month (used when the pay date falls on the last day in one month, but not in another).</t>
  </si>
  <si>
    <t>NL/360 N-EOM</t>
  </si>
  <si>
    <t>NL/365 - Actual day month /365 day year - no leap convention (in leap years, February 29th is not counted in the numerator).</t>
  </si>
  <si>
    <t>NL/365</t>
  </si>
  <si>
    <t>30E/360 - Applicable for European Securities that recognize Leap Year</t>
  </si>
  <si>
    <t>30E/360</t>
  </si>
  <si>
    <t>30S/360 - Applicable for German Securities that recognize Leap Year</t>
  </si>
  <si>
    <t>30S/360</t>
  </si>
  <si>
    <t>ACT/365L - The number of days/year used depends on the coupon frequency and whether a leap year is involved</t>
  </si>
  <si>
    <t>ACT/365L</t>
  </si>
  <si>
    <t>NLA/360 - No Leap/360</t>
  </si>
  <si>
    <t>NLA/360</t>
  </si>
  <si>
    <t>RBABB - Reserve Bank of Australia Basis</t>
  </si>
  <si>
    <t>RBABB</t>
  </si>
  <si>
    <t>BUS/252 - Working Days/252</t>
  </si>
  <si>
    <t>BUS/252</t>
  </si>
  <si>
    <t>NOT/AVL - Not available</t>
  </si>
  <si>
    <t>NOT/AVL</t>
  </si>
  <si>
    <t>Country Domain Values</t>
  </si>
  <si>
    <t>UNITED STATES</t>
  </si>
  <si>
    <t>US</t>
  </si>
  <si>
    <t>AFGHANISTAN</t>
  </si>
  <si>
    <t>AF</t>
  </si>
  <si>
    <t>ALAND ISLAND</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</si>
  <si>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</si>
  <si>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</si>
  <si>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</si>
  <si>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</si>
  <si>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</si>
  <si>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</si>
  <si>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</si>
  <si>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</si>
  <si>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</si>
  <si>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</si>
  <si>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</si>
  <si>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</si>
  <si>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</si>
  <si>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</si>
  <si>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</si>
  <si>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</si>
  <si>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</si>
  <si>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</si>
  <si>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</si>
  <si>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</si>
  <si>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</si>
  <si>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</si>
  <si>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</si>
  <si>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</si>
  <si>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</si>
  <si>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</si>
  <si>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</si>
  <si>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</si>
  <si>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</si>
  <si>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</si>
  <si>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</si>
  <si>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</si>
  <si>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</si>
  <si>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</si>
  <si>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</si>
  <si>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</si>
  <si>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</si>
  <si>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</si>
  <si>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</si>
  <si>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</si>
  <si>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</si>
  <si>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</si>
  <si>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</si>
  <si>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</si>
  <si>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</si>
  <si>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</si>
  <si>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</si>
  <si>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</si>
  <si>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</si>
  <si>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</si>
  <si>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</si>
  <si>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</si>
  <si>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</si>
  <si>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</si>
  <si>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</si>
  <si>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</si>
  <si>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</si>
  <si>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BQ</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</si>
  <si>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</si>
  <si>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</si>
  <si>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</si>
  <si>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</si>
  <si>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</si>
  <si>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</si>
  <si>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</si>
  <si>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</si>
  <si>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</si>
  <si>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</si>
  <si>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</si>
  <si>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</si>
  <si>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</si>
  <si>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</si>
  <si>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</si>
  <si>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</si>
  <si>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</si>
  <si>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</si>
  <si>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</si>
  <si>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</si>
  <si>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</si>
  <si>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</si>
  <si>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CF</t>
  </si>
  <si>
    <t>CHAD</t>
  </si>
  <si>
    <t>TD</t>
  </si>
  <si>
    <t>CHANNEL ISLAND</t>
  </si>
  <si>
    <t>CE</t>
  </si>
  <si>
    <t>CHILE</t>
  </si>
  <si>
    <t>CL</t>
  </si>
  <si>
    <t>CHINA</t>
  </si>
  <si>
    <t>CN</t>
  </si>
  <si>
    <t>CHRISTMAS ISLAND</t>
  </si>
  <si>
    <t>CX</t>
  </si>
  <si>
    <t>COCOS (KEELING) ISLANDS</t>
  </si>
  <si>
    <t>CC</t>
  </si>
  <si>
    <t>COLOMBIA</t>
  </si>
  <si>
    <t>CO</t>
  </si>
  <si>
    <t>COMOROS</t>
  </si>
  <si>
    <t>KM</t>
  </si>
  <si>
    <t>CONGO</t>
  </si>
  <si>
    <t>CG</t>
  </si>
  <si>
    <t>CONGO, THE DEMOCRATIC REPUBLIC</t>
  </si>
  <si>
    <t>CD</t>
  </si>
  <si>
    <t>COOK ISLANDS</t>
  </si>
  <si>
    <t>CK</t>
  </si>
  <si>
    <t>COSTA RICA</t>
  </si>
  <si>
    <t>CR</t>
  </si>
  <si>
    <t>COTE D'IVOIRE</t>
  </si>
  <si>
    <t>CI</t>
  </si>
  <si>
    <t>CROATIA</t>
  </si>
  <si>
    <t>HR</t>
  </si>
  <si>
    <t>CUBA</t>
  </si>
  <si>
    <t>CU</t>
  </si>
  <si>
    <t>CURA?AO</t>
  </si>
  <si>
    <t>CW</t>
  </si>
  <si>
    <t>CYPRUS</t>
  </si>
  <si>
    <t>CY</t>
  </si>
  <si>
    <t>CZECH REPUBLIC</t>
  </si>
  <si>
    <t>CZ</t>
  </si>
  <si>
    <t>DENMARK</t>
  </si>
  <si>
    <t>DK</t>
  </si>
  <si>
    <t>DJIBOUTI</t>
  </si>
  <si>
    <t>DJ</t>
  </si>
  <si>
    <t>DOMINICA</t>
  </si>
  <si>
    <t>DM</t>
  </si>
  <si>
    <t>DOMINICAN REPUBLIC</t>
  </si>
  <si>
    <t>DO</t>
  </si>
  <si>
    <t>DUTCH ANTILL (LEGACY)</t>
  </si>
  <si>
    <t>DA</t>
  </si>
  <si>
    <t>EAST TIMOR (LEGACY)</t>
  </si>
  <si>
    <t>TP</t>
  </si>
  <si>
    <t>ECUADOR</t>
  </si>
  <si>
    <t>EC</t>
  </si>
  <si>
    <t>EGYPT</t>
  </si>
  <si>
    <t>EG</t>
  </si>
  <si>
    <t>EL SALVADOR</t>
  </si>
  <si>
    <t>SV</t>
  </si>
  <si>
    <t>EQUATORIAL GUINEA</t>
  </si>
  <si>
    <t>GQ</t>
  </si>
  <si>
    <t>ERITREA</t>
  </si>
  <si>
    <t>ER</t>
  </si>
  <si>
    <t>ESTONIA</t>
  </si>
  <si>
    <t>EE</t>
  </si>
  <si>
    <t>ETHIOPIA</t>
  </si>
  <si>
    <t>ET</t>
  </si>
  <si>
    <t>EU COMMISSION</t>
  </si>
  <si>
    <t>XE</t>
  </si>
  <si>
    <t>EUROZONE</t>
  </si>
  <si>
    <t>EU</t>
  </si>
  <si>
    <t>FAEROE ISLANDS</t>
  </si>
  <si>
    <t>FO</t>
  </si>
  <si>
    <t>FALKLANDISLANDS (MALVINAS)</t>
  </si>
  <si>
    <t>FK</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</si>
  <si>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</si>
  <si>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</si>
  <si>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</si>
  <si>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</si>
  <si>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</si>
  <si>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</si>
  <si>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</si>
  <si>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</si>
  <si>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</si>
  <si>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</si>
  <si>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</si>
  <si>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</si>
  <si>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</si>
  <si>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</si>
  <si>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</si>
  <si>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</si>
  <si>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</si>
  <si>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</si>
  <si>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</si>
  <si>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</si>
  <si>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</si>
  <si>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</si>
  <si>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</si>
  <si>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</si>
  <si>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</si>
  <si>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</si>
  <si>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</si>
  <si>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</si>
  <si>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</si>
  <si>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</si>
  <si>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</si>
  <si>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</si>
  <si>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</si>
  <si>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</si>
  <si>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</si>
  <si>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</si>
  <si>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</si>
  <si>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</si>
  <si>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</si>
  <si>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</si>
  <si>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</si>
  <si>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</si>
  <si>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</si>
  <si>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</si>
  <si>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</si>
  <si>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</si>
  <si>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</si>
  <si>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</si>
  <si>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</si>
  <si>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</si>
  <si>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</si>
  <si>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</si>
  <si>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</si>
  <si>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</si>
  <si>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</si>
  <si>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</si>
  <si>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</si>
  <si>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</si>
  <si>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</si>
  <si>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</si>
  <si>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</si>
  <si>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</si>
  <si>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</si>
  <si>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</si>
  <si>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</si>
  <si>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</si>
  <si>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</si>
  <si>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</si>
  <si>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MANN</t>
  </si>
  <si>
    <t>IM</t>
  </si>
  <si>
    <t>ISRAEL</t>
  </si>
  <si>
    <t>IL</t>
  </si>
  <si>
    <t>ITALY</t>
  </si>
  <si>
    <t>IT</t>
  </si>
  <si>
    <t>JAMAICA</t>
  </si>
  <si>
    <t>JM</t>
  </si>
  <si>
    <t>JAPAN</t>
  </si>
  <si>
    <t>JP</t>
  </si>
  <si>
    <t>JERSEY, C.I.</t>
  </si>
  <si>
    <t>JE</t>
  </si>
  <si>
    <t>JORDAN</t>
  </si>
  <si>
    <t>JO</t>
  </si>
  <si>
    <t>KAZAKHSTAN</t>
  </si>
  <si>
    <t>KZ</t>
  </si>
  <si>
    <t>KENYA</t>
  </si>
  <si>
    <t>KE</t>
  </si>
  <si>
    <t>KIRIBATI</t>
  </si>
  <si>
    <t>KI</t>
  </si>
  <si>
    <t>KOREA, DEMOCRATIC PEOPLE'S REP</t>
  </si>
  <si>
    <t>KP</t>
  </si>
  <si>
    <t>KUWAIT</t>
  </si>
  <si>
    <t>KW</t>
  </si>
  <si>
    <t>KYRGYZSTAN</t>
  </si>
  <si>
    <t>KG</t>
  </si>
  <si>
    <t>LAO PEOPLE'S DEMOCRATIC REPUBL</t>
  </si>
  <si>
    <t>LA</t>
  </si>
  <si>
    <t>LATVIA</t>
  </si>
  <si>
    <t>LV</t>
  </si>
  <si>
    <t>LEBANON</t>
  </si>
  <si>
    <t>LB</t>
  </si>
  <si>
    <t>LESOTHO</t>
  </si>
  <si>
    <t>LS</t>
  </si>
  <si>
    <t>LIBERIA</t>
  </si>
  <si>
    <t>LR</t>
  </si>
  <si>
    <t>LIBYAN ARAB JAMAHIRIYA</t>
  </si>
  <si>
    <t>LY</t>
  </si>
  <si>
    <t>LIECHTENSTEIN</t>
  </si>
  <si>
    <t>LI</t>
  </si>
  <si>
    <t>LITHUANIA</t>
  </si>
  <si>
    <t>LT</t>
  </si>
  <si>
    <t>LUXEMBOURG</t>
  </si>
  <si>
    <t>LU</t>
  </si>
  <si>
    <t>MACAU</t>
  </si>
  <si>
    <t>MO</t>
  </si>
  <si>
    <t>MACEDONIA,THE FORMER YUGOSLAV</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</si>
  <si>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</si>
  <si>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</si>
  <si>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</si>
  <si>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</si>
  <si>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</si>
  <si>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</si>
  <si>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</si>
  <si>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</si>
  <si>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</si>
  <si>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</si>
  <si>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</si>
  <si>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</si>
  <si>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</si>
  <si>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</si>
  <si>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</si>
  <si>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</si>
  <si>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</si>
  <si>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</si>
  <si>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</si>
  <si>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</si>
  <si>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</si>
  <si>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</si>
  <si>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</si>
  <si>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</si>
  <si>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</si>
  <si>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t>
  </si>
  <si>
    <t>FM</t>
  </si>
  <si>
    <t>MOLDOVA</t>
  </si>
  <si>
    <t>MD</t>
  </si>
  <si>
    <t>MONACO</t>
  </si>
  <si>
    <t>MC</t>
  </si>
  <si>
    <t>MONGOLIA</t>
  </si>
  <si>
    <t>MN</t>
  </si>
  <si>
    <t>MONTENEGRO</t>
  </si>
  <si>
    <t>ME</t>
  </si>
  <si>
    <t>MONTSERRAT</t>
  </si>
  <si>
    <t>MS</t>
  </si>
  <si>
    <t>MOROCCO</t>
  </si>
  <si>
    <t>MA</t>
  </si>
  <si>
    <t>MOZAMBIQUE</t>
  </si>
  <si>
    <t>MZ</t>
  </si>
  <si>
    <t>MULTI-NATIONAL</t>
  </si>
  <si>
    <t>MULT</t>
  </si>
  <si>
    <t>MYANMAR</t>
  </si>
  <si>
    <t>MM</t>
  </si>
  <si>
    <t>Mixed</t>
  </si>
  <si>
    <t>MIX</t>
  </si>
  <si>
    <t>NAMIBIA</t>
  </si>
  <si>
    <t>NAURU</t>
  </si>
  <si>
    <t>NR</t>
  </si>
  <si>
    <t>NEPAL</t>
  </si>
  <si>
    <t>NP</t>
  </si>
  <si>
    <t>NETH. ANTILLES</t>
  </si>
  <si>
    <t>AN</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</si>
  <si>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</si>
  <si>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</si>
  <si>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</si>
  <si>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</si>
  <si>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</si>
  <si>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</si>
  <si>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</si>
  <si>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</si>
  <si>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</si>
  <si>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</si>
  <si>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</si>
  <si>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</si>
  <si>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</si>
  <si>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</si>
  <si>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</si>
  <si>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</si>
  <si>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</si>
  <si>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</si>
  <si>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</si>
  <si>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</si>
  <si>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ZZ</t>
  </si>
  <si>
    <t>OMAN</t>
  </si>
  <si>
    <t>OM</t>
  </si>
  <si>
    <t>PAKISTAN</t>
  </si>
  <si>
    <t>PK</t>
  </si>
  <si>
    <t>PALAU</t>
  </si>
  <si>
    <t>PW</t>
  </si>
  <si>
    <t>PALESTINE</t>
  </si>
  <si>
    <t>PS</t>
  </si>
  <si>
    <t>PANAMA</t>
  </si>
  <si>
    <t>PA</t>
  </si>
  <si>
    <t>PANAMA CANAL ZO (LEGACY)</t>
  </si>
  <si>
    <t>PZ</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</si>
  <si>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</si>
  <si>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</si>
  <si>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</si>
  <si>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</si>
  <si>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</si>
  <si>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</si>
  <si>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</si>
  <si>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</si>
  <si>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</si>
  <si>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</si>
  <si>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</si>
  <si>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</si>
  <si>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</si>
  <si>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</si>
  <si>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</si>
  <si>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</si>
  <si>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</si>
  <si>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</si>
  <si>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</si>
  <si>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</si>
  <si>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</si>
  <si>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</si>
  <si>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</si>
  <si>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</si>
  <si>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</si>
  <si>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</si>
  <si>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S.GEORGIA/S.SAN</t>
  </si>
  <si>
    <t>GS</t>
  </si>
  <si>
    <t>SAINT BARTH?LEMY</t>
  </si>
  <si>
    <t>BL</t>
  </si>
  <si>
    <t>SAINT HELENA</t>
  </si>
  <si>
    <t>SH</t>
  </si>
  <si>
    <t>SAINT KITTS AND NEVIS</t>
  </si>
  <si>
    <t>KN</t>
  </si>
  <si>
    <t>SAINT LUCIA</t>
  </si>
  <si>
    <t>LC</t>
  </si>
  <si>
    <t>SAINT MARTIN</t>
  </si>
  <si>
    <t>MF</t>
  </si>
  <si>
    <t>SAINT PIERRE AND MIQUELON</t>
  </si>
  <si>
    <t>PM</t>
  </si>
  <si>
    <t>SAINT VINCENT AND THE GRENADIN</t>
  </si>
  <si>
    <t>VC</t>
  </si>
  <si>
    <t>SAINT-MARTIN ( DUTCH PART )</t>
  </si>
  <si>
    <t>SX</t>
  </si>
  <si>
    <t>SAMOA</t>
  </si>
  <si>
    <t>WS</t>
  </si>
  <si>
    <t>SAN MARINO</t>
  </si>
  <si>
    <t>SM</t>
  </si>
  <si>
    <t>SAO TOME AND PRINCIPE</t>
  </si>
  <si>
    <t>ST</t>
  </si>
  <si>
    <t>SAUDI ARABIA</t>
  </si>
  <si>
    <t>SA</t>
  </si>
  <si>
    <t>SEBORGA</t>
  </si>
  <si>
    <t>SU</t>
  </si>
  <si>
    <t>SENEGAL</t>
  </si>
  <si>
    <t>SN</t>
  </si>
  <si>
    <t>SERBIA</t>
  </si>
  <si>
    <t>RS</t>
  </si>
  <si>
    <t>SERBIA(Former) (LEGACY)</t>
  </si>
  <si>
    <t>CS</t>
  </si>
  <si>
    <t>SEYCHELLES</t>
  </si>
  <si>
    <t>SC</t>
  </si>
  <si>
    <t>SIERRA LEONE</t>
  </si>
  <si>
    <t>SL</t>
  </si>
  <si>
    <t>SINGAPORE</t>
  </si>
  <si>
    <t>SG</t>
  </si>
  <si>
    <t>SLOVAKIA</t>
  </si>
  <si>
    <t>SK</t>
  </si>
  <si>
    <t>SLOVENIA</t>
  </si>
  <si>
    <t>SI</t>
  </si>
  <si>
    <t>SOLOMON ISLANDS</t>
  </si>
  <si>
    <t>SB</t>
  </si>
  <si>
    <t>SOMALIA</t>
  </si>
  <si>
    <t>SO</t>
  </si>
  <si>
    <t>SOUTH AFRICA</t>
  </si>
  <si>
    <t>ZA</t>
  </si>
  <si>
    <t>SOUTH KOREA</t>
  </si>
  <si>
    <t>KR</t>
  </si>
  <si>
    <t>SOUTH SUDAN</t>
  </si>
  <si>
    <t>SS</t>
  </si>
  <si>
    <t>SPAIN</t>
  </si>
  <si>
    <t>ES</t>
  </si>
  <si>
    <t>SRI LANKA</t>
  </si>
  <si>
    <t>LK</t>
  </si>
  <si>
    <t>SUDAN</t>
  </si>
  <si>
    <t>SD</t>
  </si>
  <si>
    <t>SUPRA- NATIONAL</t>
  </si>
  <si>
    <t>SNAT</t>
  </si>
  <si>
    <t>SURINAME</t>
  </si>
  <si>
    <t>SR</t>
  </si>
  <si>
    <t>SVALBARD AND JAN MAYEN ISLANDS</t>
  </si>
  <si>
    <t>SJ</t>
  </si>
  <si>
    <t>SWAZILAND</t>
  </si>
  <si>
    <t>SZ</t>
  </si>
  <si>
    <t>SWEDEN</t>
  </si>
  <si>
    <t>SE</t>
  </si>
  <si>
    <t>SWITZERLAND</t>
  </si>
  <si>
    <t>CH</t>
  </si>
  <si>
    <t>SYRIAN ARAB REPUBLIC</t>
  </si>
  <si>
    <t>SY</t>
  </si>
  <si>
    <t>TAIWAN</t>
  </si>
  <si>
    <t>TW</t>
  </si>
  <si>
    <t>TAJIKISTAN</t>
  </si>
  <si>
    <t>TJ</t>
  </si>
  <si>
    <t>TANZANIA, UNITED REPUBLIC OF</t>
  </si>
  <si>
    <t>TZ</t>
  </si>
  <si>
    <t>TEST</t>
  </si>
  <si>
    <t>THAILAND</t>
  </si>
  <si>
    <t>TH</t>
  </si>
  <si>
    <t>TIMOR-LESTE</t>
  </si>
  <si>
    <t>TL</t>
  </si>
  <si>
    <t>TOGO</t>
  </si>
  <si>
    <t>TG</t>
  </si>
  <si>
    <t>TOKELAU</t>
  </si>
  <si>
    <t>TK</t>
  </si>
  <si>
    <t>TONGA</t>
  </si>
  <si>
    <t>TO</t>
  </si>
  <si>
    <t>TOTAL ASIA</t>
  </si>
  <si>
    <t>TA</t>
  </si>
  <si>
    <t>TOTAL EUROPE</t>
  </si>
  <si>
    <t>TE</t>
  </si>
  <si>
    <t>TRINIDAD AND TOBAGO</t>
  </si>
  <si>
    <t>TT</t>
  </si>
  <si>
    <t>TUNISIA</t>
  </si>
  <si>
    <t>TN</t>
  </si>
  <si>
    <t>TURKEY</t>
  </si>
  <si>
    <t>TR</t>
  </si>
  <si>
    <t>TURKMENISTAN</t>
  </si>
  <si>
    <t>TM</t>
  </si>
  <si>
    <t>TURKS AND CAICOS ISLANDS</t>
  </si>
  <si>
    <t>TC</t>
  </si>
  <si>
    <t>TV</t>
  </si>
  <si>
    <t>UGANDA</t>
  </si>
  <si>
    <t>UG</t>
  </si>
  <si>
    <t>UKRAINE</t>
  </si>
  <si>
    <t>UA</t>
  </si>
  <si>
    <t>UNITED ARAB EMIRATES</t>
  </si>
  <si>
    <t>AE</t>
  </si>
  <si>
    <t>UNITED KINGDOM</t>
  </si>
  <si>
    <t>GB</t>
  </si>
  <si>
    <t>UNITED STATES MINOR OUTLAYING</t>
  </si>
  <si>
    <t>UM</t>
  </si>
  <si>
    <t>URUGUAY</t>
  </si>
  <si>
    <t>UY</t>
  </si>
  <si>
    <t>UZBEKISTAN</t>
  </si>
  <si>
    <t>UZ</t>
  </si>
  <si>
    <t>VANUATU</t>
  </si>
  <si>
    <t>VU</t>
  </si>
  <si>
    <t>VENEZUELA</t>
  </si>
  <si>
    <t>VE</t>
  </si>
  <si>
    <t>VIET NAM</t>
  </si>
  <si>
    <t>VN</t>
  </si>
  <si>
    <t>VIRGIN ISLANDS, BRITISH</t>
  </si>
  <si>
    <t>VG</t>
  </si>
  <si>
    <t>VIRGIN ISLANDS, U.S.</t>
  </si>
  <si>
    <t>VI</t>
  </si>
  <si>
    <t>WALLIS AND FUTUNA ISLANDS</t>
  </si>
  <si>
    <t>WF</t>
  </si>
  <si>
    <t>WESTERN SAHARA</t>
  </si>
  <si>
    <t>EH</t>
  </si>
  <si>
    <t>YEMEN</t>
  </si>
  <si>
    <t>YE</t>
  </si>
  <si>
    <t>YUGOSLAVIA (LEGACY)</t>
  </si>
  <si>
    <t>YU</t>
  </si>
  <si>
    <t>ZAIRE (LEGACY)</t>
  </si>
  <si>
    <t>ZR</t>
  </si>
  <si>
    <t>ZAMBIA</t>
  </si>
  <si>
    <t>ZM</t>
  </si>
  <si>
    <t>ZIMBABWE</t>
  </si>
  <si>
    <t>ZW</t>
  </si>
  <si>
    <t>Instrument Listing Level</t>
  </si>
  <si>
    <t>LEGACY</t>
  </si>
  <si>
    <t>SECURITY</t>
  </si>
  <si>
    <t>TEMPLATE</t>
  </si>
  <si>
    <t>REGIONAL COMP &amp; EXCHANGE</t>
  </si>
  <si>
    <t>CONTRACT</t>
  </si>
  <si>
    <t>PROVIDER</t>
  </si>
  <si>
    <t>NOT LISTED</t>
  </si>
  <si>
    <t>EXCHANGE</t>
  </si>
  <si>
    <t>CONTRIBUTOR</t>
  </si>
  <si>
    <t>PRODUCT</t>
  </si>
  <si>
    <t>BENCHMARK</t>
  </si>
  <si>
    <t>PROGRAM</t>
  </si>
  <si>
    <t>REGIONAL COMPOSITE</t>
  </si>
  <si>
    <t>New Product setup in SMC</t>
  </si>
  <si>
    <t>Market Domain Values</t>
  </si>
  <si>
    <t>360T</t>
  </si>
  <si>
    <t>XADS</t>
  </si>
  <si>
    <t>ABU DHABI SECURITIES MARKET</t>
  </si>
  <si>
    <t>ACEX</t>
  </si>
  <si>
    <t>ACE DERIVATIVES &amp; COMMODITY EXCHANGE LTD</t>
  </si>
  <si>
    <t>NEOE</t>
  </si>
  <si>
    <t>AEQUITAS NEO EXCHANGE</t>
  </si>
  <si>
    <t>AFET</t>
  </si>
  <si>
    <t>AGRICULTURAL FUTURES EXCHANGE OF THAILAN</t>
  </si>
  <si>
    <t>XDRF</t>
  </si>
  <si>
    <t>AIAF - MERCADO DE RENTA FIJA</t>
  </si>
  <si>
    <t>XAIM</t>
  </si>
  <si>
    <t>AIM ITALIA</t>
  </si>
  <si>
    <t>XSAT</t>
  </si>
  <si>
    <t>AKTIETORGET</t>
  </si>
  <si>
    <t>XALG</t>
  </si>
  <si>
    <t>ALGIERS STOCK EXCHANGE</t>
  </si>
  <si>
    <t>XATS</t>
  </si>
  <si>
    <t>ALPHA ATS</t>
  </si>
  <si>
    <t>TSXV</t>
  </si>
  <si>
    <t>ALPHA ATS - TSX-V</t>
  </si>
  <si>
    <t>XAFR</t>
  </si>
  <si>
    <t>ALTERNATIVA FRANCE</t>
  </si>
  <si>
    <t>ALTX</t>
  </si>
  <si>
    <t>ALTERNATIVE EXCHANGE</t>
  </si>
  <si>
    <t>XALT</t>
  </si>
  <si>
    <t>ALTEX-ATS</t>
  </si>
  <si>
    <t>XAMM</t>
  </si>
  <si>
    <t>AMMAN STOCK EXCHANGE</t>
  </si>
  <si>
    <t>AD-C</t>
  </si>
  <si>
    <t>ANDORRA COMPOSITE</t>
  </si>
  <si>
    <t>AI-C</t>
  </si>
  <si>
    <t>ANGUILLA COMPOSITE</t>
  </si>
  <si>
    <t>NLPX</t>
  </si>
  <si>
    <t>APX POWER NL</t>
  </si>
  <si>
    <t>UKPX</t>
  </si>
  <si>
    <t>APX POWER UK</t>
  </si>
  <si>
    <t>AQUA</t>
  </si>
  <si>
    <t>AQUA EQUITIES L.P.</t>
  </si>
  <si>
    <t>AQXE</t>
  </si>
  <si>
    <t>AQUIS EXCHANGE</t>
  </si>
  <si>
    <t>AR-C</t>
  </si>
  <si>
    <t>ARGENTINA COMPOSITE</t>
  </si>
  <si>
    <t>XARM</t>
  </si>
  <si>
    <t>ARMENIAN STOCK EXCHANGE</t>
  </si>
  <si>
    <t>APXL</t>
  </si>
  <si>
    <t>ASIA PACIFIC EXCHANGE LIMITED</t>
  </si>
  <si>
    <t>ASXP</t>
  </si>
  <si>
    <t>ASX - PUREMATCH</t>
  </si>
  <si>
    <t>XSFE</t>
  </si>
  <si>
    <t>ASX - SYDNEY FUTURES EXCHANGE LIMITED</t>
  </si>
  <si>
    <t>ENAX</t>
  </si>
  <si>
    <t>ATHENS EXCHANGE ALTERNATIVE MARKET</t>
  </si>
  <si>
    <t>XATH</t>
  </si>
  <si>
    <t>ATHENS EXCHANGE S.A. CASH MARKET</t>
  </si>
  <si>
    <t>XADE</t>
  </si>
  <si>
    <t>ATHENS EXCHANGE S.A. DERIVATIVES MARKET</t>
  </si>
  <si>
    <t>AU-C</t>
  </si>
  <si>
    <t>AUSTRALIAN COMPOSITE</t>
  </si>
  <si>
    <t>XASX</t>
  </si>
  <si>
    <t>AUSTRALIAN SECURITIES EXCHANGE LIMITED</t>
  </si>
  <si>
    <t>AWBX</t>
  </si>
  <si>
    <t>AUSTRALIAN WHEAT BOARD</t>
  </si>
  <si>
    <t>AWEX</t>
  </si>
  <si>
    <t>AUSTRALIAN WOOL EXCHANGE</t>
  </si>
  <si>
    <t>EXAA</t>
  </si>
  <si>
    <t>AUSTRIAN ENERGY EXCHANGE</t>
  </si>
  <si>
    <t>XAQS</t>
  </si>
  <si>
    <t>AUTOMATED EQUITY FINANCE MARKETS</t>
  </si>
  <si>
    <t>XBAA</t>
  </si>
  <si>
    <t>BAHAMAS INTERNATIONAL SECURITIES EXCHANG</t>
  </si>
  <si>
    <t>BFEX</t>
  </si>
  <si>
    <t>BAHRAIN FINANCIAL EXCHANGE</t>
  </si>
  <si>
    <t>XBAH</t>
  </si>
  <si>
    <t>BAHRAIN STOCK EXCHANGE</t>
  </si>
  <si>
    <t>XIBE</t>
  </si>
  <si>
    <t>BAKU INTERBANK CURRENCY EXCHANGE</t>
  </si>
  <si>
    <t>BSEX</t>
  </si>
  <si>
    <t>BAKU STOCK EXCHANGE</t>
  </si>
  <si>
    <t>XBAN</t>
  </si>
  <si>
    <t>BANGALORE STOCK EXCHANGE LTD</t>
  </si>
  <si>
    <t>XBLB</t>
  </si>
  <si>
    <t>BANJA LUKA STOCK EXCHANGE</t>
  </si>
  <si>
    <t>XBAB</t>
  </si>
  <si>
    <t>BARBADOS STOCK EXCHANGE</t>
  </si>
  <si>
    <t>XBAR</t>
  </si>
  <si>
    <t>BARCELONA STOCK EXCHANGE</t>
  </si>
  <si>
    <t>BATE</t>
  </si>
  <si>
    <t>BATS EUROPE</t>
  </si>
  <si>
    <t>BATS</t>
  </si>
  <si>
    <t>BATS EXCHANGE</t>
  </si>
  <si>
    <t>BATO</t>
  </si>
  <si>
    <t>BATS OPTIONS</t>
  </si>
  <si>
    <t>BATY</t>
  </si>
  <si>
    <t>BATS Y-EXCHANGE, INC.</t>
  </si>
  <si>
    <t>XCDE</t>
  </si>
  <si>
    <t>BAXTER FINANCIAL SERVICES</t>
  </si>
  <si>
    <t>BCSE</t>
  </si>
  <si>
    <t>BELARUS CURRENCY AND STOCK EXCHANGE</t>
  </si>
  <si>
    <t>BLPX</t>
  </si>
  <si>
    <t>BELGIAN POWER EXCHANGE</t>
  </si>
  <si>
    <t>XBEL</t>
  </si>
  <si>
    <t>BELGRADE STOCK EXCHANGE</t>
  </si>
  <si>
    <t>NSXB</t>
  </si>
  <si>
    <t>BENDIGO STOCK EXCHANGE LIMITED</t>
  </si>
  <si>
    <t>XBDA</t>
  </si>
  <si>
    <t>BERMUDA STOCK EXCHANGE LTD</t>
  </si>
  <si>
    <t>XBRN</t>
  </si>
  <si>
    <t>BERNE STOCK EXCHANGE</t>
  </si>
  <si>
    <t>BGCI</t>
  </si>
  <si>
    <t>BGC BROKERS LP</t>
  </si>
  <si>
    <t>BGCF</t>
  </si>
  <si>
    <t>BGC FINANCIAL INC</t>
  </si>
  <si>
    <t>BIDS</t>
  </si>
  <si>
    <t>BIDS TRADING L.P.</t>
  </si>
  <si>
    <t>BLOX</t>
  </si>
  <si>
    <t>BLOCKMATCH</t>
  </si>
  <si>
    <t>BLTD</t>
  </si>
  <si>
    <t>BLOOMBERG TRADEBOOK LLC</t>
  </si>
  <si>
    <t>XBLN</t>
  </si>
  <si>
    <t>BLUENEXT - MTF</t>
  </si>
  <si>
    <t>XB-C</t>
  </si>
  <si>
    <t>BOAT</t>
  </si>
  <si>
    <t>XBER</t>
  </si>
  <si>
    <t>BOERSE BERLIN</t>
  </si>
  <si>
    <t>BERB</t>
  </si>
  <si>
    <t>BOERSE BERLIN - FREIVERKHER</t>
  </si>
  <si>
    <t>BERA</t>
  </si>
  <si>
    <t>BOERSE BERLIN - REGULIERTER MARKT</t>
  </si>
  <si>
    <t>XEQT</t>
  </si>
  <si>
    <t>BOERSE BERLIN EQUIDUCT TRADING</t>
  </si>
  <si>
    <t>EQTB</t>
  </si>
  <si>
    <t>BOERSE BERLIN EQUIDUCT TRADING - FREIVER</t>
  </si>
  <si>
    <t>EQTA</t>
  </si>
  <si>
    <t>BOERSE BERLIN EQUIDUCT TRADING - REGULIE</t>
  </si>
  <si>
    <t>XDUS</t>
  </si>
  <si>
    <t>BOERSE DUESSELDORF</t>
  </si>
  <si>
    <t>DUSB</t>
  </si>
  <si>
    <t>BOERSE DUESSELDORF - FREIVERKEHR</t>
  </si>
  <si>
    <t>XQTX</t>
  </si>
  <si>
    <t>BOERSE DUESSELDORF - QUOTRIX</t>
  </si>
  <si>
    <t>DUSC</t>
  </si>
  <si>
    <t>BOERSE DUESSELDORF - QUOTRIX - REGULIERT</t>
  </si>
  <si>
    <t>DUSD</t>
  </si>
  <si>
    <t>BOERSE DUESSELDORF - QUOTRIX MTF</t>
  </si>
  <si>
    <t>DUSA</t>
  </si>
  <si>
    <t>BOERSE DUESSELDORF - REGULIERTER MARKT</t>
  </si>
  <si>
    <t>FRAB</t>
  </si>
  <si>
    <t>BOERSE FRANKFURT - FREIVERKEHR</t>
  </si>
  <si>
    <t>FRAA</t>
  </si>
  <si>
    <t>BOERSE FRANKFURT - REGULIERTER MARKT</t>
  </si>
  <si>
    <t>HAMB</t>
  </si>
  <si>
    <t>BOERSE HAMBURG - FREIVERKEHR</t>
  </si>
  <si>
    <t>HAMA</t>
  </si>
  <si>
    <t>BOERSE HAMBURG - REGULIERTER MARKT</t>
  </si>
  <si>
    <t>HANB</t>
  </si>
  <si>
    <t>BOERSE HANNOVER - FREIVERKEHR</t>
  </si>
  <si>
    <t>HANA</t>
  </si>
  <si>
    <t>BOERSE HANNOVER - REGULIERTER MARKT</t>
  </si>
  <si>
    <t>XMUN</t>
  </si>
  <si>
    <t>BOERSE MUENCHEN</t>
  </si>
  <si>
    <t>MUNB</t>
  </si>
  <si>
    <t>BOERSE MUENCHEN - FREIVERKEHR</t>
  </si>
  <si>
    <t>PLUS</t>
  </si>
  <si>
    <t>BOERSE MUENCHEN - FREIVERKHER - PLUS - E</t>
  </si>
  <si>
    <t>MUNA</t>
  </si>
  <si>
    <t>BOERSE MUENCHEN - REGULIERTER MARKT</t>
  </si>
  <si>
    <t>XSTU</t>
  </si>
  <si>
    <t>BOERSE STUTTGART</t>
  </si>
  <si>
    <t>STUB</t>
  </si>
  <si>
    <t>BOERSE STUTTGART - FREIVERKEHR</t>
  </si>
  <si>
    <t>STUA</t>
  </si>
  <si>
    <t>BOERSE STUTTGART - REGULIERTER MARKT</t>
  </si>
  <si>
    <t>VB-C</t>
  </si>
  <si>
    <t>BOLIVIA COMPOSITE</t>
  </si>
  <si>
    <t>XBOL</t>
  </si>
  <si>
    <t>BOLSA BOLIVIANA DE VALORES S.A.</t>
  </si>
  <si>
    <t>XBCV</t>
  </si>
  <si>
    <t>BOLSA CENTROAMERICANA DE VALORES S.A.</t>
  </si>
  <si>
    <t>XCNF</t>
  </si>
  <si>
    <t>BOLSA DE COMERCIO CONFEDERADA S.A.</t>
  </si>
  <si>
    <t>XBCC</t>
  </si>
  <si>
    <t>BOLSA DE COMERCIO DE CORBODA</t>
  </si>
  <si>
    <t>BCFS</t>
  </si>
  <si>
    <t>BOLSA DE COMERCIO DE SANTA FE</t>
  </si>
  <si>
    <t>XROS</t>
  </si>
  <si>
    <t>BOLSA DE COMERCIO ROSARIO</t>
  </si>
  <si>
    <t>XBCM</t>
  </si>
  <si>
    <t>BOLSA DE COMMERCIO DE MENDOZA S.A.</t>
  </si>
  <si>
    <t>BOVA</t>
  </si>
  <si>
    <t>BOLSA DE CORREDORES - BOLSA DE VALORES</t>
  </si>
  <si>
    <t>XMAD</t>
  </si>
  <si>
    <t>BOLSA DE MADRID</t>
  </si>
  <si>
    <t>XBMF</t>
  </si>
  <si>
    <t>BOLSA DE MERCADORIAS E FUTUROS</t>
  </si>
  <si>
    <t>XVAL</t>
  </si>
  <si>
    <t>BOLSA DE VALENCIA</t>
  </si>
  <si>
    <t>XBIL</t>
  </si>
  <si>
    <t>BOLSA DE VALORES DE BILBAO</t>
  </si>
  <si>
    <t>XCAR</t>
  </si>
  <si>
    <t>BOLSA DE VALORES DE CARACAS</t>
  </si>
  <si>
    <t>XBOG</t>
  </si>
  <si>
    <t>BOLSA DE VALORES DE COLOMBIA</t>
  </si>
  <si>
    <t>XBVR</t>
  </si>
  <si>
    <t>BOLSA DE VALORES DE LA REPUBLICA DOMINIC</t>
  </si>
  <si>
    <t>XLIM</t>
  </si>
  <si>
    <t>BOLSA DE VALORES DE LIMA</t>
  </si>
  <si>
    <t>XMNT</t>
  </si>
  <si>
    <t>BOLSA DE VALORES DE MONTEVIDEO</t>
  </si>
  <si>
    <t>XMAN</t>
  </si>
  <si>
    <t>BOLSA DE VALORES DE NICARAGUA</t>
  </si>
  <si>
    <t>XPTY</t>
  </si>
  <si>
    <t>BOLSA DE VALORES DE PANAMA</t>
  </si>
  <si>
    <t>XBSP</t>
  </si>
  <si>
    <t>BOLSA DE VALORES DE SAO PAULO</t>
  </si>
  <si>
    <t>BOVM</t>
  </si>
  <si>
    <t>BOLSA DE VALORES MINAS</t>
  </si>
  <si>
    <t>XGTG</t>
  </si>
  <si>
    <t>BOLSA DE VALORES NACIONAL SA</t>
  </si>
  <si>
    <t>XVPA</t>
  </si>
  <si>
    <t>BOLSA DE VALORES Y PRODUCTOS DE ASUNCION</t>
  </si>
  <si>
    <t>BVMF</t>
  </si>
  <si>
    <t>BOLSA DE VALORES, MERCADORIAS E FUTUROS</t>
  </si>
  <si>
    <t>BVCA</t>
  </si>
  <si>
    <t>BOLSA ELECTRONICA DE VALORES DE CARACAS</t>
  </si>
  <si>
    <t>BVUR</t>
  </si>
  <si>
    <t>BOLSA ELECTRONICA DE VALORES DEL URUGUAY</t>
  </si>
  <si>
    <t>XMEX</t>
  </si>
  <si>
    <t>BOLSA MEXICANA DE VALORES (MEXICAN STOCK</t>
  </si>
  <si>
    <t>XBNV</t>
  </si>
  <si>
    <t>BOLSA NACIONAL DE VALORES</t>
  </si>
  <si>
    <t>BEEX</t>
  </si>
  <si>
    <t>BOND ELECTRONIC EXCHANGE</t>
  </si>
  <si>
    <t>XBES</t>
  </si>
  <si>
    <t>BOND EXCHANGE OF SOUTH AFRICA</t>
  </si>
  <si>
    <t>BNDD</t>
  </si>
  <si>
    <t>BONDDESK</t>
  </si>
  <si>
    <t>BOSC</t>
  </si>
  <si>
    <t>BONDSCAPE</t>
  </si>
  <si>
    <t>BOND</t>
  </si>
  <si>
    <t>BONDVISION</t>
  </si>
  <si>
    <t>XIST</t>
  </si>
  <si>
    <t>BORSA ISTANBUL</t>
  </si>
  <si>
    <t>XI-C</t>
  </si>
  <si>
    <t>BORSA ITALIA OTC</t>
  </si>
  <si>
    <t>XMIL</t>
  </si>
  <si>
    <t>BORSA ITALIANA S.P.A.</t>
  </si>
  <si>
    <t>MTAH</t>
  </si>
  <si>
    <t>BORSA ITALIANA TRADING AFTER HOURS</t>
  </si>
  <si>
    <t>BA-C</t>
  </si>
  <si>
    <t>BOSNIA COMPOSITE</t>
  </si>
  <si>
    <t>XBOX</t>
  </si>
  <si>
    <t>BOSTON OPTIONS EXCHANGE</t>
  </si>
  <si>
    <t>XBOT</t>
  </si>
  <si>
    <t>BOTSWANA STOCK EXCHANGE</t>
  </si>
  <si>
    <t>GBOT</t>
  </si>
  <si>
    <t>BOURSE AFRICA LIMITED</t>
  </si>
  <si>
    <t>XBEY</t>
  </si>
  <si>
    <t>BOURSE DE BEYROUTH - BEIRUT STOCK EXCHAN</t>
  </si>
  <si>
    <t>XTUN</t>
  </si>
  <si>
    <t>BOURSE DE TUNIS</t>
  </si>
  <si>
    <t>XBRV</t>
  </si>
  <si>
    <t>BOURSE REGIONALE DES VALEURS MOBILIERES</t>
  </si>
  <si>
    <t>XBRA</t>
  </si>
  <si>
    <t>BRATISLAVA STOCK EXCHANGE</t>
  </si>
  <si>
    <t>BZ-C</t>
  </si>
  <si>
    <t>BRAZIL COMPOSITE</t>
  </si>
  <si>
    <t>BRIX</t>
  </si>
  <si>
    <t>BRAZILIAN ENERGY EXCHANGE</t>
  </si>
  <si>
    <t>VG-C</t>
  </si>
  <si>
    <t>BRIT VIRGIN COMPOSITE</t>
  </si>
  <si>
    <t>IO-C</t>
  </si>
  <si>
    <t>BRITISH INDIAN OCEAN TERRITORY COMPOSITE</t>
  </si>
  <si>
    <t>XBRT</t>
  </si>
  <si>
    <t>BRUT ECN</t>
  </si>
  <si>
    <t>BSME</t>
  </si>
  <si>
    <t>BSE SME</t>
  </si>
  <si>
    <t>XSOP</t>
  </si>
  <si>
    <t>BSP REGIONAL ENERGY EXCHANGE - SOUTH POO</t>
  </si>
  <si>
    <t>XH-C</t>
  </si>
  <si>
    <t>BUDAPEST OTC</t>
  </si>
  <si>
    <t>XBUD</t>
  </si>
  <si>
    <t>BUDAPEST STOCK EXCHANGE</t>
  </si>
  <si>
    <t>BACE</t>
  </si>
  <si>
    <t>BUENOS AIRES CEREAL EXCHANGE</t>
  </si>
  <si>
    <t>XBUE</t>
  </si>
  <si>
    <t>BUENOS AIRES STOCK EXCHANGE</t>
  </si>
  <si>
    <t>XBUL</t>
  </si>
  <si>
    <t>BULGARIAN STOCK EXCHANGE</t>
  </si>
  <si>
    <t>BURG</t>
  </si>
  <si>
    <t>BURGUNDY NORDIC MTF</t>
  </si>
  <si>
    <t>BURM</t>
  </si>
  <si>
    <t>XKLS</t>
  </si>
  <si>
    <t>BURSA MALAYSIA</t>
  </si>
  <si>
    <t>C2OX</t>
  </si>
  <si>
    <t>C2 OPTIONS EXCHANGE</t>
  </si>
  <si>
    <t>XDPA</t>
  </si>
  <si>
    <t>CADE - MERCADO DE DEUDA PUBLICA ANOTADA</t>
  </si>
  <si>
    <t>XCAL</t>
  </si>
  <si>
    <t>CALCUTTA STOCK EXCHANGE</t>
  </si>
  <si>
    <t>XCSX</t>
  </si>
  <si>
    <t>CAMBODIA SECURITIES EXCHANGE</t>
  </si>
  <si>
    <t>CN-C</t>
  </si>
  <si>
    <t>CANADA COMPOSITE</t>
  </si>
  <si>
    <t>XCNQ</t>
  </si>
  <si>
    <t>CANADIAN NATIONAL STOCK EXCHANGE</t>
  </si>
  <si>
    <t>CANX</t>
  </si>
  <si>
    <t>CANNEX FINANCIAL EXCHANGE LTS</t>
  </si>
  <si>
    <t>XCFF</t>
  </si>
  <si>
    <t>CANTOR FINANCIAL FUTURES EXCHANGE</t>
  </si>
  <si>
    <t>FAIR</t>
  </si>
  <si>
    <t>CANTOR SPREADFAIR</t>
  </si>
  <si>
    <t>CCO2</t>
  </si>
  <si>
    <t>CANTORCO2E.COM LIMITED</t>
  </si>
  <si>
    <t>XBVC</t>
  </si>
  <si>
    <t>CAPE VERDE STOCK EXCHANGE</t>
  </si>
  <si>
    <t>XCAS</t>
  </si>
  <si>
    <t>CASABLANCA STOCK EXCHANGE</t>
  </si>
  <si>
    <t>CATS</t>
  </si>
  <si>
    <t>XCAY</t>
  </si>
  <si>
    <t>CAYMAN ISLANDS STOCK EXCHANGE</t>
  </si>
  <si>
    <t>XCBF</t>
  </si>
  <si>
    <t>CBOE FUTURES EXCHANGE</t>
  </si>
  <si>
    <t>CBSX</t>
  </si>
  <si>
    <t>CBOE STOCK EXCHANGE</t>
  </si>
  <si>
    <t>XNKS</t>
  </si>
  <si>
    <t>CENTRAL JAPAN COMMODITIES EXCHANGE</t>
  </si>
  <si>
    <t>RPWC</t>
  </si>
  <si>
    <t>CETO SECURITIES MARKET</t>
  </si>
  <si>
    <t>XCIE</t>
  </si>
  <si>
    <t>CHANNEL ISLANDS STOCK EXCHANGE</t>
  </si>
  <si>
    <t>CHIC</t>
  </si>
  <si>
    <t>CHI-X CANADA ATS</t>
  </si>
  <si>
    <t>CHIY</t>
  </si>
  <si>
    <t>CHI-X EUROPE LIMITED - CHI-CLEAR</t>
  </si>
  <si>
    <t>CHIX</t>
  </si>
  <si>
    <t>CHI-X EUROPE LIMITED.</t>
  </si>
  <si>
    <t>CHIJ</t>
  </si>
  <si>
    <t>CHI-X JAPAN</t>
  </si>
  <si>
    <t>XC-C</t>
  </si>
  <si>
    <t>CHI-X OTC</t>
  </si>
  <si>
    <t>XCBT</t>
  </si>
  <si>
    <t>CHICAGO BOARD OF TRADE</t>
  </si>
  <si>
    <t>FCBT</t>
  </si>
  <si>
    <t>CHICAGO BOARD OF TRADE (FLOOR)</t>
  </si>
  <si>
    <t>XCBO</t>
  </si>
  <si>
    <t>CHICAGO BOARD OPTIONS EXCHANGE</t>
  </si>
  <si>
    <t>CCFE</t>
  </si>
  <si>
    <t>CHICAGO CLIMATE FUTURES EXCHANGE</t>
  </si>
  <si>
    <t>XCME</t>
  </si>
  <si>
    <t>CHICAGO MERCANTILE EXCHANGE</t>
  </si>
  <si>
    <t>XCHI</t>
  </si>
  <si>
    <t>CHICAGO STOCK EXCHANGE</t>
  </si>
  <si>
    <t>CI-C</t>
  </si>
  <si>
    <t>CHILE COMPOSITE</t>
  </si>
  <si>
    <t>CH-C</t>
  </si>
  <si>
    <t>CHINA COMPOSITE</t>
  </si>
  <si>
    <t>CCFX</t>
  </si>
  <si>
    <t>CHINA FINANCIAL FUTURES EXCHANGE</t>
  </si>
  <si>
    <t>XCFE</t>
  </si>
  <si>
    <t>CHINA FOREIGN EXCHANGE TRADE SYSTEM</t>
  </si>
  <si>
    <t>CSSX</t>
  </si>
  <si>
    <t>CHINA STAINLESS STEEL EXCHANGE</t>
  </si>
  <si>
    <t>XCGS</t>
  </si>
  <si>
    <t>CHINESE GOLD &amp; SILVER EXCHANGE SOCIETY</t>
  </si>
  <si>
    <t>XCHG</t>
  </si>
  <si>
    <t>CHITTAGONG STOCK EXCHANGE LTD.</t>
  </si>
  <si>
    <t>CGMI</t>
  </si>
  <si>
    <t>CITIGROUP GLOBAL MARKETS</t>
  </si>
  <si>
    <t>CLTD</t>
  </si>
  <si>
    <t>CLEARTRADE EXCHANGE</t>
  </si>
  <si>
    <t>CMEC</t>
  </si>
  <si>
    <t>CME CLEARING EUROPE</t>
  </si>
  <si>
    <t>CMED</t>
  </si>
  <si>
    <t>CME EUROPE - DERIVATIVES</t>
  </si>
  <si>
    <t>GLBX</t>
  </si>
  <si>
    <t>CME GLOBEX</t>
  </si>
  <si>
    <t>CB-C</t>
  </si>
  <si>
    <t>COLOMBIA COMPOSITE</t>
  </si>
  <si>
    <t>XCOL</t>
  </si>
  <si>
    <t>COLOMBO STOCK EXCHANGE</t>
  </si>
  <si>
    <t>XCEC</t>
  </si>
  <si>
    <t>COMMODITIES EXCHANGE CENTER</t>
  </si>
  <si>
    <t>HR-C</t>
  </si>
  <si>
    <t>CROATIA COMPOSITE</t>
  </si>
  <si>
    <t>CU-C</t>
  </si>
  <si>
    <t>CUBA COMPOSITE</t>
  </si>
  <si>
    <t>XCUR</t>
  </si>
  <si>
    <t>CURRENEX</t>
  </si>
  <si>
    <t>XCX2</t>
  </si>
  <si>
    <t>CX2 CHI-X</t>
  </si>
  <si>
    <t>XCYS</t>
  </si>
  <si>
    <t>CYPRUS STOCK EXCHANGE</t>
  </si>
  <si>
    <t>XCYO</t>
  </si>
  <si>
    <t>CYPRUS STOCK EXCHANGE - OTC</t>
  </si>
  <si>
    <t>CZ-C</t>
  </si>
  <si>
    <t>CZECH REPUBLIC COMPOSITE</t>
  </si>
  <si>
    <t>CHIA</t>
  </si>
  <si>
    <t>Chi-X Australia</t>
  </si>
  <si>
    <t>XDCE</t>
  </si>
  <si>
    <t>DALIAN COMMODITY EXCHANGE</t>
  </si>
  <si>
    <t>XDSE</t>
  </si>
  <si>
    <t>DAMASCUS SECURITIES EXCHANGE</t>
  </si>
  <si>
    <t>DKTC</t>
  </si>
  <si>
    <t>DANSK OTC</t>
  </si>
  <si>
    <t>XDAR</t>
  </si>
  <si>
    <t>DAR ES SALAAM STOCK EXCHANGE</t>
  </si>
  <si>
    <t>XDES</t>
  </si>
  <si>
    <t>DELHI STOCK EXCHANGE</t>
  </si>
  <si>
    <t>BMFM</t>
  </si>
  <si>
    <t>DERIVATIVES REGULATED MARKET - BMFMS</t>
  </si>
  <si>
    <t>XBSD</t>
  </si>
  <si>
    <t>DERIVATIVES REGULATED MARKET - BVB</t>
  </si>
  <si>
    <t>DBHK</t>
  </si>
  <si>
    <t>DEUTSCHE BANK HONG KONG ATS</t>
  </si>
  <si>
    <t>XFRA</t>
  </si>
  <si>
    <t>DEUTSCHE BOERSE AG</t>
  </si>
  <si>
    <t>XD-C</t>
  </si>
  <si>
    <t>DEUTSCHE BOERSE OTC</t>
  </si>
  <si>
    <t>XDHA</t>
  </si>
  <si>
    <t>DHAKA STOCK EXCHANGE LTD</t>
  </si>
  <si>
    <t>EDGA</t>
  </si>
  <si>
    <t>DIRECT EDGE ECN (EDGA)</t>
  </si>
  <si>
    <t>EDGX</t>
  </si>
  <si>
    <t>DIRECT EDGE ECN (EDGX)</t>
  </si>
  <si>
    <t>DSMD</t>
  </si>
  <si>
    <t>DOHA SECURITIES MARKET</t>
  </si>
  <si>
    <t>XDFB</t>
  </si>
  <si>
    <t>DONETSK STOCK EXCHANGE</t>
  </si>
  <si>
    <t>XDSX</t>
  </si>
  <si>
    <t>DOUALA STOCK EXCHANGE</t>
  </si>
  <si>
    <t>XDFM</t>
  </si>
  <si>
    <t>DUBAI FINANCIAL MARKET</t>
  </si>
  <si>
    <t>DGCX</t>
  </si>
  <si>
    <t>DUBAI GOLD &amp; COMMODITIES EXCHANGE DMCC</t>
  </si>
  <si>
    <t>DUMX</t>
  </si>
  <si>
    <t>DUBAI MERCANTILE EXCHANGE</t>
  </si>
  <si>
    <t>XF-C</t>
  </si>
  <si>
    <t>DUBLIN OTC</t>
  </si>
  <si>
    <t>DCSX</t>
  </si>
  <si>
    <t>DUTCH CARIBBEAN SECURITIES EXCHANGE</t>
  </si>
  <si>
    <t>EMDR</t>
  </si>
  <si>
    <t>E-MID - E-MIDER MARKET</t>
  </si>
  <si>
    <t>EMID</t>
  </si>
  <si>
    <t>E-MID SIM</t>
  </si>
  <si>
    <t>XECS</t>
  </si>
  <si>
    <t>EASTERN CARIBBEAN SECURITIES EXCHANGE</t>
  </si>
  <si>
    <t>EK-C</t>
  </si>
  <si>
    <t>EASTERN CARRIB COMPOSITE</t>
  </si>
  <si>
    <t>ED-C</t>
  </si>
  <si>
    <t>ECUADOR COMPOSITE</t>
  </si>
  <si>
    <t>EY-C</t>
  </si>
  <si>
    <t>EGYPT(EGX) COMPOSITE</t>
  </si>
  <si>
    <t>XCAI</t>
  </si>
  <si>
    <t>EGYPTIAN EXCHANGE</t>
  </si>
  <si>
    <t>XSVA</t>
  </si>
  <si>
    <t>EL SALVADOR STOCK EXCHANGE</t>
  </si>
  <si>
    <t>MOTX</t>
  </si>
  <si>
    <t>ELECTRONIC BOND MARKET</t>
  </si>
  <si>
    <t>ETFP</t>
  </si>
  <si>
    <t>ELECTRONIC OPEN-END FUNDS AND ETC MARKET</t>
  </si>
  <si>
    <t>HDAT</t>
  </si>
  <si>
    <t>ELECTRONIC SECONDARY SECURITIES MARKET (</t>
  </si>
  <si>
    <t>MTAA</t>
  </si>
  <si>
    <t>ELECTRONIC SHARE MARKET</t>
  </si>
  <si>
    <t>XELX</t>
  </si>
  <si>
    <t>ELX</t>
  </si>
  <si>
    <t>ERIS</t>
  </si>
  <si>
    <t>ERIS EXCHANGE</t>
  </si>
  <si>
    <t>XEUB</t>
  </si>
  <si>
    <t>EUREX BONDS</t>
  </si>
  <si>
    <t>ECAG</t>
  </si>
  <si>
    <t>EUREX CLEARING AG</t>
  </si>
  <si>
    <t>XEUR</t>
  </si>
  <si>
    <t>EUREX DEUTSCHLAND</t>
  </si>
  <si>
    <t>XEUP</t>
  </si>
  <si>
    <t>EUREX REPO GMBH</t>
  </si>
  <si>
    <t>EMTF</t>
  </si>
  <si>
    <t>EURO MTF</t>
  </si>
  <si>
    <t>ICEE</t>
  </si>
  <si>
    <t>EURO RELATED EXCHANGE</t>
  </si>
  <si>
    <t>NYFX</t>
  </si>
  <si>
    <t>EURO-MILLENNIUM</t>
  </si>
  <si>
    <t>EMTS</t>
  </si>
  <si>
    <t>EUROMTS</t>
  </si>
  <si>
    <t>XEUC</t>
  </si>
  <si>
    <t>EURONEXT COM</t>
  </si>
  <si>
    <t>XEUE</t>
  </si>
  <si>
    <t>EURONEXT EQF</t>
  </si>
  <si>
    <t>XEUI</t>
  </si>
  <si>
    <t>EURONEXT IRF</t>
  </si>
  <si>
    <t>XMAT</t>
  </si>
  <si>
    <t>EURONEXT PARIS MATIF</t>
  </si>
  <si>
    <t>XMON</t>
  </si>
  <si>
    <t>EURONEXT PARIS MONEP</t>
  </si>
  <si>
    <t>ECXE</t>
  </si>
  <si>
    <t>EUROPEAN CLIMATE EXCHANGE</t>
  </si>
  <si>
    <t>NDEX</t>
  </si>
  <si>
    <t>EUROPEAN ENERGY DERIVATIVES EXCHANGE N.V</t>
  </si>
  <si>
    <t>XEEE</t>
  </si>
  <si>
    <t>EUROPEAN ENERGY EXCHANGE AG</t>
  </si>
  <si>
    <t>ETLX</t>
  </si>
  <si>
    <t>EUROTLX</t>
  </si>
  <si>
    <t>EUWX</t>
  </si>
  <si>
    <t>EUWAX</t>
  </si>
  <si>
    <t>XMOT</t>
  </si>
  <si>
    <t>EXTRAMOT</t>
  </si>
  <si>
    <t>XFCI</t>
  </si>
  <si>
    <t>FINANCIALCONTENT INDEXES</t>
  </si>
  <si>
    <t>CCLX</t>
  </si>
  <si>
    <t>FINESTI S.A.</t>
  </si>
  <si>
    <t>FINR</t>
  </si>
  <si>
    <t>FINRA ADF (TRADE REPORTING FACILITY)</t>
  </si>
  <si>
    <t>XADF</t>
  </si>
  <si>
    <t>FINRA ALTERNATIVE DISPLAY FACILITY</t>
  </si>
  <si>
    <t>XFND</t>
  </si>
  <si>
    <t>FIRST NORTH DENMARK</t>
  </si>
  <si>
    <t>FNFI</t>
  </si>
  <si>
    <t>FIRST NORTH FINLAND</t>
  </si>
  <si>
    <t>ISEC</t>
  </si>
  <si>
    <t>FIRST NORTH ICELAND</t>
  </si>
  <si>
    <t>FNLV</t>
  </si>
  <si>
    <t>FIRST NORTH LATVIA</t>
  </si>
  <si>
    <t>FNSE</t>
  </si>
  <si>
    <t>FIRST NORTH STOCKHOLM</t>
  </si>
  <si>
    <t>PFTS</t>
  </si>
  <si>
    <t>FIRST SECURITIES TRADING SYSTEM - UKRAIN</t>
  </si>
  <si>
    <t>FISH</t>
  </si>
  <si>
    <t>FISH POOL ASA</t>
  </si>
  <si>
    <t>FSHX</t>
  </si>
  <si>
    <t>FISHEX</t>
  </si>
  <si>
    <t>XFKA</t>
  </si>
  <si>
    <t>FUKUOKA STOCK EXCHANGE</t>
  </si>
  <si>
    <t>FXAL</t>
  </si>
  <si>
    <t>FXALL</t>
  </si>
  <si>
    <t>GEMX</t>
  </si>
  <si>
    <t>GEMMA (GILT EDGED MARKET MAKERS?ASSOCIAT</t>
  </si>
  <si>
    <t>XGSE</t>
  </si>
  <si>
    <t>GEORGIA STOCK EXCHANGE</t>
  </si>
  <si>
    <t>GR-C</t>
  </si>
  <si>
    <t>XGME</t>
  </si>
  <si>
    <t>GESTORE MERCATO ELETTRICO - ITALIAN POWE</t>
  </si>
  <si>
    <t>GTCO</t>
  </si>
  <si>
    <t>GETCO EXECUTION SERVICES</t>
  </si>
  <si>
    <t>GFIC</t>
  </si>
  <si>
    <t>GFI CREDITMATCH</t>
  </si>
  <si>
    <t>GFIN</t>
  </si>
  <si>
    <t>GFI ENERGYMATCH</t>
  </si>
  <si>
    <t>GFIF</t>
  </si>
  <si>
    <t>GFI FOREXMATCH</t>
  </si>
  <si>
    <t>XGHA</t>
  </si>
  <si>
    <t>GHANA STOCK EXCHANGE</t>
  </si>
  <si>
    <t>GI-C</t>
  </si>
  <si>
    <t>GIBRALTAR COMPOSITE</t>
  </si>
  <si>
    <t>SGMA</t>
  </si>
  <si>
    <t>GOLDMAN SACH MTF</t>
  </si>
  <si>
    <t>GMEX</t>
  </si>
  <si>
    <t>GREENMARKET EXCHANGE</t>
  </si>
  <si>
    <t>XGUA</t>
  </si>
  <si>
    <t>GUAYAQUIL STOCK EXCHANGE</t>
  </si>
  <si>
    <t>GU-C</t>
  </si>
  <si>
    <t>GXMA</t>
  </si>
  <si>
    <t>GX MARKETCENTER</t>
  </si>
  <si>
    <t>GXGR</t>
  </si>
  <si>
    <t>GXG MARKETS A/S</t>
  </si>
  <si>
    <t>XHNX</t>
  </si>
  <si>
    <t>HANOI (UNLISTED PUBLIC COMPANY)</t>
  </si>
  <si>
    <t>HSTC</t>
  </si>
  <si>
    <t>HANOI SECURITIES TRADING CENTER</t>
  </si>
  <si>
    <t>XHAM</t>
  </si>
  <si>
    <t>HANSEATISCHE WERTPAPIERBOERSE HAMBURG</t>
  </si>
  <si>
    <t>HEGX</t>
  </si>
  <si>
    <t>HEDGESTREET EXCHANGE</t>
  </si>
  <si>
    <t>HOTC</t>
  </si>
  <si>
    <t>HELLENIC EXCHANGE OTC MARKET</t>
  </si>
  <si>
    <t>HMTF</t>
  </si>
  <si>
    <t>HI-MTF</t>
  </si>
  <si>
    <t>HMOD</t>
  </si>
  <si>
    <t>HI-MTF ORDER DRIVEN</t>
  </si>
  <si>
    <t>XSTC</t>
  </si>
  <si>
    <t>HOCHIMINH STOCK EXCHANGE</t>
  </si>
  <si>
    <t>XHKF</t>
  </si>
  <si>
    <t>HONG KONG FUTURES EXCHANGE LTD.</t>
  </si>
  <si>
    <t>XGEM</t>
  </si>
  <si>
    <t>HONG KONG GROWTH ENTERPRISES MARKET</t>
  </si>
  <si>
    <t>HKME</t>
  </si>
  <si>
    <t>HONG KONG MERCANTILE EXCHANGE</t>
  </si>
  <si>
    <t>HSFX</t>
  </si>
  <si>
    <t>HOTSPOT FX</t>
  </si>
  <si>
    <t>HUPX</t>
  </si>
  <si>
    <t>HUNGARIAN POWER EXCHANGE</t>
  </si>
  <si>
    <t>BTEE</t>
  </si>
  <si>
    <t>ICAP ELECTRONIC BROKING (EUROPE)</t>
  </si>
  <si>
    <t>BTEC</t>
  </si>
  <si>
    <t>ICAP ELECTRONIC BROKING (US)</t>
  </si>
  <si>
    <t>ICEN</t>
  </si>
  <si>
    <t>ICAP ENERGY</t>
  </si>
  <si>
    <t>ICAS</t>
  </si>
  <si>
    <t>ICAP ENERGY AS</t>
  </si>
  <si>
    <t>ICAP</t>
  </si>
  <si>
    <t>ICAP EUROPE</t>
  </si>
  <si>
    <t>ICSE</t>
  </si>
  <si>
    <t>ICAP SECURITIES</t>
  </si>
  <si>
    <t>ISDX</t>
  </si>
  <si>
    <t>ICAP SECURITIES &amp; DERIVATIVES EXCH. LTD.</t>
  </si>
  <si>
    <t>ICAH</t>
  </si>
  <si>
    <t>ICAP SHIPPING TANKER DERIVATIVES LIMITED</t>
  </si>
  <si>
    <t>WCLK</t>
  </si>
  <si>
    <t>ICAP WCLK</t>
  </si>
  <si>
    <t>IFCA</t>
  </si>
  <si>
    <t>ICE FUTURES CANADA</t>
  </si>
  <si>
    <t>IFLX</t>
  </si>
  <si>
    <t>ICE FUTURES EUROPE - AGRICULTURAL</t>
  </si>
  <si>
    <t>IFLO</t>
  </si>
  <si>
    <t>ICE FUTURES EUROPE - EQUITY PRODUCTS</t>
  </si>
  <si>
    <t>IFLL</t>
  </si>
  <si>
    <t>ICE FUTURES EUROPE - FINANCIAL PRODUCTS</t>
  </si>
  <si>
    <t>IFSG</t>
  </si>
  <si>
    <t>ICE FUTURES SINGAPORE</t>
  </si>
  <si>
    <t>IFUS</t>
  </si>
  <si>
    <t>ICE FUTURES U.S.</t>
  </si>
  <si>
    <t>ICUS</t>
  </si>
  <si>
    <t>ICE FUTURES U.S. INC</t>
  </si>
  <si>
    <t>IFED</t>
  </si>
  <si>
    <t>XCOR</t>
  </si>
  <si>
    <t>ICMA</t>
  </si>
  <si>
    <t>XIOM</t>
  </si>
  <si>
    <t>INDEX AND OPTIONS MARKET</t>
  </si>
  <si>
    <t>IN-C</t>
  </si>
  <si>
    <t>INDIA COMPOSITE</t>
  </si>
  <si>
    <t>ICDX</t>
  </si>
  <si>
    <t>INDONESIA COMMODITY &amp; DERIVATIVES EXCH</t>
  </si>
  <si>
    <t>XIDX</t>
  </si>
  <si>
    <t>INDONESIA STOCK EXCHANGE</t>
  </si>
  <si>
    <t>XICX</t>
  </si>
  <si>
    <t>INSTINET CANADA CROSS</t>
  </si>
  <si>
    <t>ICBX</t>
  </si>
  <si>
    <t>INSTINET CBX (US)</t>
  </si>
  <si>
    <t>XIJP</t>
  </si>
  <si>
    <t>INSTINET JAPAN</t>
  </si>
  <si>
    <t>XIHK</t>
  </si>
  <si>
    <t>INSTINET PACIFIC LTD</t>
  </si>
  <si>
    <t>ISEX</t>
  </si>
  <si>
    <t>INTER-CONNECTED STOCK EXCHANGE OF INDIA</t>
  </si>
  <si>
    <t>IFEU</t>
  </si>
  <si>
    <t>INTERCONTINENTAL EXCH - ICE FUTURES LTD</t>
  </si>
  <si>
    <t>IEPA</t>
  </si>
  <si>
    <t>INTERCONTINENTAL EXCHANGE</t>
  </si>
  <si>
    <t>XWCE</t>
  </si>
  <si>
    <t>INTERCONTINENTAL EXCHANGE - ICE FUTURES</t>
  </si>
  <si>
    <t>ICEU</t>
  </si>
  <si>
    <t>XIMA</t>
  </si>
  <si>
    <t>INTERNATIONAL MARTIME EXCHANGE</t>
  </si>
  <si>
    <t>XIMM</t>
  </si>
  <si>
    <t>INTERNATIONAL MONETARY MARKET</t>
  </si>
  <si>
    <t>XISA</t>
  </si>
  <si>
    <t>INTERNATIONAL SECURITIES EXCHANGE</t>
  </si>
  <si>
    <t>XISX</t>
  </si>
  <si>
    <t>XISE</t>
  </si>
  <si>
    <t>XRUS</t>
  </si>
  <si>
    <t>INTERNET DIRECT-ACCESS EXCHANGE</t>
  </si>
  <si>
    <t>XINV</t>
  </si>
  <si>
    <t>INVESTRO</t>
  </si>
  <si>
    <t>XIQS</t>
  </si>
  <si>
    <t>IRAQ STOCK EXCHANGE</t>
  </si>
  <si>
    <t>XDUB</t>
  </si>
  <si>
    <t>IRISH STOCK EXCHANGE - MAIN MARKET</t>
  </si>
  <si>
    <t>GMNI</t>
  </si>
  <si>
    <t>ISE GEMINI EXCHANGE</t>
  </si>
  <si>
    <t>XISL</t>
  </si>
  <si>
    <t>ISLAMABAD STOCK EXCHANGE</t>
  </si>
  <si>
    <t>ICEL</t>
  </si>
  <si>
    <t>ISLAND ECN LTD</t>
  </si>
  <si>
    <t>IM-C</t>
  </si>
  <si>
    <t>ISLE OF MAN COMPOSITE</t>
  </si>
  <si>
    <t>XDMI</t>
  </si>
  <si>
    <t>ITALIAN DERIVATIVES MARKET</t>
  </si>
  <si>
    <t>ITGI</t>
  </si>
  <si>
    <t>ITG - POSIT EXCHANGE</t>
  </si>
  <si>
    <t>XBBJ</t>
  </si>
  <si>
    <t>JAKARTA FUTURES EXCHANGE (BURSA BERJANGK</t>
  </si>
  <si>
    <t>XJNB</t>
  </si>
  <si>
    <t>JAKARTA NEGOTIATED BOARD</t>
  </si>
  <si>
    <t>XJAM</t>
  </si>
  <si>
    <t>JAMAICA STOCK EXCHANGE</t>
  </si>
  <si>
    <t>JP-C</t>
  </si>
  <si>
    <t>JAPAN COMPOSITE</t>
  </si>
  <si>
    <t>JASR</t>
  </si>
  <si>
    <t>JAPANCROSSING</t>
  </si>
  <si>
    <t>SBIJ</t>
  </si>
  <si>
    <t>JAPANNEXT PTS</t>
  </si>
  <si>
    <t>XJAS</t>
  </si>
  <si>
    <t>JASDAQ SECURITIES EXCHANGE</t>
  </si>
  <si>
    <t>JE-C</t>
  </si>
  <si>
    <t>JERSEY COMPOSITE</t>
  </si>
  <si>
    <t>JADX</t>
  </si>
  <si>
    <t>JOINT ASIAN DERIVATIVES EXCHANGE</t>
  </si>
  <si>
    <t>XJSE</t>
  </si>
  <si>
    <t>JSE SECURITIES EXCHANGE</t>
  </si>
  <si>
    <t>YLDX</t>
  </si>
  <si>
    <t>JSE YIELD-X</t>
  </si>
  <si>
    <t>XKAC</t>
  </si>
  <si>
    <t>KANSAI COMMODITIES EXCHANGE</t>
  </si>
  <si>
    <t>XKBT</t>
  </si>
  <si>
    <t>KANSAS CITY BOARD OF TRADE</t>
  </si>
  <si>
    <t>XKAR</t>
  </si>
  <si>
    <t>KARACHI STOCK EXCHANGE (GUARANTEE) LIMIT</t>
  </si>
  <si>
    <t>XKAZ</t>
  </si>
  <si>
    <t>KAZAKHSTAN STOCK EXCHANGE</t>
  </si>
  <si>
    <t>XKHR</t>
  </si>
  <si>
    <t>KHARKOV COMMODITY EXCHANGE</t>
  </si>
  <si>
    <t>XKHA</t>
  </si>
  <si>
    <t>KHARTOUM STOCK EXCHANGE</t>
  </si>
  <si>
    <t>XKCE</t>
  </si>
  <si>
    <t>KHOREZM INTERREGION COMMODITY EXCHANGE</t>
  </si>
  <si>
    <t>XKIS</t>
  </si>
  <si>
    <t>KIEV INTERNATIONAL STOCK EXCHANGE</t>
  </si>
  <si>
    <t>XKIE</t>
  </si>
  <si>
    <t>KIEV UNIVERSAL EXCHANGE</t>
  </si>
  <si>
    <t>KNLI</t>
  </si>
  <si>
    <t>KNIGHT LINK</t>
  </si>
  <si>
    <t>KLEU</t>
  </si>
  <si>
    <t>KNIGHT LINK EUROPE</t>
  </si>
  <si>
    <t>KNMX</t>
  </si>
  <si>
    <t>KNIGHT MATCH ATS</t>
  </si>
  <si>
    <t>XKFE</t>
  </si>
  <si>
    <t>KOREA EXCHANGE (FUTURES MARKET)</t>
  </si>
  <si>
    <t>XKOS</t>
  </si>
  <si>
    <t>KOREA EXCHANGE (KOSDAQ)</t>
  </si>
  <si>
    <t>XKRX</t>
  </si>
  <si>
    <t>KOREA EXCHANGE (STOCK MARKET)</t>
  </si>
  <si>
    <t>XKFB</t>
  </si>
  <si>
    <t>KOREA FREEBOARD MARKET</t>
  </si>
  <si>
    <t>XKON</t>
  </si>
  <si>
    <t>KOREA NEW EXCHANGE</t>
  </si>
  <si>
    <t>XKUW</t>
  </si>
  <si>
    <t>KUWAIT STOCK EXCHANGE</t>
  </si>
  <si>
    <t>XKSE</t>
  </si>
  <si>
    <t>KYRGYZ STOCK EXCHANGE</t>
  </si>
  <si>
    <t>XBCL</t>
  </si>
  <si>
    <t>LA BOLSA ELECTRONICA DE CHILE</t>
  </si>
  <si>
    <t>COAL</t>
  </si>
  <si>
    <t>LA COTE ALPHA</t>
  </si>
  <si>
    <t>XLFX</t>
  </si>
  <si>
    <t>LABUAN INTERNATIONAL FINANCIAL EXCHANGE</t>
  </si>
  <si>
    <t>XLAH</t>
  </si>
  <si>
    <t>LAHORE STOCK EXCHANGE</t>
  </si>
  <si>
    <t>XLAO</t>
  </si>
  <si>
    <t>LAO SECURITIES EXCHANGE</t>
  </si>
  <si>
    <t>XLAT</t>
  </si>
  <si>
    <t>LATIBEX</t>
  </si>
  <si>
    <t>LR-C</t>
  </si>
  <si>
    <t>LATVIA COMPOSITE</t>
  </si>
  <si>
    <t>LAFX</t>
  </si>
  <si>
    <t>LAVAFX</t>
  </si>
  <si>
    <t>LEVL</t>
  </si>
  <si>
    <t>LEVEL ATS</t>
  </si>
  <si>
    <t>XLSM</t>
  </si>
  <si>
    <t>LIBYAN STOCK MARKET</t>
  </si>
  <si>
    <t>LI-C</t>
  </si>
  <si>
    <t>LIECHTENSTEIN COMPOSITE</t>
  </si>
  <si>
    <t>LICA</t>
  </si>
  <si>
    <t>LIQUIDNET CANADA ATS</t>
  </si>
  <si>
    <t>LIQU</t>
  </si>
  <si>
    <t>LIQUIDNET SYSTEMS</t>
  </si>
  <si>
    <t>XJ-C</t>
  </si>
  <si>
    <t>LJUBLJANA SE OTC</t>
  </si>
  <si>
    <t>XLJU</t>
  </si>
  <si>
    <t>LJUBLJANA STOCK EXCHANGE (OFFICIAL MARKE</t>
  </si>
  <si>
    <t>LMAD</t>
  </si>
  <si>
    <t>LMAX - DERIVATIVES</t>
  </si>
  <si>
    <t>LMAO</t>
  </si>
  <si>
    <t>LMAX - INDICES/RATES/COMMODITIES</t>
  </si>
  <si>
    <t>XLBM</t>
  </si>
  <si>
    <t>LONDON BULLION MARKET</t>
  </si>
  <si>
    <t>XLME</t>
  </si>
  <si>
    <t>LONDON METAL EXCHANGE</t>
  </si>
  <si>
    <t>LPPM</t>
  </si>
  <si>
    <t>LONDON PLATINUM AND PALLADIUM MARKET</t>
  </si>
  <si>
    <t>XLON</t>
  </si>
  <si>
    <t>LONDON STOCK EXCHANGE</t>
  </si>
  <si>
    <t>XLOD</t>
  </si>
  <si>
    <t>LSE Derivatives</t>
  </si>
  <si>
    <t>XL-C</t>
  </si>
  <si>
    <t>LSE OTC INT'L AND DOMESTIC</t>
  </si>
  <si>
    <t>XLUS</t>
  </si>
  <si>
    <t>LUSAKA STOCK EXCHANGE</t>
  </si>
  <si>
    <t>XLUX</t>
  </si>
  <si>
    <t>LUXEMBOURG STOCK EXCHANGE</t>
  </si>
  <si>
    <t>LYNX</t>
  </si>
  <si>
    <t>LYNX ATS</t>
  </si>
  <si>
    <t>MS-C</t>
  </si>
  <si>
    <t>MACEDONIA COMPOSITE</t>
  </si>
  <si>
    <t>XMAE</t>
  </si>
  <si>
    <t>MACEDONIAN STOCK EXCHANGE</t>
  </si>
  <si>
    <t>XMDS</t>
  </si>
  <si>
    <t>MADRAS STOCK EXCHANGE</t>
  </si>
  <si>
    <t>XMSW</t>
  </si>
  <si>
    <t>MALAWI STOCK EXCHANGE</t>
  </si>
  <si>
    <t>XMAL</t>
  </si>
  <si>
    <t>MALTA STOCK EXCHANGE</t>
  </si>
  <si>
    <t>XMAP</t>
  </si>
  <si>
    <t>MAPUTO STOCK EXCHANGE</t>
  </si>
  <si>
    <t>XMDG</t>
  </si>
  <si>
    <t>MARCHE INTERBANCAIRE DES DEVISES M.I.D.</t>
  </si>
  <si>
    <t>MIVX</t>
  </si>
  <si>
    <t>MARKET FOR INVESTMENT VEHICULES</t>
  </si>
  <si>
    <t>MAEL</t>
  </si>
  <si>
    <t>MARKETAXESS EUROPE LIMITED</t>
  </si>
  <si>
    <t>MARKIT BOAT</t>
  </si>
  <si>
    <t>MATN</t>
  </si>
  <si>
    <t>MATCH NOW</t>
  </si>
  <si>
    <t>MCXX</t>
  </si>
  <si>
    <t>MCX STOCK EXCHANGE LTD.</t>
  </si>
  <si>
    <t>XMPW</t>
  </si>
  <si>
    <t>MEFF POWER DERIVATIVES</t>
  </si>
  <si>
    <t>XMEF</t>
  </si>
  <si>
    <t>MEFF RENTA FIJA</t>
  </si>
  <si>
    <t>XMRV</t>
  </si>
  <si>
    <t>MEFF RENTA VARIABLE</t>
  </si>
  <si>
    <t>XMTB</t>
  </si>
  <si>
    <t>MERCADO A TERMINO DE BUENOS AIRES S.A.</t>
  </si>
  <si>
    <t>XMAB</t>
  </si>
  <si>
    <t>MERCADO ABIERTO ELECTRONICO S.A.</t>
  </si>
  <si>
    <t>MABX</t>
  </si>
  <si>
    <t>MERCADO ALTERNATIVO BURSATIL</t>
  </si>
  <si>
    <t>XMCE</t>
  </si>
  <si>
    <t>MERCADO CONTINUO ESPANOL</t>
  </si>
  <si>
    <t>XSRM</t>
  </si>
  <si>
    <t>MERCADO DE FUTUROS DE ACEITE DE OLIVA</t>
  </si>
  <si>
    <t>XMEV</t>
  </si>
  <si>
    <t>MERCADO DE VALORES DE BUENOS AIRES S.A.</t>
  </si>
  <si>
    <t>MVCX</t>
  </si>
  <si>
    <t>MERCADO DE VALORES DE CORBODA</t>
  </si>
  <si>
    <t>XBCX</t>
  </si>
  <si>
    <t>MERCADO DE VALORES DE MENDOZA</t>
  </si>
  <si>
    <t>XROX</t>
  </si>
  <si>
    <t>MERCADO DE VALORES DE ROSARIO</t>
  </si>
  <si>
    <t>XMVL</t>
  </si>
  <si>
    <t>MERCADO DE VALORES DEL LITORAL</t>
  </si>
  <si>
    <t>XEMD</t>
  </si>
  <si>
    <t>MERCADO MEXICANO DE DERIVADOS</t>
  </si>
  <si>
    <t>XMER</t>
  </si>
  <si>
    <t>MERCHANTS' EXCHANGE</t>
  </si>
  <si>
    <t>MESQ</t>
  </si>
  <si>
    <t>MESDAQ</t>
  </si>
  <si>
    <t>MFGL</t>
  </si>
  <si>
    <t>MF GLOBAL ENERGY MTF</t>
  </si>
  <si>
    <t>XMIO</t>
  </si>
  <si>
    <t>MIAMI INTNL. SECURITIES EXCH. - OPTIONS</t>
  </si>
  <si>
    <t>MISX</t>
  </si>
  <si>
    <t>MICEX STOCK EXCHANGE</t>
  </si>
  <si>
    <t>XMGE</t>
  </si>
  <si>
    <t>MINNEAPOLIS GRAIN EXCHANGE</t>
  </si>
  <si>
    <t>XMOL</t>
  </si>
  <si>
    <t>MOLDOVA STOCK EXCHANGE</t>
  </si>
  <si>
    <t>XULA</t>
  </si>
  <si>
    <t>MONGOLIAN STOCK EXCHANGE</t>
  </si>
  <si>
    <t>ME-C</t>
  </si>
  <si>
    <t>MONTENEGRO COMPOSITE</t>
  </si>
  <si>
    <t>XMNX</t>
  </si>
  <si>
    <t>MONTENEGRO STOCK EXCHANGE</t>
  </si>
  <si>
    <t>XMOC</t>
  </si>
  <si>
    <t>MONTREAL CLIMATE EXCHANGE</t>
  </si>
  <si>
    <t>RPDX</t>
  </si>
  <si>
    <t>MOSCOW ENERGY EXCHANGE</t>
  </si>
  <si>
    <t>XMIC</t>
  </si>
  <si>
    <t>MOSCOW INTERBANK CURRENCY EXCHANGE</t>
  </si>
  <si>
    <t>XMOS</t>
  </si>
  <si>
    <t>MOSCOW STOCK EXCHANGE</t>
  </si>
  <si>
    <t>XBVM</t>
  </si>
  <si>
    <t>MOZAMBIQUE STOCK EXCHANGE</t>
  </si>
  <si>
    <t>XECM</t>
  </si>
  <si>
    <t>MTF - CYPRUS EXCHANGE</t>
  </si>
  <si>
    <t>AMTS</t>
  </si>
  <si>
    <t>MTS AMSTERDAM N.V.</t>
  </si>
  <si>
    <t>MTSA</t>
  </si>
  <si>
    <t>MTS AUSTRIAN MARKET</t>
  </si>
  <si>
    <t>BMTS</t>
  </si>
  <si>
    <t>MTS BELGIUM</t>
  </si>
  <si>
    <t>MTSM</t>
  </si>
  <si>
    <t>MTS CORPORATE MARKET</t>
  </si>
  <si>
    <t>MTSD</t>
  </si>
  <si>
    <t>MTS DENMARK</t>
  </si>
  <si>
    <t>GMTS</t>
  </si>
  <si>
    <t>MTS DEUTSCHLAND AG</t>
  </si>
  <si>
    <t>MTSF</t>
  </si>
  <si>
    <t>MTS FINLAND</t>
  </si>
  <si>
    <t>FMTS</t>
  </si>
  <si>
    <t>MTS FRANCE SAS</t>
  </si>
  <si>
    <t>MTSG</t>
  </si>
  <si>
    <t>MTS GREEK MARKET</t>
  </si>
  <si>
    <t>HUNG</t>
  </si>
  <si>
    <t>MTS HUNGARY</t>
  </si>
  <si>
    <t>IMTS</t>
  </si>
  <si>
    <t>MTS IRELAND</t>
  </si>
  <si>
    <t>RMTS</t>
  </si>
  <si>
    <t>MTS ISRAEL</t>
  </si>
  <si>
    <t>PORT</t>
  </si>
  <si>
    <t>MTS PORTUGAL</t>
  </si>
  <si>
    <t>MTSC</t>
  </si>
  <si>
    <t>MTS S.P.A.</t>
  </si>
  <si>
    <t>VMTS</t>
  </si>
  <si>
    <t>MTS SLOVENIA</t>
  </si>
  <si>
    <t>SMTS</t>
  </si>
  <si>
    <t>MTS SPAIN</t>
  </si>
  <si>
    <t>MTSS</t>
  </si>
  <si>
    <t>MTS SWAP MARKET</t>
  </si>
  <si>
    <t>XIMC</t>
  </si>
  <si>
    <t>MULTI COMMODITY EXCHANGE OF INDIA LTD.</t>
  </si>
  <si>
    <t>XBOM</t>
  </si>
  <si>
    <t>MUMBAI STOCK EXCHANGE</t>
  </si>
  <si>
    <t>XMUS</t>
  </si>
  <si>
    <t>MUSCAT SECURITIES MARKET</t>
  </si>
  <si>
    <t>MYTR</t>
  </si>
  <si>
    <t>MYTREASURY</t>
  </si>
  <si>
    <t>N2EX</t>
  </si>
  <si>
    <t>N2EX UK POWER MARKET</t>
  </si>
  <si>
    <t>XNGO</t>
  </si>
  <si>
    <t>NAGOYA STOCK EXCHANGE</t>
  </si>
  <si>
    <t>XNAI</t>
  </si>
  <si>
    <t>NAIROBI STOCK EXCHANGE</t>
  </si>
  <si>
    <t>XNAM</t>
  </si>
  <si>
    <t>NAMIBIAN STOCK EXCHANGE</t>
  </si>
  <si>
    <t>XNAS</t>
  </si>
  <si>
    <t>NASDAQ</t>
  </si>
  <si>
    <t>XNCM</t>
  </si>
  <si>
    <t>NASDAQ CAPITAL MARKET</t>
  </si>
  <si>
    <t>DIFX</t>
  </si>
  <si>
    <t>NASDAQ DUBAI</t>
  </si>
  <si>
    <t>XNIM</t>
  </si>
  <si>
    <t>NASDAQ INTERMARKET</t>
  </si>
  <si>
    <t>XBOS</t>
  </si>
  <si>
    <t>NASDAQ OMX BX</t>
  </si>
  <si>
    <t>XBXO</t>
  </si>
  <si>
    <t>NASDAQ OMX BX Options</t>
  </si>
  <si>
    <t>NURO</t>
  </si>
  <si>
    <t>NASDAQ OMX EUROPE</t>
  </si>
  <si>
    <t>XPBT</t>
  </si>
  <si>
    <t>NASDAQ OMX FUTURES EXCHANGE</t>
  </si>
  <si>
    <t>XNLX</t>
  </si>
  <si>
    <t>NASDAQ OMX NLX</t>
  </si>
  <si>
    <t>XPHL</t>
  </si>
  <si>
    <t>NASDAQ OMX PHLX</t>
  </si>
  <si>
    <t>XNDQ</t>
  </si>
  <si>
    <t>NASDAQ OPTIONS MARKET</t>
  </si>
  <si>
    <t>XNGS</t>
  </si>
  <si>
    <t>NASDAQ/NGS (GLOBAL SELECT MARKET)</t>
  </si>
  <si>
    <t>XNMS</t>
  </si>
  <si>
    <t>NASDAQ/NMS (GLOBAL MARKET)</t>
  </si>
  <si>
    <t>NBOT</t>
  </si>
  <si>
    <t>NATIONAL BOARD OF TRADE LIMITED</t>
  </si>
  <si>
    <t>XNCD</t>
  </si>
  <si>
    <t>NATIONAL COMMODITY &amp; DERIVATIVES EXCHANG</t>
  </si>
  <si>
    <t>NCEL</t>
  </si>
  <si>
    <t>NATIONAL COMMODITY EXCHANGE LIMITED</t>
  </si>
  <si>
    <t>NMCE</t>
  </si>
  <si>
    <t>NATIONAL MULTI-COMMODITY EXCHANGE OF IND</t>
  </si>
  <si>
    <t>XCIS</t>
  </si>
  <si>
    <t>NATIONAL STOCK EXCHANGE</t>
  </si>
  <si>
    <t>XNEC</t>
  </si>
  <si>
    <t>NATIONAL STOCK EXCHANGE OF AUSTRALIA LIM</t>
  </si>
  <si>
    <t>XNSE</t>
  </si>
  <si>
    <t>NATIONAL STOCK EXCHANGE OF INDIA</t>
  </si>
  <si>
    <t>NGXC</t>
  </si>
  <si>
    <t>NATURAL GAS EXCHANGE</t>
  </si>
  <si>
    <t>XNEP</t>
  </si>
  <si>
    <t>NEPAL STOCK EXCHANGE</t>
  </si>
  <si>
    <t>AN-C</t>
  </si>
  <si>
    <t>NETH ANTILLES COMPOSITE</t>
  </si>
  <si>
    <t>NX-C</t>
  </si>
  <si>
    <t>NEVIS COMPOSITE</t>
  </si>
  <si>
    <t>XNCO</t>
  </si>
  <si>
    <t>NEW CONNECT</t>
  </si>
  <si>
    <t>XNYM</t>
  </si>
  <si>
    <t>NEW YORK MERCANTILE EXCHANGE</t>
  </si>
  <si>
    <t>XNYL</t>
  </si>
  <si>
    <t>NEW YORK MERCANTILE EXCHANGE - ENERGY MA</t>
  </si>
  <si>
    <t>XNYE</t>
  </si>
  <si>
    <t>NEW YORK MERCANTILE EXCHANGE - OTC MARKE</t>
  </si>
  <si>
    <t>XNYS</t>
  </si>
  <si>
    <t>NEW YORK STOCK EXCHANGE</t>
  </si>
  <si>
    <t>XNZE</t>
  </si>
  <si>
    <t>NEW ZEALAND EXCHANGE LTD</t>
  </si>
  <si>
    <t>NZFX</t>
  </si>
  <si>
    <t>NEW ZEALAND FUTURES &amp; OPTIONS</t>
  </si>
  <si>
    <t>XNEW</t>
  </si>
  <si>
    <t>NEWEX</t>
  </si>
  <si>
    <t>XHAN</t>
  </si>
  <si>
    <t>NIEDERSAECHSISCHE BOERSE ZU HANNOVER</t>
  </si>
  <si>
    <t>XNSA</t>
  </si>
  <si>
    <t>NIGERIAN STOCK EXCHANGE</t>
  </si>
  <si>
    <t>NILX</t>
  </si>
  <si>
    <t>NILE STOCK EXCHANGE</t>
  </si>
  <si>
    <t>XXXX</t>
  </si>
  <si>
    <t>NO MARKET (EG, UNLISTED)</t>
  </si>
  <si>
    <t>NODX</t>
  </si>
  <si>
    <t>NODAL EXCHANGE</t>
  </si>
  <si>
    <t>NORX</t>
  </si>
  <si>
    <t>NORD POOL ASA</t>
  </si>
  <si>
    <t>NPGA</t>
  </si>
  <si>
    <t>NORD POOL GAS A/S</t>
  </si>
  <si>
    <t>NOPS</t>
  </si>
  <si>
    <t>NORD POOL SPOT AS</t>
  </si>
  <si>
    <t>XNDX</t>
  </si>
  <si>
    <t>NORDIC DERIVATIVES EXCHANGE</t>
  </si>
  <si>
    <t>XNGM</t>
  </si>
  <si>
    <t>NORDIC GROWTH MARKET</t>
  </si>
  <si>
    <t>XG-C</t>
  </si>
  <si>
    <t>NORDIC GROWTH OTC COMPOSITE</t>
  </si>
  <si>
    <t>NMTF</t>
  </si>
  <si>
    <t>NORDIC MTF</t>
  </si>
  <si>
    <t>XNMR</t>
  </si>
  <si>
    <t>NORDIC MTF REPORTING</t>
  </si>
  <si>
    <t>NOTC</t>
  </si>
  <si>
    <t>NORWEGIAN OVER THE COUNTER MARKET</t>
  </si>
  <si>
    <t>NLS</t>
  </si>
  <si>
    <t>XTUC</t>
  </si>
  <si>
    <t>NUEVA BOLSA DE COMERCIO DE TUCUMAN S.A.</t>
  </si>
  <si>
    <t>AMXO</t>
  </si>
  <si>
    <t>NYSE AMEX OPTIONS</t>
  </si>
  <si>
    <t>ARCX</t>
  </si>
  <si>
    <t>NYSE ARCA</t>
  </si>
  <si>
    <t>XHFT</t>
  </si>
  <si>
    <t>NYSE ARCA EUROPE</t>
  </si>
  <si>
    <t>ARCO</t>
  </si>
  <si>
    <t>NYSE ARCA OPTION</t>
  </si>
  <si>
    <t>MTCH</t>
  </si>
  <si>
    <t>NYSE BONDMATCH</t>
  </si>
  <si>
    <t>ALXA</t>
  </si>
  <si>
    <t>NYSE EURONEXT - ALTERNEXT AMSTERDAM</t>
  </si>
  <si>
    <t>ALXB</t>
  </si>
  <si>
    <t>NYSE EURONEXT - ALTERNEXT BRUSSELS</t>
  </si>
  <si>
    <t>ALXP</t>
  </si>
  <si>
    <t>NYSE EURONEXT - ALTERNEXT PARIS</t>
  </si>
  <si>
    <t>ENXB</t>
  </si>
  <si>
    <t>NYSE EURONEXT - EASY NEXT</t>
  </si>
  <si>
    <t>ENXL</t>
  </si>
  <si>
    <t>NYSE EURONEXT - EASYNEXT LISBON</t>
  </si>
  <si>
    <t>XAMS</t>
  </si>
  <si>
    <t>NYSE EURONEXT - EURONEXT AMSTERDAM</t>
  </si>
  <si>
    <t>XBRU</t>
  </si>
  <si>
    <t>NYSE EURONEXT - EURONEXT BRUSSELS</t>
  </si>
  <si>
    <t>XBRD</t>
  </si>
  <si>
    <t>NYSE EURONEXT - EURONEXT BRUSSELS - DERI</t>
  </si>
  <si>
    <t>XLIS</t>
  </si>
  <si>
    <t>NYSE EURONEXT - EURONEXT LISBON</t>
  </si>
  <si>
    <t>XLDN</t>
  </si>
  <si>
    <t>NYSE EURONEXT - EURONEXT LONDON</t>
  </si>
  <si>
    <t>XPAR</t>
  </si>
  <si>
    <t>NYSE EURONEXT - EURONEXT PARIS</t>
  </si>
  <si>
    <t>MLXB</t>
  </si>
  <si>
    <t>NYSE EURONEXT - MARCHE LIBRE BRUSSELS</t>
  </si>
  <si>
    <t>XMLI</t>
  </si>
  <si>
    <t>NYSE EURONEXT - MARCHE LIBRE PARIS</t>
  </si>
  <si>
    <t>WQXL</t>
  </si>
  <si>
    <t>NYSE EURONEXT - MARKET WITHOUT QUOTATION</t>
  </si>
  <si>
    <t>MFOX</t>
  </si>
  <si>
    <t>NYSE EURONEXT - MERCADO DE FUTUROS E OPE</t>
  </si>
  <si>
    <t>TNLA</t>
  </si>
  <si>
    <t>NYSE EURONEXT - TRADED BUT NOT LISTED AM</t>
  </si>
  <si>
    <t>TNLB</t>
  </si>
  <si>
    <t>NYSE EURONEXT - TRADING FACILITY BRUSSEL</t>
  </si>
  <si>
    <t>VPXB</t>
  </si>
  <si>
    <t>NYSE EURONEXT - VENTES PUBLIQUES BRUSSEL</t>
  </si>
  <si>
    <t>XLIF</t>
  </si>
  <si>
    <t>NYSE EURONEXT LIFFE</t>
  </si>
  <si>
    <t>XNLI</t>
  </si>
  <si>
    <t>NYSE LIFFE</t>
  </si>
  <si>
    <t>BCLR</t>
  </si>
  <si>
    <t>NYSE LIFFE BCLEAR SERVICE</t>
  </si>
  <si>
    <t>XASE</t>
  </si>
  <si>
    <t>NYSE MKT LLC</t>
  </si>
  <si>
    <t>XODE</t>
  </si>
  <si>
    <t>ODESSA COMMODITY EXCHANGE</t>
  </si>
  <si>
    <t>OMGA</t>
  </si>
  <si>
    <t>OMEGA ATS</t>
  </si>
  <si>
    <t>XCSE</t>
  </si>
  <si>
    <t>OMX NORDIC EXCHANGE COPENHAGEN A/S</t>
  </si>
  <si>
    <t>XHEL</t>
  </si>
  <si>
    <t>OMX NORDIC EXCHANGE HELSINKI OY</t>
  </si>
  <si>
    <t>XICE</t>
  </si>
  <si>
    <t>OMX NORDIC EXCHANGE ICELAND HF.</t>
  </si>
  <si>
    <t>XRIS</t>
  </si>
  <si>
    <t>OMX NORDIC EXCHANGE RIGA</t>
  </si>
  <si>
    <t>XSTO</t>
  </si>
  <si>
    <t>OMX NORDIC EXCHANGE STOCKHOLM AB</t>
  </si>
  <si>
    <t>XLIT</t>
  </si>
  <si>
    <t>OMX NORDIC EXCHANGE VILNIUS</t>
  </si>
  <si>
    <t>XO-C</t>
  </si>
  <si>
    <t>OMX OTC</t>
  </si>
  <si>
    <t>XOPV</t>
  </si>
  <si>
    <t>OMX OTC PUBLICATION VENUE</t>
  </si>
  <si>
    <t>XOCH</t>
  </si>
  <si>
    <t>ONECHICAGO</t>
  </si>
  <si>
    <t>OMEL</t>
  </si>
  <si>
    <t>OPERADOR DE MERCADO IBERICO DE ENERGIA -</t>
  </si>
  <si>
    <t>OMIP</t>
  </si>
  <si>
    <t>XOSE</t>
  </si>
  <si>
    <t>OSAKA EXCHANGE Inc.</t>
  </si>
  <si>
    <t>XOSJ</t>
  </si>
  <si>
    <t>OSAKA SECURITIES EXCHANGE J-NET</t>
  </si>
  <si>
    <t>XOAS</t>
  </si>
  <si>
    <t>OSLO AXESS</t>
  </si>
  <si>
    <t>XOAM</t>
  </si>
  <si>
    <t>OSLO BORS ALTERNATIVE BOND MARKET</t>
  </si>
  <si>
    <t>XOSL</t>
  </si>
  <si>
    <t>OSLO BORS ASA</t>
  </si>
  <si>
    <t>XN-C</t>
  </si>
  <si>
    <t>OSLO OTC COMPOSITE</t>
  </si>
  <si>
    <t>XOTC</t>
  </si>
  <si>
    <t>OTC BULLETIN BOARD</t>
  </si>
  <si>
    <t>OOTC</t>
  </si>
  <si>
    <t>OTC BULLETIN BOARD - OTHER OTC</t>
  </si>
  <si>
    <t>OTCX</t>
  </si>
  <si>
    <t>OTC EXCHANGE OF INDIA</t>
  </si>
  <si>
    <t>OTXB</t>
  </si>
  <si>
    <t>OTC-X Berner KantonalBank</t>
  </si>
  <si>
    <t>OTCB</t>
  </si>
  <si>
    <t>OTCQB MARKETPLACE</t>
  </si>
  <si>
    <t>OTCQ</t>
  </si>
  <si>
    <t>OTCQX</t>
  </si>
  <si>
    <t>PA-C</t>
  </si>
  <si>
    <t>PAKISTAN COMPOSITE</t>
  </si>
  <si>
    <t>PS-C</t>
  </si>
  <si>
    <t>PALESTINE COMPOSITE</t>
  </si>
  <si>
    <t>XPAE</t>
  </si>
  <si>
    <t>PALESTINE SECURITIES EXCHANGE</t>
  </si>
  <si>
    <t>XBBK</t>
  </si>
  <si>
    <t>PERIMETER FINANCIAL CORP. - BLOCKBOOK AT</t>
  </si>
  <si>
    <t>OPEX</t>
  </si>
  <si>
    <t>PEX-PRIVATE EXCHANGE</t>
  </si>
  <si>
    <t>PFTQ</t>
  </si>
  <si>
    <t>PFTS QUOTES DRIVEN</t>
  </si>
  <si>
    <t>XPHO</t>
  </si>
  <si>
    <t>PHILADELPHIA OPTIONS EXCHANGE</t>
  </si>
  <si>
    <t>PDEX</t>
  </si>
  <si>
    <t>PHILIPPINE DEALING AND EXCHANGE CORP</t>
  </si>
  <si>
    <t>XPHS</t>
  </si>
  <si>
    <t>PHILIPPINE STOCK EXCHANGE</t>
  </si>
  <si>
    <t>PSGM</t>
  </si>
  <si>
    <t>PINK SHEETS GREY MARKET</t>
  </si>
  <si>
    <t>PINX</t>
  </si>
  <si>
    <t>PINK SHEETS LLC (NQB)</t>
  </si>
  <si>
    <t>PIPE</t>
  </si>
  <si>
    <t>PIPELINE</t>
  </si>
  <si>
    <t>PIEU</t>
  </si>
  <si>
    <t>PIPELINE - MTF</t>
  </si>
  <si>
    <t>PLDX</t>
  </si>
  <si>
    <t>PLUS DERIVATIVES EXCHANGE</t>
  </si>
  <si>
    <t>XPLU</t>
  </si>
  <si>
    <t>PLUS MARKETS</t>
  </si>
  <si>
    <t>XP-C</t>
  </si>
  <si>
    <t>PLUS Markets OTC</t>
  </si>
  <si>
    <t>XPOM</t>
  </si>
  <si>
    <t>PORT MORESBY STOCK EXCHANGE</t>
  </si>
  <si>
    <t>XPOR</t>
  </si>
  <si>
    <t>PORTAL</t>
  </si>
  <si>
    <t>XPOS</t>
  </si>
  <si>
    <t>POSIT</t>
  </si>
  <si>
    <t>XPOW</t>
  </si>
  <si>
    <t>POWERNEXT</t>
  </si>
  <si>
    <t>PR-C</t>
  </si>
  <si>
    <t>PRAGUE COMPOSITE</t>
  </si>
  <si>
    <t>XPXE</t>
  </si>
  <si>
    <t>PRAGUE ENERGY EXCHANGE</t>
  </si>
  <si>
    <t>XPRI</t>
  </si>
  <si>
    <t>PRIDNEPROVSK COMMODITY EXCHANGE</t>
  </si>
  <si>
    <t>PURE</t>
  </si>
  <si>
    <t>PURE TRADING</t>
  </si>
  <si>
    <t>QWIX</t>
  </si>
  <si>
    <t>Q-WIXX PLATFORM</t>
  </si>
  <si>
    <t>XQUI</t>
  </si>
  <si>
    <t>QUITO STOCK EXCHANGE</t>
  </si>
  <si>
    <t>QMTF</t>
  </si>
  <si>
    <t>QUOTE MTF</t>
  </si>
  <si>
    <t>XRAS</t>
  </si>
  <si>
    <t>RASDAQ</t>
  </si>
  <si>
    <t>XSTE</t>
  </si>
  <si>
    <t>REPUBLICAN STOCK EXCHANGE</t>
  </si>
  <si>
    <t>XR-C</t>
  </si>
  <si>
    <t>REUTERS OTC COMPOSITE</t>
  </si>
  <si>
    <t>RTSL</t>
  </si>
  <si>
    <t>REUTERS TRANSACTION SERVICES LIMITED</t>
  </si>
  <si>
    <t>XRBM</t>
  </si>
  <si>
    <t>RINGGIT BOND MARKET</t>
  </si>
  <si>
    <t>XRMZ</t>
  </si>
  <si>
    <t>RM-SYSTEM A.S.</t>
  </si>
  <si>
    <t>XRMO</t>
  </si>
  <si>
    <t>RM-SYSTEM CZECH STOCK EXCHANGE (MTF)</t>
  </si>
  <si>
    <t>XBRM</t>
  </si>
  <si>
    <t>ROMANIAN COMMODITIES EXCHANGE</t>
  </si>
  <si>
    <t>RO-C</t>
  </si>
  <si>
    <t>ROMANIAN COMPOSITE</t>
  </si>
  <si>
    <t>XRPM</t>
  </si>
  <si>
    <t>ROMANIAN POWER MARKET</t>
  </si>
  <si>
    <t>ROFX</t>
  </si>
  <si>
    <t>ROSARIO FUTURE EXCHANGE</t>
  </si>
  <si>
    <t>RU-C</t>
  </si>
  <si>
    <t>RUSSIA COMPOSITE</t>
  </si>
  <si>
    <t>RM-C</t>
  </si>
  <si>
    <t>RUSSIA MAIN MARKET COMPOSITE</t>
  </si>
  <si>
    <t>RTSX</t>
  </si>
  <si>
    <t>RUSSIAN TRADING SYSTEM STOCK EXCHANGE</t>
  </si>
  <si>
    <t>ROTC</t>
  </si>
  <si>
    <t>RWANDA OTC MARKET</t>
  </si>
  <si>
    <t>XPIC</t>
  </si>
  <si>
    <t>SAINT-PETERSBURG CURRENCY EXCHANGE</t>
  </si>
  <si>
    <t>XSAM</t>
  </si>
  <si>
    <t>SAMARA CURRENCY INTERBANK EXCHANGE</t>
  </si>
  <si>
    <t>XSGO</t>
  </si>
  <si>
    <t>SANTIAGO STOCK EXCHANGE</t>
  </si>
  <si>
    <t>XSAP</t>
  </si>
  <si>
    <t>SAPPORO SECURITIES EXCHANGE</t>
  </si>
  <si>
    <t>XSSE</t>
  </si>
  <si>
    <t>SARAJEVO STOCK EXCHANGE</t>
  </si>
  <si>
    <t>XSAU</t>
  </si>
  <si>
    <t>SAUDI STOCK EXCHANGE</t>
  </si>
  <si>
    <t>SBIU</t>
  </si>
  <si>
    <t>SBI JAPANNEXT-U-MARKET</t>
  </si>
  <si>
    <t>XSBI</t>
  </si>
  <si>
    <t>SBI JAPANNEXT-X-MARKET</t>
  </si>
  <si>
    <t>XQMH</t>
  </si>
  <si>
    <t>SCOACH SWITZERLAND</t>
  </si>
  <si>
    <t>SECF</t>
  </si>
  <si>
    <t>SECFINEX</t>
  </si>
  <si>
    <t>SEDX</t>
  </si>
  <si>
    <t>SECURITISED DERIVATIVES MARKET</t>
  </si>
  <si>
    <t>XSGE</t>
  </si>
  <si>
    <t>SHANGHAI FUTURES EXCHANGE</t>
  </si>
  <si>
    <t>SGEX</t>
  </si>
  <si>
    <t>SHANGHAI GOLD EXCHANGE</t>
  </si>
  <si>
    <t>XSHG</t>
  </si>
  <si>
    <t>SHANGHAI STOCK EXCHANGE</t>
  </si>
  <si>
    <t>SHAR</t>
  </si>
  <si>
    <t>SHAREMARK</t>
  </si>
  <si>
    <t>XSHE</t>
  </si>
  <si>
    <t>SHENZHEN STOCK EXCHANGE</t>
  </si>
  <si>
    <t>XSIB</t>
  </si>
  <si>
    <t>SIBERIAN STOCK EXCHANGE</t>
  </si>
  <si>
    <t>SBMF</t>
  </si>
  <si>
    <t>SIBIU FINANCIAL&amp;COMMODITYEX</t>
  </si>
  <si>
    <t>BMFX</t>
  </si>
  <si>
    <t>SIBIU MONETARY- FINANCIAL AND COMMODITIE</t>
  </si>
  <si>
    <t>SGMX</t>
  </si>
  <si>
    <t>SIGMA X MTF</t>
  </si>
  <si>
    <t>SIMV</t>
  </si>
  <si>
    <t>SIM VENTURE SECURITIES EXCHANGE</t>
  </si>
  <si>
    <t>XSCA</t>
  </si>
  <si>
    <t>SINGAPORE CATALIST MARKET</t>
  </si>
  <si>
    <t>XSCL</t>
  </si>
  <si>
    <t>SINGAPORE CENTRAL LIMIT ORDER BOOK INTER</t>
  </si>
  <si>
    <t>XSCE</t>
  </si>
  <si>
    <t>SINGAPORE COMMODITY EXCHANGE</t>
  </si>
  <si>
    <t>XSES</t>
  </si>
  <si>
    <t>SINGAPORE EXCHANGE</t>
  </si>
  <si>
    <t>XSIM</t>
  </si>
  <si>
    <t>SINGAPORE EXCHANGE DERIVATIVES CLEARING</t>
  </si>
  <si>
    <t>SMEX</t>
  </si>
  <si>
    <t>SINGAPORE MERCANTILE EXCHANGE</t>
  </si>
  <si>
    <t>XNAF</t>
  </si>
  <si>
    <t>SISTEMA ESPANOL DE NEGOCIACION DE ACTIVO</t>
  </si>
  <si>
    <t>XSMP</t>
  </si>
  <si>
    <t>SMARTPOOL</t>
  </si>
  <si>
    <t>XSAF</t>
  </si>
  <si>
    <t>SOUTH AFRICAN FUTURES EXCHANGE</t>
  </si>
  <si>
    <t>XSFA</t>
  </si>
  <si>
    <t>SOUTH AFRICAN FUTURES EXCHANGE - AGRICUL</t>
  </si>
  <si>
    <t>KS-C</t>
  </si>
  <si>
    <t>SOUTH KOREA COMPOSITE</t>
  </si>
  <si>
    <t>XSPS</t>
  </si>
  <si>
    <t>SOUTH PACIFIC STOCK EXCHANGE</t>
  </si>
  <si>
    <t>SPAD</t>
  </si>
  <si>
    <t>SPAD TRADING</t>
  </si>
  <si>
    <t>SM-C</t>
  </si>
  <si>
    <t>SPAIN COMPOSITE</t>
  </si>
  <si>
    <t>SPEC</t>
  </si>
  <si>
    <t>SPECTRONLIVE</t>
  </si>
  <si>
    <t>XBSE</t>
  </si>
  <si>
    <t>SPOT REGULATED MARKET - BVB</t>
  </si>
  <si>
    <t>SSOB</t>
  </si>
  <si>
    <t>SSO BONDVISION</t>
  </si>
  <si>
    <t>SPIM</t>
  </si>
  <si>
    <t>ST. PETERSBURG INT'L MERCANTILE EXCHANGE</t>
  </si>
  <si>
    <t>XHKG</t>
  </si>
  <si>
    <t>STOCK EXCHANGE OF HONG KONG LTD</t>
  </si>
  <si>
    <t>XMAU</t>
  </si>
  <si>
    <t>STOCK EXCHANGE OF MAURITIUS LTD</t>
  </si>
  <si>
    <t>XBKK</t>
  </si>
  <si>
    <t>STOCK EXCHANGE OF THAILAND</t>
  </si>
  <si>
    <t>XBKF</t>
  </si>
  <si>
    <t>STOCK EXCHANGE OF THAILAND - FOREIGN BOA</t>
  </si>
  <si>
    <t>SEPE</t>
  </si>
  <si>
    <t>STOCK EXCHANGE PERSPECTIVA</t>
  </si>
  <si>
    <t>XPET</t>
  </si>
  <si>
    <t>STOCK EXCHANGE SAINT PETERSBURG</t>
  </si>
  <si>
    <t>XSTX</t>
  </si>
  <si>
    <t>STOXX LIMITED - INDICES</t>
  </si>
  <si>
    <t>XS-C</t>
  </si>
  <si>
    <t>STUTTGART OTC COMPOSITE</t>
  </si>
  <si>
    <t>SWAP</t>
  </si>
  <si>
    <t>SWAPSTREAM</t>
  </si>
  <si>
    <t>XSWA</t>
  </si>
  <si>
    <t>SWAZILAND STOCK EXCHANGE</t>
  </si>
  <si>
    <t>XSWX</t>
  </si>
  <si>
    <t>SWISS EXCHANGE</t>
  </si>
  <si>
    <t>SW-C</t>
  </si>
  <si>
    <t>SWITZERLAND COMPOSITE</t>
  </si>
  <si>
    <t>XVTX</t>
  </si>
  <si>
    <t>SWX EUROPE</t>
  </si>
  <si>
    <t>XSWB</t>
  </si>
  <si>
    <t>SWX SWISS BLOCK</t>
  </si>
  <si>
    <t>XSSC</t>
  </si>
  <si>
    <t>Shanghai-Hongkong Connect - Northbound</t>
  </si>
  <si>
    <t>SHSC</t>
  </si>
  <si>
    <t>Shanghai-Hongkong Connect - Southbound</t>
  </si>
  <si>
    <t>ROCO</t>
  </si>
  <si>
    <t>TAIPEI EXCHANGE-GreTai Securities Market</t>
  </si>
  <si>
    <t>XTAF</t>
  </si>
  <si>
    <t>TAIWAN FUTURES EXCHANGE</t>
  </si>
  <si>
    <t>XTAI</t>
  </si>
  <si>
    <t>TAIWAN STOCK EXCHANGE</t>
  </si>
  <si>
    <t>XTAL</t>
  </si>
  <si>
    <t>TALLINN STOCK EXCHANGE - LISTING</t>
  </si>
  <si>
    <t>XTEH</t>
  </si>
  <si>
    <t>TEHRAN STOCK EXCHANGE</t>
  </si>
  <si>
    <t>XTAE</t>
  </si>
  <si>
    <t>TEL AVIV STOCK EXCHANGE</t>
  </si>
  <si>
    <t>TFSG</t>
  </si>
  <si>
    <t>TFS GREEN SCREEN</t>
  </si>
  <si>
    <t>TFSS</t>
  </si>
  <si>
    <t>TFS VARIANCE SWAPS SYSTEM</t>
  </si>
  <si>
    <t>TFEX</t>
  </si>
  <si>
    <t>THAILAND FUTURES EXCHANGE</t>
  </si>
  <si>
    <t>BALT</t>
  </si>
  <si>
    <t>THE BALTIC EXCHANGE</t>
  </si>
  <si>
    <t>CAZE</t>
  </si>
  <si>
    <t>THE CAZENOVE MTF</t>
  </si>
  <si>
    <t>GREE</t>
  </si>
  <si>
    <t>THE GREEN EXCHANGE</t>
  </si>
  <si>
    <t>XMOD</t>
  </si>
  <si>
    <t>THE MONTREAL EXCHANGE / BOURSE DE MONTRE</t>
  </si>
  <si>
    <t>XPRA</t>
  </si>
  <si>
    <t>THE PRAGUE STOCK EXCHANGE</t>
  </si>
  <si>
    <t>TPIE</t>
  </si>
  <si>
    <t>THE PROPERTY INVESTMENT EXCHANGE</t>
  </si>
  <si>
    <t>XZAM</t>
  </si>
  <si>
    <t>THE ZAGREB STOCK MARKET MTF</t>
  </si>
  <si>
    <t>TL-C</t>
  </si>
  <si>
    <t>TIMOR-LESTE COMPOSITE</t>
  </si>
  <si>
    <t>XTIR</t>
  </si>
  <si>
    <t>TIRANA STOCK EXCHANGE</t>
  </si>
  <si>
    <t>TMXS</t>
  </si>
  <si>
    <t>TMX SELECT</t>
  </si>
  <si>
    <t>XTAM</t>
  </si>
  <si>
    <t>TOKYO AIM</t>
  </si>
  <si>
    <t>XTFF</t>
  </si>
  <si>
    <t>TOKYO FINANCIAL EXCHANGE</t>
  </si>
  <si>
    <t>XTKT</t>
  </si>
  <si>
    <t>TOKYO KOGYOIN TORIHIKIJO (COMMODITY EXCH</t>
  </si>
  <si>
    <t>XTKS</t>
  </si>
  <si>
    <t>TOKYO STOCK EXCHANGE</t>
  </si>
  <si>
    <t>XTK1</t>
  </si>
  <si>
    <t>TOKYO STOCK EXCHANGE - TOSTNET-1</t>
  </si>
  <si>
    <t>XTK2</t>
  </si>
  <si>
    <t>TOKYO STOCK EXCHANGE - TOSTNET-2</t>
  </si>
  <si>
    <t>TOMX</t>
  </si>
  <si>
    <t>TOM MTF CASH MARKETS</t>
  </si>
  <si>
    <t>TOMD</t>
  </si>
  <si>
    <t>TOM MTF Derivatives</t>
  </si>
  <si>
    <t>XTSE</t>
  </si>
  <si>
    <t>TORONTO STOCK EXCHANGE</t>
  </si>
  <si>
    <t>PLPX</t>
  </si>
  <si>
    <t>TOWAROWA GIELDA ENERGII S.A. (POLISH POW</t>
  </si>
  <si>
    <t>XGAT</t>
  </si>
  <si>
    <t>TRADEGATE AG</t>
  </si>
  <si>
    <t>XGRM</t>
  </si>
  <si>
    <t>TRADEGATE EXCHANGE - REGULIERTER MARKT</t>
  </si>
  <si>
    <t>TREU</t>
  </si>
  <si>
    <t>TRADEWEB EUROPE LIMITED</t>
  </si>
  <si>
    <t>TRWB</t>
  </si>
  <si>
    <t>TRADEWEB LLC</t>
  </si>
  <si>
    <t>TCDS</t>
  </si>
  <si>
    <t>TRADITION CDS</t>
  </si>
  <si>
    <t>XTRN</t>
  </si>
  <si>
    <t>TRINIDAD AND TOBAGO STOCK EXCHANGE</t>
  </si>
  <si>
    <t>TRPX</t>
  </si>
  <si>
    <t>TROP-X</t>
  </si>
  <si>
    <t>XTSX</t>
  </si>
  <si>
    <t>TSX VENTURE EXCHANGE</t>
  </si>
  <si>
    <t>XTNX</t>
  </si>
  <si>
    <t>TSX VENTURE EXCHANGE - NEX</t>
  </si>
  <si>
    <t>XTPE</t>
  </si>
  <si>
    <t>TULLETT PREBON ENERGYTRADE</t>
  </si>
  <si>
    <t>TPCD</t>
  </si>
  <si>
    <t>TULLETT PREBON PLC - TP CREDITDEAL</t>
  </si>
  <si>
    <t>TPRE</t>
  </si>
  <si>
    <t>TULLETT PREBON PLC - TP REPO</t>
  </si>
  <si>
    <t>TBLA</t>
  </si>
  <si>
    <t>TULLETT PREBON PLC - TP TRADEBLADE</t>
  </si>
  <si>
    <t>TBEN</t>
  </si>
  <si>
    <t>TULLETT PREBON PLC - TULLET PREBON ENERG</t>
  </si>
  <si>
    <t>XTUR</t>
  </si>
  <si>
    <t>TURKISH DERIVATIVES EXCHANGE</t>
  </si>
  <si>
    <t>TC-C</t>
  </si>
  <si>
    <t>TURKS AND CAICOS ISLANDS COMPOSITE</t>
  </si>
  <si>
    <t>TRQX</t>
  </si>
  <si>
    <t>TURQUOISE</t>
  </si>
  <si>
    <t>UH-C</t>
  </si>
  <si>
    <t>UAE</t>
  </si>
  <si>
    <t>XUBS</t>
  </si>
  <si>
    <t>UBS MTF</t>
  </si>
  <si>
    <t>UG-C</t>
  </si>
  <si>
    <t>UGANDA COMPOSITE</t>
  </si>
  <si>
    <t>XUGA</t>
  </si>
  <si>
    <t>UGANDA SECURITIES EXCHANGE</t>
  </si>
  <si>
    <t>UZ-C</t>
  </si>
  <si>
    <t>UKRAINE COMPOSITE</t>
  </si>
  <si>
    <t>XUAX</t>
  </si>
  <si>
    <t>UKRAINIAN STOCK EXCHANGE</t>
  </si>
  <si>
    <t>XUKR</t>
  </si>
  <si>
    <t>UKRAINIAN UNIVERSAL COMMODITY EXCHANGE</t>
  </si>
  <si>
    <t>UKEX</t>
  </si>
  <si>
    <t>UKRANIAN EXCHANGE</t>
  </si>
  <si>
    <t>XUSE</t>
  </si>
  <si>
    <t>UNITED STOCK EXCHANGE</t>
  </si>
  <si>
    <t>XUNI</t>
  </si>
  <si>
    <t>UNIVERSAL BROKER'S EXCHANGE 'TASHKENT'</t>
  </si>
  <si>
    <t>XUNL</t>
  </si>
  <si>
    <t>UNLISTED</t>
  </si>
  <si>
    <t>XFMQ</t>
  </si>
  <si>
    <t>UNLISTED - FUND MANAGER QUOTE</t>
  </si>
  <si>
    <t>US-C</t>
  </si>
  <si>
    <t>US COMPOSITE PRICES</t>
  </si>
  <si>
    <t>XCET</t>
  </si>
  <si>
    <t>UZBEK COMMODITY EXCHANGE</t>
  </si>
  <si>
    <t>XCUE</t>
  </si>
  <si>
    <t>UZBEKISTAN REPUBLICAN CURRENCY EXCHANGE</t>
  </si>
  <si>
    <t>VC-C</t>
  </si>
  <si>
    <t>VENEZUELA COMPOSITE</t>
  </si>
  <si>
    <t>XVES</t>
  </si>
  <si>
    <t>VESTIMA+</t>
  </si>
  <si>
    <t>XA-C</t>
  </si>
  <si>
    <t>VIENNA COMPOSITE</t>
  </si>
  <si>
    <t>VN-C</t>
  </si>
  <si>
    <t>VIETNAM COMPOSITE</t>
  </si>
  <si>
    <t>VI-C</t>
  </si>
  <si>
    <t>VIRGIN ISLANDS, U.S. COMPOSITE</t>
  </si>
  <si>
    <t>TFSV</t>
  </si>
  <si>
    <t>VOLBROKER</t>
  </si>
  <si>
    <t>VTEX</t>
  </si>
  <si>
    <t>VORTEX</t>
  </si>
  <si>
    <t>XWAR</t>
  </si>
  <si>
    <t>WARSAW STOCK EXCHANGE</t>
  </si>
  <si>
    <t>POEE</t>
  </si>
  <si>
    <t>WARSAW STOCK EXCHANGE/ENERGY MARKET/POEE</t>
  </si>
  <si>
    <t>XWEE</t>
  </si>
  <si>
    <t>WEEDEN ATS</t>
  </si>
  <si>
    <t>XWBO</t>
  </si>
  <si>
    <t>WIENER BOERSE AG</t>
  </si>
  <si>
    <t>WBAH</t>
  </si>
  <si>
    <t>WIENER BOERSE AG AMTLICHER HANDEL (OFFIC</t>
  </si>
  <si>
    <t>WBDM</t>
  </si>
  <si>
    <t>WIENER BOERSE AG DRITTER MARKT (THIRD MA</t>
  </si>
  <si>
    <t>WBGF</t>
  </si>
  <si>
    <t>WIENER BOERSE AG GEREGELTER FREIVERKEHR</t>
  </si>
  <si>
    <t>XCEG</t>
  </si>
  <si>
    <t>WIENER BOERSE AG, CEGH GAS EXCHANGE</t>
  </si>
  <si>
    <t>XVIE</t>
  </si>
  <si>
    <t>WIENER BOERSE AG, WERTPAPIERBOERSE</t>
  </si>
  <si>
    <t>XETR</t>
  </si>
  <si>
    <t>XETRA</t>
  </si>
  <si>
    <t>XETB</t>
  </si>
  <si>
    <t>XETRA - FREIVERKEHR</t>
  </si>
  <si>
    <t>XETA</t>
  </si>
  <si>
    <t>XETRA - REGULIERTER MARKT</t>
  </si>
  <si>
    <t>XETI</t>
  </si>
  <si>
    <t>XETRA INTERNATIONAL MARKET</t>
  </si>
  <si>
    <t>XYIE</t>
  </si>
  <si>
    <t>YIELDBROKER PTY LTD</t>
  </si>
  <si>
    <t>XTRZ</t>
  </si>
  <si>
    <t>ZAGREB MONEY AND SHORT TERM SECURITIES M</t>
  </si>
  <si>
    <t>XZAG</t>
  </si>
  <si>
    <t>ZAGREB STOCK EXCHANGE</t>
  </si>
  <si>
    <t>XZCE</t>
  </si>
  <si>
    <t>ZHENGZHOU COMMODITY EXCHANGE</t>
  </si>
  <si>
    <t>XZIM</t>
  </si>
  <si>
    <t>ZIMBABWE STOCK EXCHANGE</t>
  </si>
  <si>
    <t>ZOBX</t>
  </si>
  <si>
    <t>ZOBEX</t>
  </si>
  <si>
    <t>PrimaryExchange Domain Values</t>
  </si>
  <si>
    <t>UNITED STATES DOLLAR (USD)</t>
  </si>
  <si>
    <t>NO CURRENCY CODE AVAILABLE (---)</t>
  </si>
  <si>
    <t>Eurozone Test Currency (ABC)</t>
  </si>
  <si>
    <t>ANDORRAN PESETA (ADP)</t>
  </si>
  <si>
    <t>UNITED ARAB EMIRATES DIRHAM (AED)</t>
  </si>
  <si>
    <t>AFGHANISTAN AFGHANI (AFN)</t>
  </si>
  <si>
    <t>ANDORRA FRANC (AFS)</t>
  </si>
  <si>
    <t>ALBANIAN LEK (ALL)</t>
  </si>
  <si>
    <t>ARMENIAN DRAM (AMD)</t>
  </si>
  <si>
    <t>NETHERLANDS ANTILLIAN GUILDER (ANG)</t>
  </si>
  <si>
    <t>ANGOLAN KWANZA (AOA)</t>
  </si>
  <si>
    <t>NEW ANGOLA KWANZA (AON)</t>
  </si>
  <si>
    <t>AOR Desc (AOR)</t>
  </si>
  <si>
    <t>ARGENTINE PESO (ARS)</t>
  </si>
  <si>
    <t>AUSTRIAN SCHILLING (ATS)</t>
  </si>
  <si>
    <t>AUSTRALIAN DOLLAR (AUD)</t>
  </si>
  <si>
    <t>ARUBAN FLORIN (AWG)</t>
  </si>
  <si>
    <t>Azerbaijanian Manat (AZN)</t>
  </si>
  <si>
    <t>BOSNIA-HERZE CONV MARKS (BAM)</t>
  </si>
  <si>
    <t>BARBADOS DOLLAR (BBD)</t>
  </si>
  <si>
    <t>BANGLADESHI TAKA (BDT)</t>
  </si>
  <si>
    <t>BELGIAN FRANC (BEF)</t>
  </si>
  <si>
    <t>BULGARIAN LEV (BGN)</t>
  </si>
  <si>
    <t>BAHRAINI DINAR (BHD)</t>
  </si>
  <si>
    <t>BURUNDI FRANC (BIF)</t>
  </si>
  <si>
    <t>BOUVET IS KRONE (BIS)</t>
  </si>
  <si>
    <t>BERMUDIAN DOLLAR (BMD)</t>
  </si>
  <si>
    <t>BRUNEI DOLLAR (BND)</t>
  </si>
  <si>
    <t>BOLIVIAN BOLIVIANO (BOB)</t>
  </si>
  <si>
    <t>Bolivian UF (BOF)</t>
  </si>
  <si>
    <t>BOLIVIA MVDOL (BOV)</t>
  </si>
  <si>
    <t>BRAZILIAN CRUZAD (BRC)</t>
  </si>
  <si>
    <t>BRAZILIAN REAL (BRL)</t>
  </si>
  <si>
    <t>BRAZILIAN LOCAL BENCHMARK (BRS)</t>
  </si>
  <si>
    <t>BAHAMIAN DOLLAR (BSD)</t>
  </si>
  <si>
    <t>BHUTAN NGULTRUM (BTN)</t>
  </si>
  <si>
    <t>BOTSWANIAN PULA (BWP)</t>
  </si>
  <si>
    <t>BELARUS RUBLE (BYR)</t>
  </si>
  <si>
    <t>BELIZE DOLLAR (BZD)</t>
  </si>
  <si>
    <t>CANADIAN DOLLAR (CAD)</t>
  </si>
  <si>
    <t>CONGOLESE FRANC (CDF)</t>
  </si>
  <si>
    <t>ARGENTINA CER SPOT (CER)</t>
  </si>
  <si>
    <t>WIR EURO (CHE)</t>
  </si>
  <si>
    <t>SWISS FRANC (CHF)</t>
  </si>
  <si>
    <t>WIR FRANC (CHW)</t>
  </si>
  <si>
    <t>CHILEAN UNIDADES DE FOMENTO (CLF)</t>
  </si>
  <si>
    <t>CHILEAN PESO (CLP)</t>
  </si>
  <si>
    <t>CHINA RENMINBI (YUAN) (CNH)</t>
  </si>
  <si>
    <t>YUAN (CHINESE) RENMINBI (CNY)</t>
  </si>
  <si>
    <t>COLOMBIAN PESO (COP)</t>
  </si>
  <si>
    <t>Colombian Govt UVR (COU)</t>
  </si>
  <si>
    <t>COSTA RICAN COLON (CRC)</t>
  </si>
  <si>
    <t>SERBIAN DINAR (REPLACES YUM) (CSD)</t>
  </si>
  <si>
    <t>SLOVAKIAN KORUNA (CSK)</t>
  </si>
  <si>
    <t>Peso Convertible (CUC)</t>
  </si>
  <si>
    <t>CUBAN PESO (CUP)</t>
  </si>
  <si>
    <t>COLOMBIAN UVR (CUV)</t>
  </si>
  <si>
    <t>CAPE VERDE ESCUDO (CVE)</t>
  </si>
  <si>
    <t>CYPRIOT POUND (B) (CYP)</t>
  </si>
  <si>
    <t>CZECH KORUNA (CZK)</t>
  </si>
  <si>
    <t>DEUTSCHE MARK (DEM)</t>
  </si>
  <si>
    <t>DJIBOUTI FRANC (DJF)</t>
  </si>
  <si>
    <t>DANISH KRONE (DKK)</t>
  </si>
  <si>
    <t>DOMINICAN PESO (DOP)</t>
  </si>
  <si>
    <t>ALGERIAN DINAR (DZD)</t>
  </si>
  <si>
    <t>EURO(ATS) (B) (EAS)</t>
  </si>
  <si>
    <t>EURO(BEF) (B) (EBF)</t>
  </si>
  <si>
    <t>EURO(CYP) (B) (ECP)</t>
  </si>
  <si>
    <t>ECUADOR SUCRE (ECS)</t>
  </si>
  <si>
    <t>EUROPEAN CURRENCY UNIT (ECU)</t>
  </si>
  <si>
    <t>EURO(NLG) (B) (EDG)</t>
  </si>
  <si>
    <t>EURO(DEM) (B) (EDM)</t>
  </si>
  <si>
    <t>EURO(XEU) (B) (EEC)</t>
  </si>
  <si>
    <t>EURO(EEK) (B) (EEE)</t>
  </si>
  <si>
    <t>ESTONIAN KROON (EEK)</t>
  </si>
  <si>
    <t>EURO(ESP) (B) (EES)</t>
  </si>
  <si>
    <t>EURO(FIM) (B) (EFM)</t>
  </si>
  <si>
    <t>EURO(FRF) (B) (EFR)</t>
  </si>
  <si>
    <t>EURO(GRD) (B) (EGD)</t>
  </si>
  <si>
    <t>EGYPTIAN POUND (EGP)</t>
  </si>
  <si>
    <t>EURO(ITL) (B) (EIL)</t>
  </si>
  <si>
    <t>EURO(IEP) (B) (EIP)</t>
  </si>
  <si>
    <t>EURO(LUF) (B) (ELF)</t>
  </si>
  <si>
    <t>EURO(MTL) (B) (EML)</t>
  </si>
  <si>
    <t>EURO(PTE) (B) (EPE)</t>
  </si>
  <si>
    <t>ERITREA NAKFA (ERN)</t>
  </si>
  <si>
    <t>EURO(SKK) (B) (ESK)</t>
  </si>
  <si>
    <t>SPANISH PESETA (ESP)</t>
  </si>
  <si>
    <t>EURO(SIT) (B) (EST)</t>
  </si>
  <si>
    <t>ETHIOPIAN BIRR (ETB)</t>
  </si>
  <si>
    <t>EURO CENT (EUc)</t>
  </si>
  <si>
    <t>EURO(DEM) (EUD)</t>
  </si>
  <si>
    <t>EURO (EUR)</t>
  </si>
  <si>
    <t>FR. GUIANA FRAANC (*) (FGS)</t>
  </si>
  <si>
    <t>FINNISH MARKKA (FIM)</t>
  </si>
  <si>
    <t>FAEROE IS. KRONE (*) (FIS)</t>
  </si>
  <si>
    <t>FIJI DOLLAR (FJD)</t>
  </si>
  <si>
    <t>FALKLAND ISLANDS POUND (FKP)</t>
  </si>
  <si>
    <t>FRENCH FRANC (FRF)</t>
  </si>
  <si>
    <t>BRITISH POUND (GBP)</t>
  </si>
  <si>
    <t>Guinea Bissau Peso (*) (GBS)</t>
  </si>
  <si>
    <t>GHANA CEDI SPOT (GCS)</t>
  </si>
  <si>
    <t>GEORGIA COUPON (GEK)</t>
  </si>
  <si>
    <t>GEORGIA LARI (GEL)</t>
  </si>
  <si>
    <t>GUADELOUPE FRANC (*) (GFS)</t>
  </si>
  <si>
    <t>GUERNSEY (*) (GGP)</t>
  </si>
  <si>
    <t>GHANAIAN CEDI (GHC)</t>
  </si>
  <si>
    <t>GHANA CEDI (GHS)</t>
  </si>
  <si>
    <t>GIBRALTAR POUND (GIP)</t>
  </si>
  <si>
    <t>GREENLAND KRONE (*) (GKS)</t>
  </si>
  <si>
    <t>GAMBIAN DALASI (GMD)</t>
  </si>
  <si>
    <t>GUINEA FRANC (GNF)</t>
  </si>
  <si>
    <t>GUINEA-EQUATOR EKWELE (GQE)</t>
  </si>
  <si>
    <t>GREEK DRACHMA (GRD)</t>
  </si>
  <si>
    <t>GRN Test Currency (GRN)</t>
  </si>
  <si>
    <t>GUATEMALAN QUETZAL (GTQ)</t>
  </si>
  <si>
    <t>GUINEA BISSAU PESO (GWP)</t>
  </si>
  <si>
    <t>GUYANAN DOLLAR (GYD)</t>
  </si>
  <si>
    <t>HONG KONG DOLLAR (HKD)</t>
  </si>
  <si>
    <t>HONDURAN LEMPIRA (HNL)</t>
  </si>
  <si>
    <t>OLD CROATIAN DINAR (HRD)</t>
  </si>
  <si>
    <t>CROATIAN KUNA (HRK)</t>
  </si>
  <si>
    <t>HAITIAN GOURDE (HTG)</t>
  </si>
  <si>
    <t>HUNGARIAN FORINT (HUF)</t>
  </si>
  <si>
    <t>INDONESIAN RUPIAH (IDR)</t>
  </si>
  <si>
    <t>IDX Desc (IDX)</t>
  </si>
  <si>
    <t>IRISH PUNT (IEP)</t>
  </si>
  <si>
    <t>ISRAELI SHEKEL (ILS)</t>
  </si>
  <si>
    <t>ISLE OF MAN (B) (IMP)</t>
  </si>
  <si>
    <t>INDIAN RUPEE (INR)</t>
  </si>
  <si>
    <t>IRAQI DINAR (IQD)</t>
  </si>
  <si>
    <t>IRANIAN RIAL (IRR)</t>
  </si>
  <si>
    <t>ICELAND KRONA (ISK)</t>
  </si>
  <si>
    <t>ITALIAN LIRA (ITL)</t>
  </si>
  <si>
    <t>JERSEY POUND (*) (JEP)</t>
  </si>
  <si>
    <t>JAMAICAN DOLLAR (JMD)</t>
  </si>
  <si>
    <t>JORDANIAN DINAR (JOD)</t>
  </si>
  <si>
    <t>JAPANESE YEN (JPY)</t>
  </si>
  <si>
    <t>KIRIBATI DOLLAR (*) (KBS)</t>
  </si>
  <si>
    <t>KENYAN SCHILLING (KES)</t>
  </si>
  <si>
    <t>KYRGYZSTAN SOM (KGS)</t>
  </si>
  <si>
    <t>KAMPUCHEAN (CAMBODIAN) RIEL (KHR)</t>
  </si>
  <si>
    <t>COMOROS FRANC (KMF)</t>
  </si>
  <si>
    <t>NORTH KOREAN WON (KPW)</t>
  </si>
  <si>
    <t>(SOUTH) KOREAN WON (KRW)</t>
  </si>
  <si>
    <t>KUWAITI DINAR (KWD)</t>
  </si>
  <si>
    <t>CAYMAN ISLANDS DOLLAR (KYD)</t>
  </si>
  <si>
    <t>KAZAKHSTAN TENGE (KZT)</t>
  </si>
  <si>
    <t>LAOS KIP (LAK)</t>
  </si>
  <si>
    <t>LEBANESE POUND (LBP)</t>
  </si>
  <si>
    <t>SRI LANKA RUPEE (LKR)</t>
  </si>
  <si>
    <t>LIBERIAN DOLLAR (LRD)</t>
  </si>
  <si>
    <t>LESOTHO LOTI (LSL)</t>
  </si>
  <si>
    <t>LITHUANIAN LITAS (LTL)</t>
  </si>
  <si>
    <t>LUXEMBOURG FRANC (LUF)</t>
  </si>
  <si>
    <t>LATVIAN LATS (LVL)</t>
  </si>
  <si>
    <t>LATVIAN LATS SPOT (LVR)</t>
  </si>
  <si>
    <t>LIBYAN DINAR (LYD)</t>
  </si>
  <si>
    <t>MOROCCAN DIRHAM (MAD)</t>
  </si>
  <si>
    <t>MOLDOVAN LEI (MDL)</t>
  </si>
  <si>
    <t>MARTINIQUE FRANC (*) (MFS)</t>
  </si>
  <si>
    <t>MADAGASCAR ARIARY (MGA)</t>
  </si>
  <si>
    <t>MADAGASCAR FRANC (MGF)</t>
  </si>
  <si>
    <t>MACEDONIA DENAR (MKD)</t>
  </si>
  <si>
    <t>Mali Republic Franc (MLF)</t>
  </si>
  <si>
    <t>MYANMAR KYAT (MMK)</t>
  </si>
  <si>
    <t>MONGOLIAN TUGRIK (MNT)</t>
  </si>
  <si>
    <t>MACAU PATACA (MOP)</t>
  </si>
  <si>
    <t>MAURITANIAN OUGUIYA (MRO)</t>
  </si>
  <si>
    <t>MALTESE LIRA (MTL)</t>
  </si>
  <si>
    <t>Maltese Lira (B) (MTP)</t>
  </si>
  <si>
    <t>MAURITIUS RUPEE (MUR)</t>
  </si>
  <si>
    <t>MXN UDIDADES (MUY)</t>
  </si>
  <si>
    <t>MALDIVE RUFIYAA (MVR)</t>
  </si>
  <si>
    <t>MALAWI KWACHA (MWK)</t>
  </si>
  <si>
    <t>MEXICAN PESO (MXN)</t>
  </si>
  <si>
    <t>MEXICAN OVERNIGHT (MXO)</t>
  </si>
  <si>
    <t>MEXICAN UNIDAD DE INVERSION (UDI) (MXV)</t>
  </si>
  <si>
    <t>MALAYSIAN SEN (MYc)</t>
  </si>
  <si>
    <t>MALAYSIAN RINGGIT (MYR)</t>
  </si>
  <si>
    <t>Mozambique Metical (MZN)</t>
  </si>
  <si>
    <t>NAMIBIA DOLLAR (NAD)</t>
  </si>
  <si>
    <t>NIGERIAN NAIRA (NGN)</t>
  </si>
  <si>
    <t>NEW IRAQI DINAR (NID)</t>
  </si>
  <si>
    <t>NICARAGUA CORDOBA (NIO)</t>
  </si>
  <si>
    <t>NAURU IS. DOLLAR (*) (NIS)</t>
  </si>
  <si>
    <t>DUTCH GUILDER (NLG)</t>
  </si>
  <si>
    <t>NORWEGIAN KRONE (NOK)</t>
  </si>
  <si>
    <t>NEPALESE RUPEE (NPR)</t>
  </si>
  <si>
    <t>NEW ZEALAND CENTS (NZc)</t>
  </si>
  <si>
    <t>NEW ZEALAND DOLLAR (NZD)</t>
  </si>
  <si>
    <t>OMANI RIAL (OMR)</t>
  </si>
  <si>
    <t>PANAMANIAN BALBOA (PAB)</t>
  </si>
  <si>
    <t>PERUVIAN SOLES (PEI)</t>
  </si>
  <si>
    <t>NUEVO SOL (PEN)</t>
  </si>
  <si>
    <t>PAPUA NEW GUINEA KINA (PGK)</t>
  </si>
  <si>
    <t>PHILIPPINE PESO (PHP)</t>
  </si>
  <si>
    <t>PITCAIRN IS DOLLAR (*) (PIS)</t>
  </si>
  <si>
    <t>PAKISTAN RUPEE (PKR)</t>
  </si>
  <si>
    <t>Polish Zloty (NEW) (PLN)</t>
  </si>
  <si>
    <t>POLISH ZLOTY SPOT (*) (PLZ)</t>
  </si>
  <si>
    <t>PORTUGUESE ESCUDO (PTE)</t>
  </si>
  <si>
    <t>PARAGUAY GUARANI (PYG)</t>
  </si>
  <si>
    <t>QATARI RIAL (QAR)</t>
  </si>
  <si>
    <t>REUNION FRANC (*) (RFS)</t>
  </si>
  <si>
    <t>ROMANIAN LEU SPOT (RLS)</t>
  </si>
  <si>
    <t>ROMANIAN BAN (ROb)</t>
  </si>
  <si>
    <t>ROMANIAN LEU (RON)</t>
  </si>
  <si>
    <t>SERBIAN DINAR (RSD)</t>
  </si>
  <si>
    <t>RUSSIAN RUBLE (NEW) (RUB)</t>
  </si>
  <si>
    <t>RUSSIAN RUBLE (OLD) (RUR)</t>
  </si>
  <si>
    <t>RWANDA FRANC (RWF)</t>
  </si>
  <si>
    <t>SAUDI ARABIAN RIYAL (SAR)</t>
  </si>
  <si>
    <t>SOLOMON ISLANDS DOLLAR (SBD)</t>
  </si>
  <si>
    <t>SEYCHELLES RUPEE (SCR)</t>
  </si>
  <si>
    <t>SUDANESE DINAR (SDD)</t>
  </si>
  <si>
    <t>SUDANESE POUND (SDG)</t>
  </si>
  <si>
    <t>Special Drawing Righ (B) (SDR)</t>
  </si>
  <si>
    <t>SWEDISH KRONA (SEK)</t>
  </si>
  <si>
    <t>SINGAPORE CENTS (SGc)</t>
  </si>
  <si>
    <t>SINGAPORE DOLLAR (SGD)</t>
  </si>
  <si>
    <t>ST. HELENA POUND (SHP)</t>
  </si>
  <si>
    <t>SLOVENIA TOLAR (SIT)</t>
  </si>
  <si>
    <t>SLOVAK KORUNA (SKK)</t>
  </si>
  <si>
    <t>SIERRA LEONE LEONE (SLL)</t>
  </si>
  <si>
    <t>Salario Minimo General (SMG)</t>
  </si>
  <si>
    <t>SAN MARINO LIRA (*) (SMS)</t>
  </si>
  <si>
    <t>SOMALI SCHILLING (SOS)</t>
  </si>
  <si>
    <t>SEBORGA LUIGINI (SPL)</t>
  </si>
  <si>
    <t>SURINAME DOLLAR (SRD)</t>
  </si>
  <si>
    <t>SURINAME GUILDER (SRG)</t>
  </si>
  <si>
    <t>SOUTH SUDAN POUND (SSP)</t>
  </si>
  <si>
    <t>SAO TOME AND PRINCIPE DOBRA (STD)</t>
  </si>
  <si>
    <t>EL SALVADOR COLON (SVC)</t>
  </si>
  <si>
    <t>SYRIAN POUND (SYP)</t>
  </si>
  <si>
    <t>SWAZILAND LILANGENI (SZL)</t>
  </si>
  <si>
    <t>SWAZILAND LILANGENI (*) (SZS)</t>
  </si>
  <si>
    <t>THAI BHAT (THB)</t>
  </si>
  <si>
    <t>THAI BAHT ONSHORE RATE (THO)</t>
  </si>
  <si>
    <t>TAJIKISTAN RUBLE (TJR)</t>
  </si>
  <si>
    <t>TAJIKISTAN SOMONI (TJS)</t>
  </si>
  <si>
    <t>TURKISH LIRA SPOT (TLS)</t>
  </si>
  <si>
    <t>TURKMENISTAN MANAT (TMM)</t>
  </si>
  <si>
    <t>New Turkmenistan Manat (TMS)</t>
  </si>
  <si>
    <t>NEW MANAT (TMT)</t>
  </si>
  <si>
    <t>TUNISIAN DINAR (TND)</t>
  </si>
  <si>
    <t>TONGAN PA ANGA (TOP)</t>
  </si>
  <si>
    <t>EAST TIMOR ESCUDO (TPE)</t>
  </si>
  <si>
    <t>TURKISH LIRA (TRL)</t>
  </si>
  <si>
    <t>NEW TURKISH LIRA (TRY)</t>
  </si>
  <si>
    <t>THAI BAHT ONSHORE SPOT (TSS)</t>
  </si>
  <si>
    <t>TRINIDAD AND TOBAGO DOLLAR (TTD)</t>
  </si>
  <si>
    <t>TUVALU (TVD)</t>
  </si>
  <si>
    <t>TUVALU DOLLAR (*) (TVS)</t>
  </si>
  <si>
    <t>TAIWAN DOLLAR (TWD)</t>
  </si>
  <si>
    <t>TANZANIAN SCHILLING (TZS)</t>
  </si>
  <si>
    <t>UKRAINE HRYVNA (UAH)</t>
  </si>
  <si>
    <t>UKRAINIAN KARBOVANET (UAK)</t>
  </si>
  <si>
    <t>MEXICAN UDIDADES (UDI)</t>
  </si>
  <si>
    <t>UGANDA SHILLING (UGX)</t>
  </si>
  <si>
    <t>Uruguay Local Benchmark (UIP)</t>
  </si>
  <si>
    <t>US DOLLAR (NEXT DAY) (USN)</t>
  </si>
  <si>
    <t>US DOLLAR SAME DAY (USS)</t>
  </si>
  <si>
    <t>Uruguay Currency Index (UUI)</t>
  </si>
  <si>
    <t>Columbian Peso Inflation Linked Currency (UVR)</t>
  </si>
  <si>
    <t>Uruguayan U.I. (Unidad Indexada) (UYI)</t>
  </si>
  <si>
    <t>URUGUAY PESO SPOT (UYP)</t>
  </si>
  <si>
    <t>URUGUAY PESO (UYU)</t>
  </si>
  <si>
    <t>UZBEKISTAN SUM (UZS)</t>
  </si>
  <si>
    <t>PERUVIAN LOCAL BENCHMARK (VAC)</t>
  </si>
  <si>
    <t>Venezuelan bolivar fuerte (VBS)</t>
  </si>
  <si>
    <t>VATICAN CITY LIRA (*) (VCS)</t>
  </si>
  <si>
    <t>VENEZUALAN BOLIVAR (VEB)</t>
  </si>
  <si>
    <t>Venezuela Essential (VEE)</t>
  </si>
  <si>
    <t>BOLIVAR FUERTE (VEF)</t>
  </si>
  <si>
    <t>VENEZUELAN LOCAL BENCHMARK (VEO)</t>
  </si>
  <si>
    <t>VIETNAMESE DONG (VND)</t>
  </si>
  <si>
    <t>VANUATU VATU (VUV)</t>
  </si>
  <si>
    <t>SAMOAN TALA (WST)</t>
  </si>
  <si>
    <t>CENTRAL AFRICAN REPUBLIC (XAF)</t>
  </si>
  <si>
    <t>SILVER (XAG)</t>
  </si>
  <si>
    <t>Aluminum (B) (XAL)</t>
  </si>
  <si>
    <t>GOLD (XAU)</t>
  </si>
  <si>
    <t>EUROPEAN UNIT OF ACCOUNT (ECU-9) (XBC)</t>
  </si>
  <si>
    <t>DOMINICA DOLLAR (XCD)</t>
  </si>
  <si>
    <t>Copper (B) (XCU)</t>
  </si>
  <si>
    <t>SPECIAL DRAWING RIGH (XDR)</t>
  </si>
  <si>
    <t>EUROPEAN CURRENCY UNIT (E.C.U. (XEU)</t>
  </si>
  <si>
    <t>SILVER SPOT (XGY)</t>
  </si>
  <si>
    <t>MULTIPLE CURRENCIES (XMU)</t>
  </si>
  <si>
    <t>Nickel (B) (XNI)</t>
  </si>
  <si>
    <t>CFA FRANC BCEAO (XOF)</t>
  </si>
  <si>
    <t>Lead (B) (XPB)</t>
  </si>
  <si>
    <t>PALLADIUM (B) (XPD)</t>
  </si>
  <si>
    <t>FRENCH PACIFIC ISLAND FRANC (XPF)</t>
  </si>
  <si>
    <t>Platinum (B) (XPT)</t>
  </si>
  <si>
    <t>PALLADIUM SPOT (XPY)</t>
  </si>
  <si>
    <t>Radium (B) (XRA)</t>
  </si>
  <si>
    <t>Rhodium (B) (XRH)</t>
  </si>
  <si>
    <t>Iridium (B) (XRI)</t>
  </si>
  <si>
    <t>Ruthenium (B) (XRU)</t>
  </si>
  <si>
    <t>Tin (B) (XSN)</t>
  </si>
  <si>
    <t>SUCRE (XSU)</t>
  </si>
  <si>
    <t>PLATINUM SPOT (XTY)</t>
  </si>
  <si>
    <t>GOLD SPOT (XUY)</t>
  </si>
  <si>
    <t>NOT DEFINED (XXX)</t>
  </si>
  <si>
    <t>Zinc (B) (XZI)</t>
  </si>
  <si>
    <t>YEMENI RIAL (YER)</t>
  </si>
  <si>
    <t>NEW TURKISH KURUS (YTI)</t>
  </si>
  <si>
    <t>NEW TURKISH LIRA (THEO) (YTL)</t>
  </si>
  <si>
    <t>Yugoslav dinars (YUD)</t>
  </si>
  <si>
    <t>YUGOSLAVIAN DINAR (YUM)</t>
  </si>
  <si>
    <t>SOUTH AFRICAN FINANCIAL RAND (ZAL)</t>
  </si>
  <si>
    <t>SOUTH AFRICAN RAND (ZAR)</t>
  </si>
  <si>
    <t>ZAMBIAN KWACHA (ZMW)</t>
  </si>
  <si>
    <t>ZAIRE ZAIRE (ZRN)</t>
  </si>
  <si>
    <t>ZIMBABWE DOLLAR (ZWL)</t>
  </si>
  <si>
    <t>Security is not yet issued to market</t>
  </si>
  <si>
    <t>Security is issued to market</t>
  </si>
  <si>
    <t>TrancheType Domain Values</t>
  </si>
  <si>
    <t>ACS</t>
  </si>
  <si>
    <t>ACCELERATED SECURITY</t>
  </si>
  <si>
    <t>ADB</t>
  </si>
  <si>
    <t>ACCRETION DIRECTED</t>
  </si>
  <si>
    <t>ZAB</t>
  </si>
  <si>
    <t>ACCRUAL BOND</t>
  </si>
  <si>
    <t>AYL</t>
  </si>
  <si>
    <t>ANNUAL YIELD</t>
  </si>
  <si>
    <t>ARB</t>
  </si>
  <si>
    <t>ASCENDING RATE BOND</t>
  </si>
  <si>
    <t>AFC</t>
  </si>
  <si>
    <t>AVAILABLE FUNDS CLASS</t>
  </si>
  <si>
    <t>BUL</t>
  </si>
  <si>
    <t>BULLET MATURITY</t>
  </si>
  <si>
    <t>BUS</t>
  </si>
  <si>
    <t>BUSTED SECURITY</t>
  </si>
  <si>
    <t>OPT</t>
  </si>
  <si>
    <t>CALL OPTION</t>
  </si>
  <si>
    <t>CAB</t>
  </si>
  <si>
    <t>CAPITAL ACCRETION BOND</t>
  </si>
  <si>
    <t>CWC</t>
  </si>
  <si>
    <t>CAPPED WAC</t>
  </si>
  <si>
    <t>CPT</t>
  </si>
  <si>
    <t>CLASS HAS COMPONENTS</t>
  </si>
  <si>
    <t>CSR</t>
  </si>
  <si>
    <t>COLLATERAL STRIP INTEREST</t>
  </si>
  <si>
    <t>CMX</t>
  </si>
  <si>
    <t>COMPLEX INDEX BOND</t>
  </si>
  <si>
    <t>CAM</t>
  </si>
  <si>
    <t>CONTROLLED AMORTIZATION</t>
  </si>
  <si>
    <t>DCL</t>
  </si>
  <si>
    <t>DATE CALLABLE</t>
  </si>
  <si>
    <t>DRB</t>
  </si>
  <si>
    <t>DESCENDING RATE BOND</t>
  </si>
  <si>
    <t>EXE</t>
  </si>
  <si>
    <t>EXCESS PROCEEDS</t>
  </si>
  <si>
    <t>EXC</t>
  </si>
  <si>
    <t>EXCHANGEABLE</t>
  </si>
  <si>
    <t>EDC</t>
  </si>
  <si>
    <t>EXTENDED DELAY</t>
  </si>
  <si>
    <t>XRT</t>
  </si>
  <si>
    <t>EXTENDED FIRST RESET FLOATER</t>
  </si>
  <si>
    <t>FVR</t>
  </si>
  <si>
    <t>FIXED TO VARIABLE RATE</t>
  </si>
  <si>
    <t>FLOATING RATE BOND</t>
  </si>
  <si>
    <t>HAZ</t>
  </si>
  <si>
    <t>HAZARD BOND</t>
  </si>
  <si>
    <t>XAC</t>
  </si>
  <si>
    <t>INDEX ALLOCATION CLASS</t>
  </si>
  <si>
    <t>IAN</t>
  </si>
  <si>
    <t>INDEXED AMORTIZATION NOTE</t>
  </si>
  <si>
    <t>IOC</t>
  </si>
  <si>
    <t>INTEREST ONLY CLASS</t>
  </si>
  <si>
    <t>INV</t>
  </si>
  <si>
    <t>INVERSE FLOATER</t>
  </si>
  <si>
    <t>JMP</t>
  </si>
  <si>
    <t>JUMP SECURITY</t>
  </si>
  <si>
    <t>FOR</t>
  </si>
  <si>
    <t>LEVEL FOUR</t>
  </si>
  <si>
    <t>LIQ</t>
  </si>
  <si>
    <t>LIQUIDITY BOND</t>
  </si>
  <si>
    <t>MNR</t>
  </si>
  <si>
    <t>MANDATORY REDEMPTION</t>
  </si>
  <si>
    <t>MEZ</t>
  </si>
  <si>
    <t>MEZZANINE CLASS</t>
  </si>
  <si>
    <t>MONEY MARKET</t>
  </si>
  <si>
    <t>NON PAYING RESIDUAL</t>
  </si>
  <si>
    <t>DLY</t>
  </si>
  <si>
    <t>NON ZERO DELAY</t>
  </si>
  <si>
    <t>NAS</t>
  </si>
  <si>
    <t>NON-ACCELERATED SECURITY</t>
  </si>
  <si>
    <t>NTL</t>
  </si>
  <si>
    <t>NOTIONAL PRINCIPAL</t>
  </si>
  <si>
    <t>ODL</t>
  </si>
  <si>
    <t>ODD LOT</t>
  </si>
  <si>
    <t>PAC1</t>
  </si>
  <si>
    <t>PAC LEVEL 1</t>
  </si>
  <si>
    <t>PAC2</t>
  </si>
  <si>
    <t>PAC LEVEL 2</t>
  </si>
  <si>
    <t>PAC3</t>
  </si>
  <si>
    <t>PAC LEVEL 3</t>
  </si>
  <si>
    <t>PAC4</t>
  </si>
  <si>
    <t>PAC LEVEL 4</t>
  </si>
  <si>
    <t>PRZ</t>
  </si>
  <si>
    <t>PARTIAL ACCRUAL</t>
  </si>
  <si>
    <t>PST</t>
  </si>
  <si>
    <t>PASS-THROUGH</t>
  </si>
  <si>
    <t>PEC</t>
  </si>
  <si>
    <t>PAYMENT EXCHANGE</t>
  </si>
  <si>
    <t>PAC</t>
  </si>
  <si>
    <t>PLANNED AMORTIZATION</t>
  </si>
  <si>
    <t>POC</t>
  </si>
  <si>
    <t>PRINCIPAL ONLY CLASS</t>
  </si>
  <si>
    <t>PPS</t>
  </si>
  <si>
    <t>PRORATA PRINCIPAL STRIP</t>
  </si>
  <si>
    <t>RST</t>
  </si>
  <si>
    <t>RATIO STRIP</t>
  </si>
  <si>
    <t>RES</t>
  </si>
  <si>
    <t>RESIDUAL</t>
  </si>
  <si>
    <t>RTL</t>
  </si>
  <si>
    <t>RETAIL BOND</t>
  </si>
  <si>
    <t>SCH1</t>
  </si>
  <si>
    <t>SCH LEVEL 1</t>
  </si>
  <si>
    <t>SCH2</t>
  </si>
  <si>
    <t>SCH LEVEL 2</t>
  </si>
  <si>
    <t>SCM</t>
  </si>
  <si>
    <t>SCHEDULED MATURITY</t>
  </si>
  <si>
    <t>SCH</t>
  </si>
  <si>
    <t>SCHEDULED PAY</t>
  </si>
  <si>
    <t>SEG</t>
  </si>
  <si>
    <t>SEGMENT BACKED BOND</t>
  </si>
  <si>
    <t>SMI</t>
  </si>
  <si>
    <t>SEMIANNUAL PAY</t>
  </si>
  <si>
    <t>SNS</t>
  </si>
  <si>
    <t>SENIOR STRIP</t>
  </si>
  <si>
    <t>SEQ</t>
  </si>
  <si>
    <t>SEQUENTIAL PAYER</t>
  </si>
  <si>
    <t>STE</t>
  </si>
  <si>
    <t>STEPPED RATE BOND</t>
  </si>
  <si>
    <t>STC</t>
  </si>
  <si>
    <t>STRUCTURED COLLATERAL</t>
  </si>
  <si>
    <t>SUB</t>
  </si>
  <si>
    <t>SUBORDINATED / B-PIECE</t>
  </si>
  <si>
    <t>SFL</t>
  </si>
  <si>
    <t>SUPERFLOATER</t>
  </si>
  <si>
    <t>SUP</t>
  </si>
  <si>
    <t>SUPPORT BOND / COMPANION</t>
  </si>
  <si>
    <t>SWP</t>
  </si>
  <si>
    <t>TAC1</t>
  </si>
  <si>
    <t>TAC LEVEL 1</t>
  </si>
  <si>
    <t>TAC2</t>
  </si>
  <si>
    <t>TAC LEVEL 2</t>
  </si>
  <si>
    <t>TAC3</t>
  </si>
  <si>
    <t>TAC LEVEL 3</t>
  </si>
  <si>
    <t>TAC4</t>
  </si>
  <si>
    <t>TAC LEVEL 4</t>
  </si>
  <si>
    <t>TAC</t>
  </si>
  <si>
    <t>TARGETED AMORTIZATION</t>
  </si>
  <si>
    <t>FEE</t>
  </si>
  <si>
    <t>TRUSTEE FEE</t>
  </si>
  <si>
    <t>WAC</t>
  </si>
  <si>
    <t>WEIGHTED AVERAGE COUPON</t>
  </si>
  <si>
    <t>IssuerCountry Domain Values</t>
  </si>
  <si>
    <t>IssuerCountryOfIncorporation Domain Values</t>
  </si>
  <si>
    <t>IndustryClassValue Domain Values</t>
  </si>
  <si>
    <t>BUSINESS-SECTOR</t>
  </si>
  <si>
    <t>CITI-CLASS</t>
  </si>
  <si>
    <t>CITI-CREDIT</t>
  </si>
  <si>
    <t>CITI-ISSUER</t>
  </si>
  <si>
    <t>CITI-SECTOR</t>
  </si>
  <si>
    <t>EQY_SIC_NAME</t>
  </si>
  <si>
    <t>GICS-INDUSTRY</t>
  </si>
  <si>
    <t>GICS-INDUSTRY-GROUP</t>
  </si>
  <si>
    <t>GICS-SECTOR</t>
  </si>
  <si>
    <t>GICS-SUBINDUSTRY</t>
  </si>
  <si>
    <t>INDUSTRY-GROUP</t>
  </si>
  <si>
    <t>INDUSTRY-SECTOR</t>
  </si>
  <si>
    <t>INDUSTRY-SUBGROUP</t>
  </si>
  <si>
    <t>ISSUER-INDUSTRY</t>
  </si>
  <si>
    <t>ISSUER_TYP</t>
  </si>
  <si>
    <t>NAICS-CODE</t>
  </si>
  <si>
    <t>TYPE_OF_ISSUE</t>
  </si>
  <si>
    <t>ETF</t>
  </si>
  <si>
    <t>CDO</t>
  </si>
  <si>
    <t>CLO</t>
  </si>
  <si>
    <t>CLOSED-END-FUND</t>
  </si>
  <si>
    <t>OPEN-END-FUND</t>
  </si>
  <si>
    <t>TRI-PARTY</t>
  </si>
  <si>
    <t>ABX</t>
  </si>
  <si>
    <t>CMBX</t>
  </si>
  <si>
    <t>PRIMEX</t>
  </si>
  <si>
    <t>INVESTMENT-TRUST</t>
  </si>
  <si>
    <t>PENSION-FUND</t>
  </si>
  <si>
    <t>ETC</t>
  </si>
  <si>
    <t>FCP</t>
  </si>
  <si>
    <t>OEIC</t>
  </si>
  <si>
    <t>SICAV</t>
  </si>
  <si>
    <t>UNIT-TRUST</t>
  </si>
  <si>
    <t>Product.MarketSectorDescription</t>
  </si>
  <si>
    <t>Product.Description</t>
  </si>
  <si>
    <t>Product.SecurityTypeLevel1</t>
  </si>
  <si>
    <t>Product.SecurityTypeLevel2</t>
  </si>
  <si>
    <t>Product.Country</t>
  </si>
  <si>
    <t>Product.IssueCurrency</t>
  </si>
  <si>
    <t>Product.IssueDate</t>
  </si>
  <si>
    <t>Product.IsWhenIssued</t>
  </si>
  <si>
    <t>IncomeInformation.CouponDividendRate</t>
  </si>
  <si>
    <t>IncomeInformation.CouponDividendFrequency</t>
  </si>
  <si>
    <t>IncomeInformation.AccrualMethod</t>
  </si>
  <si>
    <t>IncomeInformation.FirstPayDate</t>
  </si>
  <si>
    <t>Additional Information on DES (INFO)</t>
  </si>
  <si>
    <t>Active Security (ACTIV)</t>
  </si>
  <si>
    <t>ExchangeListingInfo.InstrumentListingLevel</t>
  </si>
  <si>
    <r>
      <t>Instrument Listing Level</t>
    </r>
    <r>
      <rPr>
        <sz val="11"/>
        <color rgb="FFFF0000"/>
        <rFont val="Calibri"/>
        <family val="2"/>
        <scheme val="minor"/>
      </rPr>
      <t>*</t>
    </r>
  </si>
  <si>
    <t>Product.ParValue</t>
  </si>
  <si>
    <t>Product.PriceAtIssuance</t>
  </si>
  <si>
    <r>
      <t>Market Sector</t>
    </r>
    <r>
      <rPr>
        <sz val="11"/>
        <color rgb="FFFF0000"/>
        <rFont val="Calibri"/>
        <family val="2"/>
        <scheme val="minor"/>
      </rPr>
      <t>*</t>
    </r>
  </si>
  <si>
    <r>
      <t>Security Type Level 1</t>
    </r>
    <r>
      <rPr>
        <sz val="11"/>
        <color rgb="FFFF0000"/>
        <rFont val="Calibri"/>
        <family val="2"/>
        <scheme val="minor"/>
      </rPr>
      <t>*</t>
    </r>
  </si>
  <si>
    <r>
      <t>Country</t>
    </r>
    <r>
      <rPr>
        <sz val="11"/>
        <color rgb="FFFF0000"/>
        <rFont val="Calibri"/>
        <family val="2"/>
        <scheme val="minor"/>
      </rPr>
      <t>*</t>
    </r>
  </si>
  <si>
    <r>
      <t>Issue Currency</t>
    </r>
    <r>
      <rPr>
        <sz val="11"/>
        <color rgb="FFFF0000"/>
        <rFont val="Calibri"/>
        <family val="2"/>
        <scheme val="minor"/>
      </rPr>
      <t>*</t>
    </r>
  </si>
  <si>
    <t>IncomeInformation.FloatDaysPrior</t>
  </si>
  <si>
    <t>IncomeInformation.FloatPayDay</t>
  </si>
  <si>
    <t>IncomeInformation.ExDividendDays</t>
  </si>
  <si>
    <t>FixedIncome.BBCalcTypeMnemonic</t>
  </si>
  <si>
    <t>DP Calc Type  = FixedIncome.BBCalcTypeMnemonic</t>
  </si>
  <si>
    <t>FixedIncome.BaseCPI</t>
  </si>
  <si>
    <t>FixedIncome.ReferenceIndex</t>
  </si>
  <si>
    <t>FixedIncome.IsInflationLinked</t>
  </si>
  <si>
    <t>Type</t>
  </si>
  <si>
    <t>Type*</t>
  </si>
  <si>
    <t>Call</t>
  </si>
  <si>
    <t>Redemption.IsCallable</t>
  </si>
  <si>
    <t>Redemption.IsPutable</t>
  </si>
  <si>
    <t>FixedIncome.IsDualCurrency</t>
  </si>
  <si>
    <t>IncomeInformation.CouponDividendCurrency</t>
  </si>
  <si>
    <t>Redemption.Currency</t>
  </si>
  <si>
    <t>FixedIncome.IsFloater</t>
  </si>
  <si>
    <t>ResetInformation.CurrentBaseIndex</t>
  </si>
  <si>
    <t>JY0009M</t>
  </si>
  <si>
    <t>FR0011M</t>
  </si>
  <si>
    <t>FR0012M</t>
  </si>
  <si>
    <t>FRCPXTOY</t>
  </si>
  <si>
    <t>GBOTG12M</t>
  </si>
  <si>
    <t>GBOTG3M</t>
  </si>
  <si>
    <t>GBOTG6M</t>
  </si>
  <si>
    <t>GBTPGR10</t>
  </si>
  <si>
    <t>GBTPGR30</t>
  </si>
  <si>
    <t>GCETAA18</t>
  </si>
  <si>
    <t>GCETAA28</t>
  </si>
  <si>
    <t>GCETAA36</t>
  </si>
  <si>
    <t>GCETAA91</t>
  </si>
  <si>
    <t>GGRT12M</t>
  </si>
  <si>
    <t>GGRT3M</t>
  </si>
  <si>
    <t>GGRT6M</t>
  </si>
  <si>
    <t>GIBO12M</t>
  </si>
  <si>
    <t>GIBO1M</t>
  </si>
  <si>
    <t>GIBO1W</t>
  </si>
  <si>
    <t>GIBO2M</t>
  </si>
  <si>
    <t>GIBO2W</t>
  </si>
  <si>
    <t>GIBO3M</t>
  </si>
  <si>
    <t>GIBO3W</t>
  </si>
  <si>
    <t>GIBO6M</t>
  </si>
  <si>
    <t>GIBO9M</t>
  </si>
  <si>
    <t>GIBOON</t>
  </si>
  <si>
    <t>GIBOSN</t>
  </si>
  <si>
    <t>GIBOTN</t>
  </si>
  <si>
    <t>GIND10YR</t>
  </si>
  <si>
    <t>GIND15YR</t>
  </si>
  <si>
    <t>GIND1YR</t>
  </si>
  <si>
    <t>GIND2YR</t>
  </si>
  <si>
    <t>GIND3YR</t>
  </si>
  <si>
    <t>GIND4YR</t>
  </si>
  <si>
    <t>GIND5YR</t>
  </si>
  <si>
    <t>GIND6YR</t>
  </si>
  <si>
    <t>GIND7YR</t>
  </si>
  <si>
    <t>GIND8YR</t>
  </si>
  <si>
    <t>GIND9YR</t>
  </si>
  <si>
    <t>GINYA364</t>
  </si>
  <si>
    <t>GRKTWAY6</t>
  </si>
  <si>
    <t>GRKTWY12</t>
  </si>
  <si>
    <t>GSPG10YR</t>
  </si>
  <si>
    <t>GUKG5</t>
  </si>
  <si>
    <t>H$ONWGHT</t>
  </si>
  <si>
    <t>H15ADI1Y</t>
  </si>
  <si>
    <t>H15BDI6M</t>
  </si>
  <si>
    <t>H15BIN6M</t>
  </si>
  <si>
    <t>H15F090D</t>
  </si>
  <si>
    <t>H15MCD6M</t>
  </si>
  <si>
    <t>H15N030D</t>
  </si>
  <si>
    <t>H15T10Y</t>
  </si>
  <si>
    <t>H15T1Y</t>
  </si>
  <si>
    <t>H15T20Y</t>
  </si>
  <si>
    <t>H15T2Y</t>
  </si>
  <si>
    <t>CANPRM n/a</t>
  </si>
  <si>
    <t>CD 1M</t>
  </si>
  <si>
    <t>CD COM</t>
  </si>
  <si>
    <t>CD COM 1MO</t>
  </si>
  <si>
    <t>CD COM 1YR</t>
  </si>
  <si>
    <t>CD COM 3MO</t>
  </si>
  <si>
    <t>CD COM 6MO</t>
  </si>
  <si>
    <t>CD COM BIMTH</t>
  </si>
  <si>
    <t>CD COM DLY</t>
  </si>
  <si>
    <t>CD COM WKLY</t>
  </si>
  <si>
    <t>CD COM n/a</t>
  </si>
  <si>
    <t>CD0001M</t>
  </si>
  <si>
    <t>CD0002M</t>
  </si>
  <si>
    <t>CD0003M</t>
  </si>
  <si>
    <t>CD0004M</t>
  </si>
  <si>
    <t>CD0005M</t>
  </si>
  <si>
    <t>CD0006M</t>
  </si>
  <si>
    <t>CD0007M</t>
  </si>
  <si>
    <t>CD0008M</t>
  </si>
  <si>
    <t>CD0009M</t>
  </si>
  <si>
    <t>CD0010M</t>
  </si>
  <si>
    <t>CD0011M</t>
  </si>
  <si>
    <t>CD0012M</t>
  </si>
  <si>
    <t>CDOR01</t>
  </si>
  <si>
    <t>CDOR02</t>
  </si>
  <si>
    <t>CDOR03</t>
  </si>
  <si>
    <t>CDOR06</t>
  </si>
  <si>
    <t>CDOR12</t>
  </si>
  <si>
    <t>CDP30D</t>
  </si>
  <si>
    <t>CDSW1</t>
  </si>
  <si>
    <t>CHR7B_1M</t>
  </si>
  <si>
    <t>CHUF</t>
  </si>
  <si>
    <t>CIBO01M</t>
  </si>
  <si>
    <t>CIBO02M</t>
  </si>
  <si>
    <t>CIBO03M</t>
  </si>
  <si>
    <t>CIBO04M</t>
  </si>
  <si>
    <t>CIBO05M</t>
  </si>
  <si>
    <t>CIBO06M</t>
  </si>
  <si>
    <t>CIBO12M</t>
  </si>
  <si>
    <t>CMFT2AVG</t>
  </si>
  <si>
    <t>CMFT4AVG</t>
  </si>
  <si>
    <t>CNDR1Y</t>
  </si>
  <si>
    <t>CNDR6M</t>
  </si>
  <si>
    <t>CNRR007</t>
  </si>
  <si>
    <t>COCPI</t>
  </si>
  <si>
    <t>COCPIYOY</t>
  </si>
  <si>
    <t>COF</t>
  </si>
  <si>
    <t>COF 07</t>
  </si>
  <si>
    <t>COF 11</t>
  </si>
  <si>
    <t>COF CODI</t>
  </si>
  <si>
    <t>COF COSI</t>
  </si>
  <si>
    <t>COF FD</t>
  </si>
  <si>
    <t>COF NA</t>
  </si>
  <si>
    <t>COFQNATQ</t>
  </si>
  <si>
    <t>CP COM</t>
  </si>
  <si>
    <t>CP COM 1MO</t>
  </si>
  <si>
    <t>CP COM 1YR</t>
  </si>
  <si>
    <t>CP COM 3MO</t>
  </si>
  <si>
    <t>CP COM 6MO</t>
  </si>
  <si>
    <t>CP COM BIMTH</t>
  </si>
  <si>
    <t>CP COM DLY</t>
  </si>
  <si>
    <t>CP COM WKLY</t>
  </si>
  <si>
    <t>CP COM n/a</t>
  </si>
  <si>
    <t>CPIYOY</t>
  </si>
  <si>
    <t>CPTFEMUY</t>
  </si>
  <si>
    <t>CPTW90DY</t>
  </si>
  <si>
    <t>CRITBASC</t>
  </si>
  <si>
    <t>CTDP1Y</t>
  </si>
  <si>
    <t>Can_BA</t>
  </si>
  <si>
    <t>D11COF</t>
  </si>
  <si>
    <t>DG0001M</t>
  </si>
  <si>
    <t>DG0002M</t>
  </si>
  <si>
    <t>DG0003M</t>
  </si>
  <si>
    <t>TIBOEY9M</t>
  </si>
  <si>
    <t>TJJ</t>
  </si>
  <si>
    <t>TMBT1YD</t>
  </si>
  <si>
    <t>TME</t>
  </si>
  <si>
    <t>TMO</t>
  </si>
  <si>
    <t>TMP</t>
  </si>
  <si>
    <t>TRLIB3M</t>
  </si>
  <si>
    <t>UAEIE3M</t>
  </si>
  <si>
    <t>UKRPYOY</t>
  </si>
  <si>
    <t>URCPI</t>
  </si>
  <si>
    <t>URV</t>
  </si>
  <si>
    <t>US0001M</t>
  </si>
  <si>
    <t>US0001W</t>
  </si>
  <si>
    <t>US0002M</t>
  </si>
  <si>
    <t>US0003M</t>
  </si>
  <si>
    <t>US0004M</t>
  </si>
  <si>
    <t>US0005M</t>
  </si>
  <si>
    <t>US0006M</t>
  </si>
  <si>
    <t>US0007M</t>
  </si>
  <si>
    <t>US0008M</t>
  </si>
  <si>
    <t>US0009M</t>
  </si>
  <si>
    <t>US0010M</t>
  </si>
  <si>
    <t>US0011M</t>
  </si>
  <si>
    <t>US0012M</t>
  </si>
  <si>
    <t>USB5YCP</t>
  </si>
  <si>
    <t>USSA10</t>
  </si>
  <si>
    <t>USSW1</t>
  </si>
  <si>
    <t>USSW10</t>
  </si>
  <si>
    <t>USSW2</t>
  </si>
  <si>
    <t>USSW3</t>
  </si>
  <si>
    <t>USSW5</t>
  </si>
  <si>
    <t>VIBO12M</t>
  </si>
  <si>
    <t>VIBO1M</t>
  </si>
  <si>
    <t>VIBO2M</t>
  </si>
  <si>
    <t>VIBO3M</t>
  </si>
  <si>
    <t>VIBO6M</t>
  </si>
  <si>
    <t>VLET91AY</t>
  </si>
  <si>
    <t>VTAM</t>
  </si>
  <si>
    <t>WIBO1M</t>
  </si>
  <si>
    <t>WIBO1Y</t>
  </si>
  <si>
    <t>WIBO3M</t>
  </si>
  <si>
    <t>WIBO6M</t>
  </si>
  <si>
    <t>WIBOTN</t>
  </si>
  <si>
    <t>WKLY</t>
  </si>
  <si>
    <t>WKLY N/A</t>
  </si>
  <si>
    <t>YYSTLA1</t>
  </si>
  <si>
    <t>YYSTLA10</t>
  </si>
  <si>
    <t>YYSTLA12</t>
  </si>
  <si>
    <t>YYSTLA15</t>
  </si>
  <si>
    <t>YYSTLA18</t>
  </si>
  <si>
    <t>YYSTLA2</t>
  </si>
  <si>
    <t>YYSTLA3</t>
  </si>
  <si>
    <t>YYSTLA4</t>
  </si>
  <si>
    <t>YYSTLA5</t>
  </si>
  <si>
    <t>YYSTLA6</t>
  </si>
  <si>
    <t>YYSTLA7</t>
  </si>
  <si>
    <t>YYSTLA8</t>
  </si>
  <si>
    <t>YYSTLA9</t>
  </si>
  <si>
    <t>RIBORM2W</t>
  </si>
  <si>
    <t>RIBORM3M</t>
  </si>
  <si>
    <t>RIBORM6M</t>
  </si>
  <si>
    <t>RIBORM9M</t>
  </si>
  <si>
    <t>RIBORMON</t>
  </si>
  <si>
    <t>RIBORMYR</t>
  </si>
  <si>
    <t>RIGI6M</t>
  </si>
  <si>
    <t>RP07</t>
  </si>
  <si>
    <t>SADBDB</t>
  </si>
  <si>
    <t>SADBDB6</t>
  </si>
  <si>
    <t>SAHR3M</t>
  </si>
  <si>
    <t>SAIB3M</t>
  </si>
  <si>
    <t>SANCD03M</t>
  </si>
  <si>
    <t>SANCD06M</t>
  </si>
  <si>
    <t>SANCD09M</t>
  </si>
  <si>
    <t>SANCD12M</t>
  </si>
  <si>
    <t>SANCDBA</t>
  </si>
  <si>
    <t>SBI3AY3M</t>
  </si>
  <si>
    <t>SCBT1YD</t>
  </si>
  <si>
    <t>SEDA3MRE</t>
  </si>
  <si>
    <t>SF0001M</t>
  </si>
  <si>
    <t>SF0002M</t>
  </si>
  <si>
    <t>SF0003M</t>
  </si>
  <si>
    <t>SF0004M</t>
  </si>
  <si>
    <t>SF0005M</t>
  </si>
  <si>
    <t>SF0006M</t>
  </si>
  <si>
    <t>SF0007M</t>
  </si>
  <si>
    <t>SF0008M</t>
  </si>
  <si>
    <t>SF0009M</t>
  </si>
  <si>
    <t>SF0010M</t>
  </si>
  <si>
    <t>SF0011M</t>
  </si>
  <si>
    <t>SF0012M</t>
  </si>
  <si>
    <t>SFSW10</t>
  </si>
  <si>
    <t>SFSW5</t>
  </si>
  <si>
    <t>SFSW7</t>
  </si>
  <si>
    <t>SFSW8</t>
  </si>
  <si>
    <t>SHIF1W</t>
  </si>
  <si>
    <t>SHIF3M</t>
  </si>
  <si>
    <t>SIBF3M</t>
  </si>
  <si>
    <t>SIBF6M</t>
  </si>
  <si>
    <t>SIBO12M</t>
  </si>
  <si>
    <t>SIBO1M</t>
  </si>
  <si>
    <t>SIBO2M</t>
  </si>
  <si>
    <t>SIBO3M</t>
  </si>
  <si>
    <t>SIBO6M</t>
  </si>
  <si>
    <t>SIBO9M</t>
  </si>
  <si>
    <t>SIBU3M</t>
  </si>
  <si>
    <t>SIBU6M</t>
  </si>
  <si>
    <t>SISD01M</t>
  </si>
  <si>
    <t>SISD01W</t>
  </si>
  <si>
    <t>SISD02M</t>
  </si>
  <si>
    <t>SISD03M</t>
  </si>
  <si>
    <t>SISD06M</t>
  </si>
  <si>
    <t>SISD09M</t>
  </si>
  <si>
    <t>SISD12M</t>
  </si>
  <si>
    <t>SISDON</t>
  </si>
  <si>
    <t>SOBR3M</t>
  </si>
  <si>
    <t>SORF12M</t>
  </si>
  <si>
    <t>SORF3M</t>
  </si>
  <si>
    <t>SORF6M</t>
  </si>
  <si>
    <t>SP0001M</t>
  </si>
  <si>
    <t>SP0002M</t>
  </si>
  <si>
    <t>SP0003M</t>
  </si>
  <si>
    <t>SP0004M</t>
  </si>
  <si>
    <t>SP0005M</t>
  </si>
  <si>
    <t>SP0006M</t>
  </si>
  <si>
    <t>SP0007M</t>
  </si>
  <si>
    <t>SP0008M</t>
  </si>
  <si>
    <t>SP0009M</t>
  </si>
  <si>
    <t>SP0010M</t>
  </si>
  <si>
    <t>SP0011M</t>
  </si>
  <si>
    <t>SP0012M</t>
  </si>
  <si>
    <t>SPIPCYOY</t>
  </si>
  <si>
    <t>STIB1D</t>
  </si>
  <si>
    <t>STIB1M</t>
  </si>
  <si>
    <t>STIB1W</t>
  </si>
  <si>
    <t>STIB1Y</t>
  </si>
  <si>
    <t>STIB2M</t>
  </si>
  <si>
    <t>STIB3M</t>
  </si>
  <si>
    <t>STIB6M</t>
  </si>
  <si>
    <t>STIB9M</t>
  </si>
  <si>
    <t>T-BILL 1MO</t>
  </si>
  <si>
    <t>T-BILL 1YR</t>
  </si>
  <si>
    <t>T-BILL 3MO</t>
  </si>
  <si>
    <t>T-BILL 6MO</t>
  </si>
  <si>
    <t>T-BILL BIMTH</t>
  </si>
  <si>
    <t>T-BILL DLY</t>
  </si>
  <si>
    <t>T-BILL LIMEA</t>
  </si>
  <si>
    <t>T-BILL LIMEAN</t>
  </si>
  <si>
    <t>T-BILL WKLY</t>
  </si>
  <si>
    <t>T-BILL n/a</t>
  </si>
  <si>
    <t>T-BILL s.f,v</t>
  </si>
  <si>
    <t>T10Y</t>
  </si>
  <si>
    <t>T10Y-T2Y</t>
  </si>
  <si>
    <t>T1Y</t>
  </si>
  <si>
    <t>T2Y</t>
  </si>
  <si>
    <t>T2Y-T10Y</t>
  </si>
  <si>
    <t>T30Y</t>
  </si>
  <si>
    <t>T3M</t>
  </si>
  <si>
    <t>T3Y</t>
  </si>
  <si>
    <t>T5Y</t>
  </si>
  <si>
    <t>T6M</t>
  </si>
  <si>
    <t>T7Y</t>
  </si>
  <si>
    <t>TAM</t>
  </si>
  <si>
    <t>TAVG1YD4</t>
  </si>
  <si>
    <t>TAVG1YD5</t>
  </si>
  <si>
    <t>TAVG6MD4</t>
  </si>
  <si>
    <t>TAVGMLR</t>
  </si>
  <si>
    <t>TAVGMLR5</t>
  </si>
  <si>
    <t>TBDP1Y</t>
  </si>
  <si>
    <t>TBDP2Y</t>
  </si>
  <si>
    <t>TEC10</t>
  </si>
  <si>
    <t>THBREF</t>
  </si>
  <si>
    <t>THE</t>
  </si>
  <si>
    <t>THFX6M</t>
  </si>
  <si>
    <t>TIBOE$1M</t>
  </si>
  <si>
    <t>TIBOE$1Y</t>
  </si>
  <si>
    <t>TIBOE$2M</t>
  </si>
  <si>
    <t>TIBOE$3M</t>
  </si>
  <si>
    <t>TIBOE$6M</t>
  </si>
  <si>
    <t>TIBOE$9M</t>
  </si>
  <si>
    <t>TIBOEY1M</t>
  </si>
  <si>
    <t>TIBOEY1Y</t>
  </si>
  <si>
    <t>TIBOEY2M</t>
  </si>
  <si>
    <t>TIBOEY3M</t>
  </si>
  <si>
    <t>TIBOEY6M</t>
  </si>
  <si>
    <t>LIMEAN 1MO</t>
  </si>
  <si>
    <t>LIMEAN 1YR</t>
  </si>
  <si>
    <t>LIMEAN 3MO</t>
  </si>
  <si>
    <t>LIMEAN 6MO</t>
  </si>
  <si>
    <t>LIMEAN BIMTH</t>
  </si>
  <si>
    <t>LIMEAN DLY</t>
  </si>
  <si>
    <t>LIMEAN WKLY</t>
  </si>
  <si>
    <t>LIMEAN n/a</t>
  </si>
  <si>
    <t>LIMEAN s.f,v</t>
  </si>
  <si>
    <t>LISB12M</t>
  </si>
  <si>
    <t>LISB1M</t>
  </si>
  <si>
    <t>LISB3M</t>
  </si>
  <si>
    <t>LISB6M</t>
  </si>
  <si>
    <t>MAKAMAVG</t>
  </si>
  <si>
    <t>MCPPUDI</t>
  </si>
  <si>
    <t>MEY_OF_T</t>
  </si>
  <si>
    <t>MEY_T10Y</t>
  </si>
  <si>
    <t>MIBOR01M</t>
  </si>
  <si>
    <t>MIBOR02M</t>
  </si>
  <si>
    <t>MIBOR03M</t>
  </si>
  <si>
    <t>MIBOR04M</t>
  </si>
  <si>
    <t>MIBOR05M</t>
  </si>
  <si>
    <t>MIBOR06M</t>
  </si>
  <si>
    <t>MIBOR07M</t>
  </si>
  <si>
    <t>MIBOR08M</t>
  </si>
  <si>
    <t>MIBOR09M</t>
  </si>
  <si>
    <t>MIBOR10M</t>
  </si>
  <si>
    <t>MIBOR11M</t>
  </si>
  <si>
    <t>MIBOR12M</t>
  </si>
  <si>
    <t>MUNIPSA</t>
  </si>
  <si>
    <t>MXBRBA</t>
  </si>
  <si>
    <t>MXCPI</t>
  </si>
  <si>
    <t>MXDPCETE</t>
  </si>
  <si>
    <t>MXIB28D</t>
  </si>
  <si>
    <t>MXIB91DT</t>
  </si>
  <si>
    <t>MXIBTIIE</t>
  </si>
  <si>
    <t>MoAvg1yT</t>
  </si>
  <si>
    <t>N.A.</t>
  </si>
  <si>
    <t>N/A 1MO</t>
  </si>
  <si>
    <t>N/A 1YR</t>
  </si>
  <si>
    <t>N/A 3MO</t>
  </si>
  <si>
    <t>N/A 6MO</t>
  </si>
  <si>
    <t>N/A BIMTH</t>
  </si>
  <si>
    <t>N/A DLY</t>
  </si>
  <si>
    <t>N/A WKLY</t>
  </si>
  <si>
    <t>N/A n/a</t>
  </si>
  <si>
    <t>NDBB1M</t>
  </si>
  <si>
    <t>NDBB3M</t>
  </si>
  <si>
    <t>NDBB6M</t>
  </si>
  <si>
    <t>NECPIYOY</t>
  </si>
  <si>
    <t>NFIX3MID</t>
  </si>
  <si>
    <t>NFIX6MID</t>
  </si>
  <si>
    <t>NIBOR12M</t>
  </si>
  <si>
    <t>NIBOR1M</t>
  </si>
  <si>
    <t>NIBOR1W</t>
  </si>
  <si>
    <t>NIBOR2M</t>
  </si>
  <si>
    <t>NIBOR2W</t>
  </si>
  <si>
    <t>NIBOR3M</t>
  </si>
  <si>
    <t>NIBOR6M</t>
  </si>
  <si>
    <t>NIBOR9M</t>
  </si>
  <si>
    <t>NLF</t>
  </si>
  <si>
    <t>NMCR</t>
  </si>
  <si>
    <t>NSERO</t>
  </si>
  <si>
    <t>NZ0003M</t>
  </si>
  <si>
    <t>NZBB3M</t>
  </si>
  <si>
    <t>PDSF3MO</t>
  </si>
  <si>
    <t>PE0001M</t>
  </si>
  <si>
    <t>PE0002M</t>
  </si>
  <si>
    <t>PE0003M</t>
  </si>
  <si>
    <t>PE0004M</t>
  </si>
  <si>
    <t>PE0005M</t>
  </si>
  <si>
    <t>JY0010M</t>
  </si>
  <si>
    <t>JY0011M</t>
  </si>
  <si>
    <t>JY0012M</t>
  </si>
  <si>
    <t>JYSW1</t>
  </si>
  <si>
    <t>JYSW10</t>
  </si>
  <si>
    <t>JYSW20</t>
  </si>
  <si>
    <t>KIBOR3M</t>
  </si>
  <si>
    <t>KIBOR6M</t>
  </si>
  <si>
    <t>KLIB12M</t>
  </si>
  <si>
    <t>KLIM12M</t>
  </si>
  <si>
    <t>KLIM1M</t>
  </si>
  <si>
    <t>KLIM1W</t>
  </si>
  <si>
    <t>KLIM2M</t>
  </si>
  <si>
    <t>KLIM3M</t>
  </si>
  <si>
    <t>KLIM6M</t>
  </si>
  <si>
    <t>KLIM9M</t>
  </si>
  <si>
    <t>KLIMON</t>
  </si>
  <si>
    <t>KRH13MO</t>
  </si>
  <si>
    <t>KRH15YR</t>
  </si>
  <si>
    <t>KSDATR5Y</t>
  </si>
  <si>
    <t>KUBRDISC</t>
  </si>
  <si>
    <t>KWCB3Y</t>
  </si>
  <si>
    <t>KWCD3M</t>
  </si>
  <si>
    <t>KWCD6M</t>
  </si>
  <si>
    <t>KWCDC</t>
  </si>
  <si>
    <t>KWCNNH5</t>
  </si>
  <si>
    <t>KWNDF3</t>
  </si>
  <si>
    <t>KWNDF5</t>
  </si>
  <si>
    <t>LAMA1MTH</t>
  </si>
  <si>
    <t>LAMA6MTH</t>
  </si>
  <si>
    <t>LBDP1Y</t>
  </si>
  <si>
    <t>LIBID</t>
  </si>
  <si>
    <t>LIBID 1MO</t>
  </si>
  <si>
    <t>LIBID 1YR</t>
  </si>
  <si>
    <t>LIBID 3MO</t>
  </si>
  <si>
    <t>LIBID 6MO</t>
  </si>
  <si>
    <t>LIBID BIMTH</t>
  </si>
  <si>
    <t>LIBID DLY</t>
  </si>
  <si>
    <t>LIBID WKLY</t>
  </si>
  <si>
    <t>LIBID n/a</t>
  </si>
  <si>
    <t>LIBOR</t>
  </si>
  <si>
    <t>LIBOR 11MO</t>
  </si>
  <si>
    <t>LIBOR 1MO</t>
  </si>
  <si>
    <t>LIBOR 1YR</t>
  </si>
  <si>
    <t>LIBOR 3MO</t>
  </si>
  <si>
    <t>LIBOR 6MO</t>
  </si>
  <si>
    <t>LIBOR BIMTH</t>
  </si>
  <si>
    <t>LIBOR DLY</t>
  </si>
  <si>
    <t>LIBOR LIMEAN</t>
  </si>
  <si>
    <t>LIBOR WKLY</t>
  </si>
  <si>
    <t>LIBOR s.f,v</t>
  </si>
  <si>
    <t>LIBOR04M</t>
  </si>
  <si>
    <t>LIBOR10M</t>
  </si>
  <si>
    <t>LIEBB03M</t>
  </si>
  <si>
    <t>LIEBB04M</t>
  </si>
  <si>
    <t>LIMEAN</t>
  </si>
  <si>
    <t>EU0005M</t>
  </si>
  <si>
    <t>EU0006M</t>
  </si>
  <si>
    <t>EU0007M</t>
  </si>
  <si>
    <t>EU0008M</t>
  </si>
  <si>
    <t>EU0009M</t>
  </si>
  <si>
    <t>EU0010M</t>
  </si>
  <si>
    <t>EU0011M</t>
  </si>
  <si>
    <t>EU0012M</t>
  </si>
  <si>
    <t>EUCV01M</t>
  </si>
  <si>
    <t>EUCV02M</t>
  </si>
  <si>
    <t>EUCV03M</t>
  </si>
  <si>
    <t>EUCV04M</t>
  </si>
  <si>
    <t>EUCV05M</t>
  </si>
  <si>
    <t>EUCV06M</t>
  </si>
  <si>
    <t>EUCV12M</t>
  </si>
  <si>
    <t>EUR001M</t>
  </si>
  <si>
    <t>EUR001W</t>
  </si>
  <si>
    <t>EUR002M</t>
  </si>
  <si>
    <t>EUR003M</t>
  </si>
  <si>
    <t>EUR004M</t>
  </si>
  <si>
    <t>EUR005M</t>
  </si>
  <si>
    <t>EUR006M</t>
  </si>
  <si>
    <t>EUR007M</t>
  </si>
  <si>
    <t>EUR008M</t>
  </si>
  <si>
    <t>EUR009M</t>
  </si>
  <si>
    <t>EUR010M</t>
  </si>
  <si>
    <t>EUR011M</t>
  </si>
  <si>
    <t>EUR012M</t>
  </si>
  <si>
    <t>EUSA1</t>
  </si>
  <si>
    <t>EUSA10</t>
  </si>
  <si>
    <t>EUSA12</t>
  </si>
  <si>
    <t>EUSA15</t>
  </si>
  <si>
    <t>EUSA2</t>
  </si>
  <si>
    <t>EUSA20</t>
  </si>
  <si>
    <t>EUSA3</t>
  </si>
  <si>
    <t>EUSA30</t>
  </si>
  <si>
    <t>EUSA5</t>
  </si>
  <si>
    <t>EUSA50</t>
  </si>
  <si>
    <t>EUSA6</t>
  </si>
  <si>
    <t>EUSA7</t>
  </si>
  <si>
    <t>EUSA8</t>
  </si>
  <si>
    <t>EUYN03M</t>
  </si>
  <si>
    <t>FBDP1Y</t>
  </si>
  <si>
    <t>FBSA2Y</t>
  </si>
  <si>
    <t>FCPR1MO</t>
  </si>
  <si>
    <t>FCPR1YR</t>
  </si>
  <si>
    <t>FCPR3MO</t>
  </si>
  <si>
    <t>FCPR6MO</t>
  </si>
  <si>
    <t>FCPRBIMTH</t>
  </si>
  <si>
    <t>FCPRDLY</t>
  </si>
  <si>
    <t>FDFD</t>
  </si>
  <si>
    <t>FEDFOPEN</t>
  </si>
  <si>
    <t>FEDL01</t>
  </si>
  <si>
    <t>FEDSOPEN</t>
  </si>
  <si>
    <t>FEDSPREB</t>
  </si>
  <si>
    <t>FHLA05YR</t>
  </si>
  <si>
    <t>FHLB4YAd</t>
  </si>
  <si>
    <t>FHLB5YAd</t>
  </si>
  <si>
    <t>FHLBBCOF</t>
  </si>
  <si>
    <t>FIBOR</t>
  </si>
  <si>
    <t>FIBOR 1MO</t>
  </si>
  <si>
    <t>FIBOR 1YR</t>
  </si>
  <si>
    <t>FIBOR 3MO</t>
  </si>
  <si>
    <t>FIBOR 6MO</t>
  </si>
  <si>
    <t>FIBOR BIMTH</t>
  </si>
  <si>
    <t>FIBOR DLY</t>
  </si>
  <si>
    <t>FIBOR WKLY</t>
  </si>
  <si>
    <t>FIBOR n/a</t>
  </si>
  <si>
    <t>FNCR3060</t>
  </si>
  <si>
    <t>FR0001M</t>
  </si>
  <si>
    <t>FR0002M</t>
  </si>
  <si>
    <t>FR0003M</t>
  </si>
  <si>
    <t>FR0004M</t>
  </si>
  <si>
    <t>FR0005M</t>
  </si>
  <si>
    <t>FR0006M</t>
  </si>
  <si>
    <t>FR0007M</t>
  </si>
  <si>
    <t>FR0008M</t>
  </si>
  <si>
    <t>FR0009M</t>
  </si>
  <si>
    <t>FR0010M</t>
  </si>
  <si>
    <t>PE0006M</t>
  </si>
  <si>
    <t>PE0007M</t>
  </si>
  <si>
    <t>PE0008M</t>
  </si>
  <si>
    <t>PE0009M</t>
  </si>
  <si>
    <t>PE0010M</t>
  </si>
  <si>
    <t>PE0011M</t>
  </si>
  <si>
    <t>PE0012M</t>
  </si>
  <si>
    <t>PHFL</t>
  </si>
  <si>
    <t>PIBOFF1M</t>
  </si>
  <si>
    <t>PIBOFF1Y</t>
  </si>
  <si>
    <t>PIBOFF3M</t>
  </si>
  <si>
    <t>PIBOFF6M</t>
  </si>
  <si>
    <t>PIBOR</t>
  </si>
  <si>
    <t>PIBOR 1MO</t>
  </si>
  <si>
    <t>PIBOR 1YR</t>
  </si>
  <si>
    <t>PIBOR 3MO</t>
  </si>
  <si>
    <t>PIBOR 6MO</t>
  </si>
  <si>
    <t>PIBOR BIMTH</t>
  </si>
  <si>
    <t>PIBOR DLY</t>
  </si>
  <si>
    <t>PIBOR WKLY</t>
  </si>
  <si>
    <t>PIBOR n/a</t>
  </si>
  <si>
    <t>PKDP6M</t>
  </si>
  <si>
    <t>PMMT3MO</t>
  </si>
  <si>
    <t>PNMR</t>
  </si>
  <si>
    <t>PPTB182D</t>
  </si>
  <si>
    <t>CANPRM WKLY</t>
  </si>
  <si>
    <t>ARDRUSD</t>
  </si>
  <si>
    <t>ASBIAY1M</t>
  </si>
  <si>
    <t>BDDRC</t>
  </si>
  <si>
    <t>BPISDB10</t>
  </si>
  <si>
    <t>BUBIRATE</t>
  </si>
  <si>
    <t>BZDIOVRA</t>
  </si>
  <si>
    <t>BZPIINPC</t>
  </si>
  <si>
    <t>CKSWF</t>
  </si>
  <si>
    <t>CPTW180D</t>
  </si>
  <si>
    <t>ECTRPAS</t>
  </si>
  <si>
    <t>EIISDA01</t>
  </si>
  <si>
    <t>EIISDA02</t>
  </si>
  <si>
    <t>EIISDA03</t>
  </si>
  <si>
    <t>EIISDA04</t>
  </si>
  <si>
    <t>EIISDA05</t>
  </si>
  <si>
    <t>EIISDA06</t>
  </si>
  <si>
    <t>EIISDA07</t>
  </si>
  <si>
    <t>EIISDA09</t>
  </si>
  <si>
    <t>EIISDA10</t>
  </si>
  <si>
    <t>EIISDA20</t>
  </si>
  <si>
    <t>EIISDA30</t>
  </si>
  <si>
    <t>EIISDB03</t>
  </si>
  <si>
    <t>EIISDB05</t>
  </si>
  <si>
    <t>EIISDB10</t>
  </si>
  <si>
    <t>ELISDA10</t>
  </si>
  <si>
    <t>EUSA25</t>
  </si>
  <si>
    <t>EUYN06M</t>
  </si>
  <si>
    <t>FCPR</t>
  </si>
  <si>
    <t>GUKG4</t>
  </si>
  <si>
    <t>JIBA1M</t>
  </si>
  <si>
    <t>JYISDA09</t>
  </si>
  <si>
    <t>JYISDA20</t>
  </si>
  <si>
    <t>JYISDP20</t>
  </si>
  <si>
    <t>KACPYOY</t>
  </si>
  <si>
    <t>MOSKP3</t>
  </si>
  <si>
    <t>NFIX3FRA</t>
  </si>
  <si>
    <t>NFIX5FRA</t>
  </si>
  <si>
    <t>PAK 6MO</t>
  </si>
  <si>
    <t>PKDP3M</t>
  </si>
  <si>
    <t>PKVB5Y</t>
  </si>
  <si>
    <t>PWTB52AA</t>
  </si>
  <si>
    <t>PWTB52MA</t>
  </si>
  <si>
    <t>RIGI3M</t>
  </si>
  <si>
    <t>SAIB6M</t>
  </si>
  <si>
    <t>SDSW2</t>
  </si>
  <si>
    <t>SEDA6MRE</t>
  </si>
  <si>
    <t>SFISDA05</t>
  </si>
  <si>
    <t>SFISDA06</t>
  </si>
  <si>
    <t>SFISDA10</t>
  </si>
  <si>
    <t>SHIF1Y</t>
  </si>
  <si>
    <t>SKCPMYOY</t>
  </si>
  <si>
    <t>SLTN1YYD</t>
  </si>
  <si>
    <t>SLTN6MYD</t>
  </si>
  <si>
    <t>TAVG3MD4</t>
  </si>
  <si>
    <t>TWPOFS1Y</t>
  </si>
  <si>
    <t>USISDA05</t>
  </si>
  <si>
    <t>USISDA10</t>
  </si>
  <si>
    <t>USISSA05</t>
  </si>
  <si>
    <t>VLET91MD</t>
  </si>
  <si>
    <t>VNBOAGRI</t>
  </si>
  <si>
    <t>VSR11001</t>
  </si>
  <si>
    <t>VSR11003</t>
  </si>
  <si>
    <t>VSR12844</t>
  </si>
  <si>
    <t>H15I5Y</t>
  </si>
  <si>
    <t>LIBR</t>
  </si>
  <si>
    <t>OTHR</t>
  </si>
  <si>
    <t>PRME</t>
  </si>
  <si>
    <t>PRIME</t>
  </si>
  <si>
    <t>SMSW</t>
  </si>
  <si>
    <t>TRSY</t>
  </si>
  <si>
    <t>EURI</t>
  </si>
  <si>
    <t>RREFRATE</t>
  </si>
  <si>
    <t>RUFR1W</t>
  </si>
  <si>
    <t>CMT</t>
  </si>
  <si>
    <t>CPI</t>
  </si>
  <si>
    <t>INFL</t>
  </si>
  <si>
    <t>SPHM</t>
  </si>
  <si>
    <t>USFF</t>
  </si>
  <si>
    <t>USSW</t>
  </si>
  <si>
    <t>MOSKON</t>
  </si>
  <si>
    <t>MOSK1W</t>
  </si>
  <si>
    <t>MOSK2W</t>
  </si>
  <si>
    <t>MOSKP1</t>
  </si>
  <si>
    <t>MOSKP2</t>
  </si>
  <si>
    <t>MOSKP6</t>
  </si>
  <si>
    <t>ADSWAP5</t>
  </si>
  <si>
    <t>ALAT12AV</t>
  </si>
  <si>
    <t>ASCIAY3M</t>
  </si>
  <si>
    <t>BOFX3M</t>
  </si>
  <si>
    <t>BOTC91AY</t>
  </si>
  <si>
    <t>BPISDB15</t>
  </si>
  <si>
    <t>BPSW5</t>
  </si>
  <si>
    <t>BREFRATE</t>
  </si>
  <si>
    <t>BUBOR01Y</t>
  </si>
  <si>
    <t>BUBR12M</t>
  </si>
  <si>
    <t>CBRCVS1Y</t>
  </si>
  <si>
    <t>CBRCVS3Y</t>
  </si>
  <si>
    <t>CDSW2</t>
  </si>
  <si>
    <t>CDSW5</t>
  </si>
  <si>
    <t>CKSW1</t>
  </si>
  <si>
    <t>CKSW10</t>
  </si>
  <si>
    <t>CKSW3</t>
  </si>
  <si>
    <t>CKSW4</t>
  </si>
  <si>
    <t>CKSW5</t>
  </si>
  <si>
    <t>CKSWC</t>
  </si>
  <si>
    <t>COOVIBR</t>
  </si>
  <si>
    <t>EBFSSW12</t>
  </si>
  <si>
    <t>EDRRPASI</t>
  </si>
  <si>
    <t>EGBRDISC</t>
  </si>
  <si>
    <t>EGTBY6</t>
  </si>
  <si>
    <t>EIISDA08</t>
  </si>
  <si>
    <t>EIISDA15</t>
  </si>
  <si>
    <t>EIISDA25</t>
  </si>
  <si>
    <t>EIISDB04</t>
  </si>
  <si>
    <t>EIISDB06</t>
  </si>
  <si>
    <t>EIISDB20</t>
  </si>
  <si>
    <t>ELISDA05</t>
  </si>
  <si>
    <t>ELISDA07</t>
  </si>
  <si>
    <t>ELISDA30</t>
  </si>
  <si>
    <t>ELISDB10</t>
  </si>
  <si>
    <t>EUCV01W</t>
  </si>
  <si>
    <t>EUSA4</t>
  </si>
  <si>
    <t>GCAN3M</t>
  </si>
  <si>
    <t>GCAN5YR</t>
  </si>
  <si>
    <t>GINB182A</t>
  </si>
  <si>
    <t>GSPG5YR</t>
  </si>
  <si>
    <t>GUKG1</t>
  </si>
  <si>
    <t>GUKG10</t>
  </si>
  <si>
    <t>HBTB03YA</t>
  </si>
  <si>
    <t>HICNH3M</t>
  </si>
  <si>
    <t>HKCPIY</t>
  </si>
  <si>
    <t>IECM2Y</t>
  </si>
  <si>
    <t>JMTB3MDI</t>
  </si>
  <si>
    <t>JYSW5</t>
  </si>
  <si>
    <t>KIBODISC</t>
  </si>
  <si>
    <t>KSDANH5Y</t>
  </si>
  <si>
    <t>KTBT6MD</t>
  </si>
  <si>
    <t>MAKA5DAY</t>
  </si>
  <si>
    <t>MKTB6MNY</t>
  </si>
  <si>
    <t>NDSWAP1</t>
  </si>
  <si>
    <t>NDSWAP3</t>
  </si>
  <si>
    <t>NDSWAP5</t>
  </si>
  <si>
    <t>NFIX3BID</t>
  </si>
  <si>
    <t>PCRR360D</t>
  </si>
  <si>
    <t>PDAT52AA</t>
  </si>
  <si>
    <t>PDSF10YR</t>
  </si>
  <si>
    <t>PDSF6MO</t>
  </si>
  <si>
    <t>PRIO1M</t>
  </si>
  <si>
    <t>RRSOC</t>
  </si>
  <si>
    <t>RUCPIYOY</t>
  </si>
  <si>
    <t>RUMN1Y</t>
  </si>
  <si>
    <t>SEKEPOL</t>
  </si>
  <si>
    <t>SHBA1Y20</t>
  </si>
  <si>
    <t>SHBA1Y5</t>
  </si>
  <si>
    <t>SHBA3M10</t>
  </si>
  <si>
    <t>SHBA3M5</t>
  </si>
  <si>
    <t>SHIF6M</t>
  </si>
  <si>
    <t>SHIF9M</t>
  </si>
  <si>
    <t>SISG6MO</t>
  </si>
  <si>
    <t>SISW10Y</t>
  </si>
  <si>
    <t>SISW3Y</t>
  </si>
  <si>
    <t>GNTH10YR</t>
  </si>
  <si>
    <t>SISW5Y</t>
  </si>
  <si>
    <t>SK0003M</t>
  </si>
  <si>
    <t>SOBR1M</t>
  </si>
  <si>
    <t>SONIO/N</t>
  </si>
  <si>
    <t>SVBITOMY</t>
  </si>
  <si>
    <t>TBBC3M</t>
  </si>
  <si>
    <t>TI0001W</t>
  </si>
  <si>
    <t>TI0006M</t>
  </si>
  <si>
    <t>TURZD182</t>
  </si>
  <si>
    <t>TURZW182</t>
  </si>
  <si>
    <t>TURZW91</t>
  </si>
  <si>
    <t>US0305M</t>
  </si>
  <si>
    <t>USISDA02</t>
  </si>
  <si>
    <t>USISDA04</t>
  </si>
  <si>
    <t>USISDA07</t>
  </si>
  <si>
    <t>USISDA08</t>
  </si>
  <si>
    <t>USISDA30</t>
  </si>
  <si>
    <t>USISSA10</t>
  </si>
  <si>
    <t>USSW30</t>
  </si>
  <si>
    <t>USSW6</t>
  </si>
  <si>
    <t>USSW7</t>
  </si>
  <si>
    <t>VDDR1</t>
  </si>
  <si>
    <t>USBMMY3M</t>
  </si>
  <si>
    <t>PPTB364D</t>
  </si>
  <si>
    <t>PPTB91D</t>
  </si>
  <si>
    <t>PRCPI</t>
  </si>
  <si>
    <t>PRIB01M</t>
  </si>
  <si>
    <t>PRIB01W</t>
  </si>
  <si>
    <t>PRIB01Y</t>
  </si>
  <si>
    <t>PRIB02M</t>
  </si>
  <si>
    <t>PRIB02W</t>
  </si>
  <si>
    <t>PRIB03M</t>
  </si>
  <si>
    <t>PRIB06M</t>
  </si>
  <si>
    <t>PRIB09M</t>
  </si>
  <si>
    <t>PRIBOVN</t>
  </si>
  <si>
    <t>PRIME 1MO</t>
  </si>
  <si>
    <t>PRIME 1YR</t>
  </si>
  <si>
    <t>PRIME 3MO</t>
  </si>
  <si>
    <t>PRIME 6MO</t>
  </si>
  <si>
    <t>PRIME BIMTH</t>
  </si>
  <si>
    <t>PRIME DLY</t>
  </si>
  <si>
    <t>PRIME WKLY</t>
  </si>
  <si>
    <t>PRIME n/a</t>
  </si>
  <si>
    <t>PRIMHK</t>
  </si>
  <si>
    <t>PWLB1MAT</t>
  </si>
  <si>
    <t>PZSW5</t>
  </si>
  <si>
    <t>PrevOccH</t>
  </si>
  <si>
    <t>REO 7</t>
  </si>
  <si>
    <t>REXY10Y</t>
  </si>
  <si>
    <t>RIBORM1M</t>
  </si>
  <si>
    <t>RIBORM1W</t>
  </si>
  <si>
    <t>RIBORM2M</t>
  </si>
  <si>
    <t>H15T30Y</t>
  </si>
  <si>
    <t>H15T3Y</t>
  </si>
  <si>
    <t>H15T5Y</t>
  </si>
  <si>
    <t>H15T7Y</t>
  </si>
  <si>
    <t>H15TCOMP</t>
  </si>
  <si>
    <t>HEBR12MO</t>
  </si>
  <si>
    <t>HEBR1MO</t>
  </si>
  <si>
    <t>HEBR2MO</t>
  </si>
  <si>
    <t>HEBR3MO</t>
  </si>
  <si>
    <t>HEBR6MO</t>
  </si>
  <si>
    <t>HEBR9MO</t>
  </si>
  <si>
    <t>HIBR03M</t>
  </si>
  <si>
    <t>HIHD01M</t>
  </si>
  <si>
    <t>HIHD01W</t>
  </si>
  <si>
    <t>HIHD02M</t>
  </si>
  <si>
    <t>HIHD03M</t>
  </si>
  <si>
    <t>HIHD04M</t>
  </si>
  <si>
    <t>HIHD06M</t>
  </si>
  <si>
    <t>HIHD09M</t>
  </si>
  <si>
    <t>HIHD12M</t>
  </si>
  <si>
    <t>HIHDO/N</t>
  </si>
  <si>
    <t>HKIRCOMP</t>
  </si>
  <si>
    <t>IBOV</t>
  </si>
  <si>
    <t>IECPIYOY</t>
  </si>
  <si>
    <t>IL0001M</t>
  </si>
  <si>
    <t>IL0002M</t>
  </si>
  <si>
    <t>IL0003M</t>
  </si>
  <si>
    <t>IL0004M</t>
  </si>
  <si>
    <t>IL0005M</t>
  </si>
  <si>
    <t>IL0006M</t>
  </si>
  <si>
    <t>IL0007M</t>
  </si>
  <si>
    <t>IL0008M</t>
  </si>
  <si>
    <t>IL0009M</t>
  </si>
  <si>
    <t>IL0010M</t>
  </si>
  <si>
    <t>IL0011M</t>
  </si>
  <si>
    <t>IL0012M</t>
  </si>
  <si>
    <t>ILRSGVTG</t>
  </si>
  <si>
    <t>IMIBOR</t>
  </si>
  <si>
    <t>INFLT</t>
  </si>
  <si>
    <t>ITCPIUNR</t>
  </si>
  <si>
    <t>ITCPNICY</t>
  </si>
  <si>
    <t>ITLBOT</t>
  </si>
  <si>
    <t>ITLBOT 1MO</t>
  </si>
  <si>
    <t>ITLBOT 1YR</t>
  </si>
  <si>
    <t>ITLBOT 3MO</t>
  </si>
  <si>
    <t>ITLBOT 6MO</t>
  </si>
  <si>
    <t>ITLBOT BIMTH</t>
  </si>
  <si>
    <t>ITLBOT DLY</t>
  </si>
  <si>
    <t>ITLBOT WKLY</t>
  </si>
  <si>
    <t>ITLBOT n/a</t>
  </si>
  <si>
    <t>JGBY10YR</t>
  </si>
  <si>
    <t>JIBA3M</t>
  </si>
  <si>
    <t>JIBA6M</t>
  </si>
  <si>
    <t>JIIN12M</t>
  </si>
  <si>
    <t>JIIN1M</t>
  </si>
  <si>
    <t>JIIN1W</t>
  </si>
  <si>
    <t>JIIN3M</t>
  </si>
  <si>
    <t>JIIN6M</t>
  </si>
  <si>
    <t>JIINON</t>
  </si>
  <si>
    <t>JMTB3MYL</t>
  </si>
  <si>
    <t>JMTB6MYL</t>
  </si>
  <si>
    <t>JNPRLONG</t>
  </si>
  <si>
    <t>JY0001M</t>
  </si>
  <si>
    <t>JY0002M</t>
  </si>
  <si>
    <t>JY0003M</t>
  </si>
  <si>
    <t>JY0004M</t>
  </si>
  <si>
    <t>JY0005M</t>
  </si>
  <si>
    <t>JY0006M</t>
  </si>
  <si>
    <t>JY0007M</t>
  </si>
  <si>
    <t>JY0008M</t>
  </si>
  <si>
    <t>DG0004M</t>
  </si>
  <si>
    <t>DG0005M</t>
  </si>
  <si>
    <t>DG0006M</t>
  </si>
  <si>
    <t>DG0007M</t>
  </si>
  <si>
    <t>DG0008M</t>
  </si>
  <si>
    <t>DG0009M</t>
  </si>
  <si>
    <t>DG0010M</t>
  </si>
  <si>
    <t>DG0011M</t>
  </si>
  <si>
    <t>DG0012M</t>
  </si>
  <si>
    <t>DIBO01M</t>
  </si>
  <si>
    <t>DIBO01W</t>
  </si>
  <si>
    <t>DIBO02M</t>
  </si>
  <si>
    <t>DIBO03M</t>
  </si>
  <si>
    <t>DIBO06M</t>
  </si>
  <si>
    <t>DIBO09M</t>
  </si>
  <si>
    <t>DIBO12M</t>
  </si>
  <si>
    <t>DLY N/A</t>
  </si>
  <si>
    <t>DM0001M</t>
  </si>
  <si>
    <t>DM0002M</t>
  </si>
  <si>
    <t>DM0003M</t>
  </si>
  <si>
    <t>DM0004M</t>
  </si>
  <si>
    <t>DM0005M</t>
  </si>
  <si>
    <t>DM0006M</t>
  </si>
  <si>
    <t>DM0007M</t>
  </si>
  <si>
    <t>DM0008M</t>
  </si>
  <si>
    <t>DM0009M</t>
  </si>
  <si>
    <t>DM0010M</t>
  </si>
  <si>
    <t>DM0011M</t>
  </si>
  <si>
    <t>DM0012M</t>
  </si>
  <si>
    <t>DNCPIYOY</t>
  </si>
  <si>
    <t>DTF RATE</t>
  </si>
  <si>
    <t>ECCPEMUY</t>
  </si>
  <si>
    <t>EDDR06M</t>
  </si>
  <si>
    <t>EE-BID</t>
  </si>
  <si>
    <t>EE0001M</t>
  </si>
  <si>
    <t>EE0001W</t>
  </si>
  <si>
    <t>EE0002M</t>
  </si>
  <si>
    <t>EE0003M</t>
  </si>
  <si>
    <t>EE0004M</t>
  </si>
  <si>
    <t>EE0005M</t>
  </si>
  <si>
    <t>EE0006M</t>
  </si>
  <si>
    <t>EE0007M</t>
  </si>
  <si>
    <t>EE0008M</t>
  </si>
  <si>
    <t>EE0009M</t>
  </si>
  <si>
    <t>EE0010M</t>
  </si>
  <si>
    <t>EE0011M</t>
  </si>
  <si>
    <t>EE0012M</t>
  </si>
  <si>
    <t>EIBO3M</t>
  </si>
  <si>
    <t>EIBO6M</t>
  </si>
  <si>
    <t>EONIA</t>
  </si>
  <si>
    <t>EONIA 14</t>
  </si>
  <si>
    <t>EONIA 7</t>
  </si>
  <si>
    <t>EU0001M</t>
  </si>
  <si>
    <t>EU0002M</t>
  </si>
  <si>
    <t>EU0003M</t>
  </si>
  <si>
    <t>EU0004M</t>
  </si>
  <si>
    <t>1MO N/A</t>
  </si>
  <si>
    <t>1Y TBill</t>
  </si>
  <si>
    <t>1YR</t>
  </si>
  <si>
    <t>1YR N/A</t>
  </si>
  <si>
    <t>28-DayAu</t>
  </si>
  <si>
    <t>35-DayAu</t>
  </si>
  <si>
    <t>3MO</t>
  </si>
  <si>
    <t>3MO N/A</t>
  </si>
  <si>
    <t>6MO</t>
  </si>
  <si>
    <t>6MO N/A</t>
  </si>
  <si>
    <t>7DAYAUC</t>
  </si>
  <si>
    <t>ACPA030Y</t>
  </si>
  <si>
    <t>AFMSW10S</t>
  </si>
  <si>
    <t>AFMSW1Q</t>
  </si>
  <si>
    <t>AFMSW2Q</t>
  </si>
  <si>
    <t>AFMSW3Q</t>
  </si>
  <si>
    <t>AFMSW4Q</t>
  </si>
  <si>
    <t>AFMSW4S</t>
  </si>
  <si>
    <t>AFMSW5Q</t>
  </si>
  <si>
    <t>AFMSW5S</t>
  </si>
  <si>
    <t>AFMSW7S</t>
  </si>
  <si>
    <t>AIBO12M</t>
  </si>
  <si>
    <t>AIBO1M</t>
  </si>
  <si>
    <t>AIBO2M</t>
  </si>
  <si>
    <t>AIBO3M</t>
  </si>
  <si>
    <t>AIBO6M</t>
  </si>
  <si>
    <t>ARAVBTAV</t>
  </si>
  <si>
    <t>ARCPI</t>
  </si>
  <si>
    <t>ARCRR</t>
  </si>
  <si>
    <t>ARCRRATE</t>
  </si>
  <si>
    <t>ARDRPESO</t>
  </si>
  <si>
    <t>ATD6BHIV</t>
  </si>
  <si>
    <t>ATD6ULTR</t>
  </si>
  <si>
    <t>ATHI1M</t>
  </si>
  <si>
    <t>ATHI1YR</t>
  </si>
  <si>
    <t>ATHI2M</t>
  </si>
  <si>
    <t>ATHI3M</t>
  </si>
  <si>
    <t>ATHI6M</t>
  </si>
  <si>
    <t>ATHI9M</t>
  </si>
  <si>
    <t>AU0001M</t>
  </si>
  <si>
    <t>AU0002M</t>
  </si>
  <si>
    <t>AU0003M</t>
  </si>
  <si>
    <t>AU0004M</t>
  </si>
  <si>
    <t>AU0005M</t>
  </si>
  <si>
    <t>AU0006M</t>
  </si>
  <si>
    <t>AU0007M</t>
  </si>
  <si>
    <t>AU0008M</t>
  </si>
  <si>
    <t>AU0009M</t>
  </si>
  <si>
    <t>AU0010M</t>
  </si>
  <si>
    <t>AU0011M</t>
  </si>
  <si>
    <t>AU0012M</t>
  </si>
  <si>
    <t>AvgAct6m</t>
  </si>
  <si>
    <t>BADLARPP</t>
  </si>
  <si>
    <t>BADLARUP</t>
  </si>
  <si>
    <t>BAYT3MD</t>
  </si>
  <si>
    <t>BBBMML</t>
  </si>
  <si>
    <t>BBLT6MD</t>
  </si>
  <si>
    <t>BBOR1M</t>
  </si>
  <si>
    <t>12MTA</t>
  </si>
  <si>
    <t>1MO</t>
  </si>
  <si>
    <t>BBSW1M</t>
  </si>
  <si>
    <t>BBSW2M</t>
  </si>
  <si>
    <t>BBSW3M</t>
  </si>
  <si>
    <t>BBSW4M</t>
  </si>
  <si>
    <t>BBSW5M</t>
  </si>
  <si>
    <t>BBSW6M</t>
  </si>
  <si>
    <t>BIBOR12M</t>
  </si>
  <si>
    <t>BIBOR1M</t>
  </si>
  <si>
    <t>BIBOR2M</t>
  </si>
  <si>
    <t>BIBOR3M</t>
  </si>
  <si>
    <t>BIBOR6M</t>
  </si>
  <si>
    <t>BIMTH</t>
  </si>
  <si>
    <t>BIMTH N/A</t>
  </si>
  <si>
    <t>BITB1M</t>
  </si>
  <si>
    <t>BITB1W</t>
  </si>
  <si>
    <t>BITB2M</t>
  </si>
  <si>
    <t>BITB3M</t>
  </si>
  <si>
    <t>BITB6M</t>
  </si>
  <si>
    <t>BITBCALL</t>
  </si>
  <si>
    <t>BITBON</t>
  </si>
  <si>
    <t>BOFX6M</t>
  </si>
  <si>
    <t>BOFX9M</t>
  </si>
  <si>
    <t>BP0001M</t>
  </si>
  <si>
    <t>BP0002M</t>
  </si>
  <si>
    <t>BP0003M</t>
  </si>
  <si>
    <t>BP0004M</t>
  </si>
  <si>
    <t>BP0005M</t>
  </si>
  <si>
    <t>BP0006M</t>
  </si>
  <si>
    <t>BP0007M</t>
  </si>
  <si>
    <t>BP0008M</t>
  </si>
  <si>
    <t>BP0009M</t>
  </si>
  <si>
    <t>BP0010M</t>
  </si>
  <si>
    <t>BP0011M</t>
  </si>
  <si>
    <t>BP0012M</t>
  </si>
  <si>
    <t>BPRIMF</t>
  </si>
  <si>
    <t>BPSW10</t>
  </si>
  <si>
    <t>BPSW15</t>
  </si>
  <si>
    <t>BPSW30</t>
  </si>
  <si>
    <t>BRHV1Y</t>
  </si>
  <si>
    <t>BRHV3M</t>
  </si>
  <si>
    <t>BRHV6M</t>
  </si>
  <si>
    <t>BRIB1Y</t>
  </si>
  <si>
    <t>BRIB3M</t>
  </si>
  <si>
    <t>BRIB6M</t>
  </si>
  <si>
    <t>BUBOR01M</t>
  </si>
  <si>
    <t>BUBOR03M</t>
  </si>
  <si>
    <t>BUBOR06M</t>
  </si>
  <si>
    <t>BUBR3M</t>
  </si>
  <si>
    <t>BUBR6M</t>
  </si>
  <si>
    <t>BZDIOVER</t>
  </si>
  <si>
    <t>BZPIFIPE</t>
  </si>
  <si>
    <t>BZPIIGP</t>
  </si>
  <si>
    <t>BZSELICA</t>
  </si>
  <si>
    <t>BZSELICD</t>
  </si>
  <si>
    <t>BZTRTRD</t>
  </si>
  <si>
    <t>C1236M</t>
  </si>
  <si>
    <t>CABA1MO</t>
  </si>
  <si>
    <t>CABA3MO</t>
  </si>
  <si>
    <t>CANPRM</t>
  </si>
  <si>
    <t>CANPRM 1MO</t>
  </si>
  <si>
    <t>CANPRM 1YR</t>
  </si>
  <si>
    <t>CANPRM 3MO</t>
  </si>
  <si>
    <t>CANPRM 6MO</t>
  </si>
  <si>
    <t>CANPRM BIMTH</t>
  </si>
  <si>
    <t>CANPRM DLY</t>
  </si>
  <si>
    <t>ResetInformation.CurrentFormulaMultiplier</t>
  </si>
  <si>
    <t>ResetInformation.CurrentPeriodSpread</t>
  </si>
  <si>
    <t>ResetInformation.ResetCouponConvention</t>
  </si>
  <si>
    <t>MODN</t>
  </si>
  <si>
    <t>FOLA</t>
  </si>
  <si>
    <t>FOLU</t>
  </si>
  <si>
    <t>MODA</t>
  </si>
  <si>
    <t>MODU</t>
  </si>
  <si>
    <t>PREA</t>
  </si>
  <si>
    <t>PREU</t>
  </si>
  <si>
    <t>FixedIncome.IsStep</t>
  </si>
  <si>
    <t>RedemptionPut.MinimumPutDaysNotice</t>
  </si>
  <si>
    <t>RedemptionCall.MinimumCallDaysNotice</t>
  </si>
  <si>
    <t>RedemptionCall.IsCallDiscrete</t>
  </si>
  <si>
    <t>RedemptionPut.IsPutDiscrete</t>
  </si>
  <si>
    <t xml:space="preserve">RedemptionCall.BusinessDaysIndicator </t>
  </si>
  <si>
    <t>ExType</t>
  </si>
  <si>
    <t>IsPutDiscrete</t>
  </si>
  <si>
    <t>IsCallDiscrete</t>
  </si>
  <si>
    <t>ACTION</t>
  </si>
  <si>
    <t>SMCP</t>
  </si>
  <si>
    <t>Attribute 1</t>
  </si>
  <si>
    <t>Value 1</t>
  </si>
  <si>
    <t>Attribute 2</t>
  </si>
  <si>
    <t>Value 2</t>
  </si>
  <si>
    <t>Redemption.IsSinkable</t>
  </si>
  <si>
    <t>Redemption.CurrentMaturityDate</t>
  </si>
  <si>
    <t>Redemption.PrincipalAmountIssued</t>
  </si>
  <si>
    <t>Redemption.PrincipalAmountOutstanding</t>
  </si>
  <si>
    <t>Settlement.StaticDaysToSettle</t>
  </si>
  <si>
    <t>RatingAgencyName.Rating</t>
  </si>
  <si>
    <t>RatingAgencyName</t>
  </si>
  <si>
    <t>RatingSource</t>
  </si>
  <si>
    <t>RatingType</t>
  </si>
  <si>
    <t>RatingValue</t>
  </si>
  <si>
    <t>YB</t>
  </si>
  <si>
    <t>Yield Broker AU</t>
  </si>
  <si>
    <t>PRKT</t>
  </si>
  <si>
    <t>Poland-"Parkiet" newspaper</t>
  </si>
  <si>
    <t>Volcker Aggregator (VA)</t>
  </si>
  <si>
    <t>OMM</t>
  </si>
  <si>
    <t>Option Market Maker</t>
  </si>
  <si>
    <t>GDS</t>
  </si>
  <si>
    <t>Goldman Sach</t>
  </si>
  <si>
    <t>FDSS</t>
  </si>
  <si>
    <t>Fidessa Group PLC</t>
  </si>
  <si>
    <t>Citi Muni Short Term Systems</t>
  </si>
  <si>
    <t>BNYM</t>
  </si>
  <si>
    <t>BANK OF NEW YORK MELLON</t>
  </si>
  <si>
    <t>SYND</t>
  </si>
  <si>
    <t>Citi Muni Syndicate System</t>
  </si>
  <si>
    <t>RI</t>
  </si>
  <si>
    <t>Rating &amp; Investment Information</t>
  </si>
  <si>
    <t>JCR</t>
  </si>
  <si>
    <t>Japan Credit Rating Information</t>
  </si>
  <si>
    <t>CLST</t>
  </si>
  <si>
    <t>Clearstream</t>
  </si>
  <si>
    <t>CCC</t>
  </si>
  <si>
    <t>CCC- Citi Community Capital</t>
  </si>
  <si>
    <t>SOLA</t>
  </si>
  <si>
    <t>Delta One Solutions</t>
  </si>
  <si>
    <t>KIJN</t>
  </si>
  <si>
    <t>Kijun</t>
  </si>
  <si>
    <t>SYS</t>
  </si>
  <si>
    <t>SMC System Update</t>
  </si>
  <si>
    <t>MORT</t>
  </si>
  <si>
    <t>Mortprod (Citi Internal System)</t>
  </si>
  <si>
    <t>IMS</t>
  </si>
  <si>
    <t>Smith Barney internal CITI feed</t>
  </si>
  <si>
    <t>FOW</t>
  </si>
  <si>
    <t>FOW Trade Data</t>
  </si>
  <si>
    <t>BLOOMBERG LLC</t>
  </si>
  <si>
    <t>CHI-X Trading System</t>
  </si>
  <si>
    <t>DTC</t>
  </si>
  <si>
    <t>Depository Trust &amp; Clearing Corporation</t>
  </si>
  <si>
    <t>EMBS</t>
  </si>
  <si>
    <t>eMBS Inc</t>
  </si>
  <si>
    <t>EUX</t>
  </si>
  <si>
    <t>Eurex</t>
  </si>
  <si>
    <t>Files downloaded from Dif. Exchanges</t>
  </si>
  <si>
    <t>EXID</t>
  </si>
  <si>
    <t>EXID Feeds</t>
  </si>
  <si>
    <t>FAME</t>
  </si>
  <si>
    <t>GICS</t>
  </si>
  <si>
    <t>GICS Industry Codes</t>
  </si>
  <si>
    <t>IDC</t>
  </si>
  <si>
    <t>International Data Corporation</t>
  </si>
  <si>
    <t>INTX</t>
  </si>
  <si>
    <t>Intex Data Company</t>
  </si>
  <si>
    <t>ISID</t>
  </si>
  <si>
    <t>CITI</t>
  </si>
  <si>
    <t>CITI Group</t>
  </si>
  <si>
    <t>LID</t>
  </si>
  <si>
    <t>eBanker Loand ID</t>
  </si>
  <si>
    <t>ABSG</t>
  </si>
  <si>
    <t>ABSG - International Data Corp</t>
  </si>
  <si>
    <t>Automated Data Processing</t>
  </si>
  <si>
    <t>MARK</t>
  </si>
  <si>
    <t>Mark-it Partners</t>
  </si>
  <si>
    <t>MOOD</t>
  </si>
  <si>
    <t>Moody RDS Service</t>
  </si>
  <si>
    <t>NASD</t>
  </si>
  <si>
    <t>OCC</t>
  </si>
  <si>
    <t>The Options Clearing Copporation</t>
  </si>
  <si>
    <t>RTR</t>
  </si>
  <si>
    <t>REUTERS</t>
  </si>
  <si>
    <t>SCO</t>
  </si>
  <si>
    <t>Scotia Capital</t>
  </si>
  <si>
    <t>SIAC</t>
  </si>
  <si>
    <t>SP</t>
  </si>
  <si>
    <t>Standard and Poors</t>
  </si>
  <si>
    <t>SWAPS-MONITOR</t>
  </si>
  <si>
    <t>Thomson Financial</t>
  </si>
  <si>
    <t>TREP</t>
  </si>
  <si>
    <t>TREPP Data Company</t>
  </si>
  <si>
    <t>TS</t>
  </si>
  <si>
    <t>TradeStep</t>
  </si>
  <si>
    <t>UST</t>
  </si>
  <si>
    <t>Treasury Direct</t>
  </si>
  <si>
    <t>WOMB</t>
  </si>
  <si>
    <t>Wombat Exch Feeds</t>
  </si>
  <si>
    <t>XINH</t>
  </si>
  <si>
    <t>XINHUA FINANCE</t>
  </si>
  <si>
    <t>FTCH</t>
  </si>
  <si>
    <t>FITCH RDS Service</t>
  </si>
  <si>
    <t>SMC</t>
  </si>
  <si>
    <t>SMC Derived Values</t>
  </si>
  <si>
    <t>MSDI</t>
  </si>
  <si>
    <t>MSD Identifiers</t>
  </si>
  <si>
    <t>CDMS</t>
  </si>
  <si>
    <t>CDMS Data</t>
  </si>
  <si>
    <t>MKT</t>
  </si>
  <si>
    <t>Markit</t>
  </si>
  <si>
    <t>CME</t>
  </si>
  <si>
    <t>Chicago Mercantile Exchange</t>
  </si>
  <si>
    <t>ASX</t>
  </si>
  <si>
    <t>Australia Stock Exchange</t>
  </si>
  <si>
    <t>JJ</t>
  </si>
  <si>
    <t>S&amp;P JJ Kenny</t>
  </si>
  <si>
    <t>LP</t>
  </si>
  <si>
    <t>Lipper</t>
  </si>
  <si>
    <t>DBRS</t>
  </si>
  <si>
    <t>DBRS Data</t>
  </si>
  <si>
    <t>BPS</t>
  </si>
  <si>
    <t>Broadridge Processing System</t>
  </si>
  <si>
    <t>CBRE</t>
  </si>
  <si>
    <t>CABRE Data</t>
  </si>
  <si>
    <t>GMI</t>
  </si>
  <si>
    <t>Global Managed Investments</t>
  </si>
  <si>
    <t>PPN</t>
  </si>
  <si>
    <t>CITI PPN</t>
  </si>
  <si>
    <t>PIP</t>
  </si>
  <si>
    <t>PROVEEDOR INTEGRAL DE PRECIOS S.A. DE</t>
  </si>
  <si>
    <t>TQA</t>
  </si>
  <si>
    <t>TQA indicative data</t>
  </si>
  <si>
    <t>SUNG</t>
  </si>
  <si>
    <t>SUNGUARD GDS</t>
  </si>
  <si>
    <t>NK</t>
  </si>
  <si>
    <t>Nikkei</t>
  </si>
  <si>
    <t>XTRK</t>
  </si>
  <si>
    <t>XTRAKTER</t>
  </si>
  <si>
    <t>MAW</t>
  </si>
  <si>
    <t>MAW Coupon rates</t>
  </si>
  <si>
    <t>TWSE</t>
  </si>
  <si>
    <t>Taiwan Stock Exchange</t>
  </si>
  <si>
    <t>CPD</t>
  </si>
  <si>
    <t>CPDPPN</t>
  </si>
  <si>
    <t>EURO</t>
  </si>
  <si>
    <t>Euroclear Eligibility Data</t>
  </si>
  <si>
    <t>DDI</t>
  </si>
  <si>
    <t>DIRECT DEALER INPUT WARRNTS FEED</t>
  </si>
  <si>
    <t>MANU</t>
  </si>
  <si>
    <t>Internal manual update via SMC Editor</t>
  </si>
  <si>
    <t>HKE</t>
  </si>
  <si>
    <t>HongKong Exchange</t>
  </si>
  <si>
    <t>GSM</t>
  </si>
  <si>
    <t>Global Security Master</t>
  </si>
  <si>
    <t>LSE</t>
  </si>
  <si>
    <t>LSE Milliennium</t>
  </si>
  <si>
    <t>NSE</t>
  </si>
  <si>
    <t>SPD</t>
  </si>
  <si>
    <t>JAS</t>
  </si>
  <si>
    <t>JASDEC feed for JPY bonds</t>
  </si>
  <si>
    <t>KELR</t>
  </si>
  <si>
    <t>Hungary - KELER</t>
  </si>
  <si>
    <t>Prague Stock Exchange</t>
  </si>
  <si>
    <t>Bratislava Stock Exchange</t>
  </si>
  <si>
    <t>Bucharest Stock Exchange</t>
  </si>
  <si>
    <t>Moscow Exchange</t>
  </si>
  <si>
    <t>FMDA</t>
  </si>
  <si>
    <t>Nigeria - Financial Market Dealer Quotes</t>
  </si>
  <si>
    <t>Istanbul Stock Exchange</t>
  </si>
  <si>
    <t>Tel Aviv Stock Exchange</t>
  </si>
  <si>
    <t>BDSA</t>
  </si>
  <si>
    <t>South Africa - Business Day Live</t>
  </si>
  <si>
    <t>O3:P93</t>
  </si>
  <si>
    <t>FITCH</t>
  </si>
  <si>
    <t>Fitch Rating Agency</t>
  </si>
  <si>
    <t>MOODY</t>
  </si>
  <si>
    <t>Moody's Investor Services</t>
  </si>
  <si>
    <t>S&amp;P</t>
  </si>
  <si>
    <t>Standard and Poor's Rating Services</t>
  </si>
  <si>
    <t>R3:S5</t>
  </si>
  <si>
    <t>ISSUE_CP</t>
  </si>
  <si>
    <t>ISSUE_LONG_TERM</t>
  </si>
  <si>
    <t>ISSUE_SHORT_TERM</t>
  </si>
  <si>
    <t>RatingType Domain.Fitch</t>
  </si>
  <si>
    <t>CurrencyIndicator</t>
  </si>
  <si>
    <t>CurrencyIndicator.Rating</t>
  </si>
  <si>
    <t xml:space="preserve">RatingType Domain.MOODY </t>
  </si>
  <si>
    <t>RatingType Domain.S&amp;P</t>
  </si>
  <si>
    <t>X3:Y25</t>
  </si>
  <si>
    <t>AA3:AB17</t>
  </si>
  <si>
    <t>U3:V13</t>
  </si>
  <si>
    <t>any</t>
  </si>
  <si>
    <t>long</t>
  </si>
  <si>
    <t>short</t>
  </si>
  <si>
    <t>short2</t>
  </si>
  <si>
    <t>short3</t>
  </si>
  <si>
    <t>BBT</t>
  </si>
  <si>
    <t>TCK</t>
  </si>
  <si>
    <t>Attribute 3</t>
  </si>
  <si>
    <t>Value 3</t>
  </si>
  <si>
    <t>Attribute 4</t>
  </si>
  <si>
    <t>Value 4</t>
  </si>
  <si>
    <t>Attribute 5</t>
  </si>
  <si>
    <t>Value 5</t>
  </si>
  <si>
    <t>`</t>
  </si>
  <si>
    <t>Basket</t>
  </si>
  <si>
    <t>Commodity</t>
  </si>
  <si>
    <t>Corporate</t>
  </si>
  <si>
    <t>Currency</t>
  </si>
  <si>
    <t>Equity</t>
  </si>
  <si>
    <t>Forward</t>
  </si>
  <si>
    <t>Futures</t>
  </si>
  <si>
    <t>Government</t>
  </si>
  <si>
    <t>Index</t>
  </si>
  <si>
    <t>Loan</t>
  </si>
  <si>
    <t>Money</t>
  </si>
  <si>
    <t>Municipal</t>
  </si>
  <si>
    <t>Option</t>
  </si>
  <si>
    <t>Preferred</t>
  </si>
  <si>
    <t>Spread</t>
  </si>
  <si>
    <t>Warrant</t>
  </si>
  <si>
    <t>Mortgage Backed Security</t>
  </si>
  <si>
    <t>ResetInformation.ResetFreqCode</t>
  </si>
  <si>
    <t>IncomeInformation.CouponDividendType</t>
  </si>
  <si>
    <t>Settlement.FirstSettlementDate</t>
  </si>
  <si>
    <t>IncomeInformation.DatedDate</t>
  </si>
  <si>
    <r>
      <t>Description</t>
    </r>
    <r>
      <rPr>
        <sz val="11"/>
        <color rgb="FFFF0000"/>
        <rFont val="Calibri"/>
        <family val="2"/>
        <scheme val="minor"/>
      </rPr>
      <t>*</t>
    </r>
  </si>
  <si>
    <t>Price At Issuance</t>
  </si>
  <si>
    <r>
      <t>Coupon Dividend Rate</t>
    </r>
    <r>
      <rPr>
        <sz val="11"/>
        <color rgb="FFFF0000"/>
        <rFont val="Calibri"/>
        <family val="2"/>
        <scheme val="minor"/>
      </rPr>
      <t>*</t>
    </r>
  </si>
  <si>
    <r>
      <t>Coupon Dividend Frequency</t>
    </r>
    <r>
      <rPr>
        <sz val="11"/>
        <color rgb="FFFF0000"/>
        <rFont val="Calibri"/>
        <family val="2"/>
        <scheme val="minor"/>
      </rPr>
      <t>*</t>
    </r>
  </si>
  <si>
    <r>
      <t>Accrual Method</t>
    </r>
    <r>
      <rPr>
        <sz val="11"/>
        <color rgb="FFFF0000"/>
        <rFont val="Calibri"/>
        <family val="2"/>
        <scheme val="minor"/>
      </rPr>
      <t>*</t>
    </r>
  </si>
  <si>
    <r>
      <t>Coupon Dividend Type</t>
    </r>
    <r>
      <rPr>
        <sz val="11"/>
        <color rgb="FFFF0000"/>
        <rFont val="Calibri"/>
        <family val="2"/>
        <scheme val="minor"/>
      </rPr>
      <t>*</t>
    </r>
  </si>
  <si>
    <t>TemplateValuesInput</t>
  </si>
  <si>
    <t>CouponDividendType</t>
  </si>
  <si>
    <t>AE3:AF18</t>
  </si>
  <si>
    <t>=D4</t>
  </si>
  <si>
    <t>=D6</t>
  </si>
  <si>
    <t>=D8</t>
  </si>
  <si>
    <t>=D10</t>
  </si>
  <si>
    <t>=D12</t>
  </si>
  <si>
    <t>=D14</t>
  </si>
  <si>
    <t>=D16</t>
  </si>
  <si>
    <t>=D18</t>
  </si>
  <si>
    <t>=D20</t>
  </si>
  <si>
    <t>=D22</t>
  </si>
  <si>
    <t>=D24</t>
  </si>
  <si>
    <t>=D28</t>
  </si>
  <si>
    <t>=D32</t>
  </si>
  <si>
    <t>=D34</t>
  </si>
  <si>
    <t>=D36</t>
  </si>
  <si>
    <t>=D38</t>
  </si>
  <si>
    <t>=D40</t>
  </si>
  <si>
    <t>=D42</t>
  </si>
  <si>
    <t>=D44</t>
  </si>
  <si>
    <t>=D48</t>
  </si>
  <si>
    <t>=D52</t>
  </si>
  <si>
    <t>=D54</t>
  </si>
  <si>
    <t>=I4</t>
  </si>
  <si>
    <t>=D64</t>
  </si>
  <si>
    <t>=D66</t>
  </si>
  <si>
    <t>=D68</t>
  </si>
  <si>
    <t>=D70</t>
  </si>
  <si>
    <t>=D72</t>
  </si>
  <si>
    <t>=D74</t>
  </si>
  <si>
    <t>=D76</t>
  </si>
  <si>
    <t>=I14</t>
  </si>
  <si>
    <t>=I16</t>
  </si>
  <si>
    <t>=I18</t>
  </si>
  <si>
    <t>=I30</t>
  </si>
  <si>
    <t>=I34</t>
  </si>
  <si>
    <t>=IF(U55=TRUE,"NA","")</t>
  </si>
  <si>
    <t>=IF(U55=TRUE,"MANU","")</t>
  </si>
  <si>
    <t>=I40</t>
  </si>
  <si>
    <t>=I42</t>
  </si>
  <si>
    <t>=IF(U60=TRUE,"NA","")</t>
  </si>
  <si>
    <t>=IF(U60=TRUE,"MANU","")</t>
  </si>
  <si>
    <t>=I50</t>
  </si>
  <si>
    <t>=I52</t>
  </si>
  <si>
    <t>=I22</t>
  </si>
  <si>
    <t>=I24</t>
  </si>
  <si>
    <t>=I26</t>
  </si>
  <si>
    <t>=I28</t>
  </si>
  <si>
    <t>=I6</t>
  </si>
  <si>
    <t>TemplateField</t>
  </si>
  <si>
    <t>BBCalc Type Mnemonic</t>
  </si>
  <si>
    <t>Base CPI</t>
  </si>
  <si>
    <t>Reference Index</t>
  </si>
  <si>
    <t>Is Dual Currency</t>
  </si>
  <si>
    <t>Coupon Dividend Currency</t>
  </si>
  <si>
    <t>Float Days Prior (in days)</t>
  </si>
  <si>
    <t>Current Base Index</t>
  </si>
  <si>
    <t>Current Formula Multiplier</t>
  </si>
  <si>
    <t>Current Period Spread (BP)</t>
  </si>
  <si>
    <t>Reset Coupon Convention</t>
  </si>
  <si>
    <t>Reset Freq Code</t>
  </si>
  <si>
    <t>=D60</t>
  </si>
  <si>
    <t>one field from template is feeding to fields in bulk upkload</t>
  </si>
  <si>
    <t>Comments</t>
  </si>
  <si>
    <t>AH3:AI461</t>
  </si>
  <si>
    <t>ResetFreqCode</t>
  </si>
  <si>
    <t>new field</t>
  </si>
  <si>
    <t>Business Days Indicator</t>
  </si>
  <si>
    <t>Principal Amount Issued</t>
  </si>
  <si>
    <t>Principal Amount Outstanding</t>
  </si>
  <si>
    <t>Rating.CurrencyIndicator</t>
  </si>
  <si>
    <t>Rating.RatingSource</t>
  </si>
  <si>
    <t>Rating.RatingAgencyName</t>
  </si>
  <si>
    <t>Rating.RatingType</t>
  </si>
  <si>
    <t>Rating.RatingValue</t>
  </si>
  <si>
    <t>Xref.XrefCode</t>
  </si>
  <si>
    <t>CSP</t>
  </si>
  <si>
    <t>Xref.XrefValue</t>
  </si>
  <si>
    <t xml:space="preserve"> ISN</t>
  </si>
  <si>
    <t>=I64</t>
  </si>
  <si>
    <t>YES</t>
  </si>
  <si>
    <t>List</t>
  </si>
  <si>
    <t>=D62</t>
  </si>
  <si>
    <t>=D58</t>
  </si>
  <si>
    <t>=D50</t>
  </si>
  <si>
    <t>=D78</t>
  </si>
  <si>
    <t>=I10</t>
  </si>
  <si>
    <t>=I12</t>
  </si>
  <si>
    <t>=IF(AM39=TRUE,"NA","")</t>
  </si>
  <si>
    <t>=I38</t>
  </si>
  <si>
    <t>=IF(AM39="YES","MANU","")</t>
  </si>
  <si>
    <t>=I44</t>
  </si>
  <si>
    <r>
      <t>Is When Issued</t>
    </r>
    <r>
      <rPr>
        <sz val="11"/>
        <color rgb="FFFF0000"/>
        <rFont val="Calibri"/>
        <family val="2"/>
        <scheme val="minor"/>
      </rPr>
      <t>*</t>
    </r>
  </si>
  <si>
    <t>B3:C20</t>
  </si>
  <si>
    <r>
      <t>Issue Date (mm/dd/yyyy)</t>
    </r>
    <r>
      <rPr>
        <sz val="11"/>
        <color rgb="FFFF0000"/>
        <rFont val="Calibri"/>
        <family val="2"/>
        <scheme val="minor"/>
      </rPr>
      <t>*</t>
    </r>
  </si>
  <si>
    <r>
      <t>First Pay Date (mm/dd/yyyy)</t>
    </r>
    <r>
      <rPr>
        <sz val="11"/>
        <color rgb="FFFF0000"/>
        <rFont val="Calibri"/>
        <family val="2"/>
        <scheme val="minor"/>
      </rPr>
      <t>*</t>
    </r>
  </si>
  <si>
    <r>
      <t>Current Maturity Date(mm/dd/yyyy)</t>
    </r>
    <r>
      <rPr>
        <sz val="11"/>
        <color rgb="FFFF0000"/>
        <rFont val="Calibri"/>
        <family val="2"/>
        <scheme val="minor"/>
      </rPr>
      <t>*</t>
    </r>
  </si>
  <si>
    <t>DFLT - Security is in default</t>
  </si>
  <si>
    <t>EXCH - Security has been exchanged for another security</t>
  </si>
  <si>
    <t>FLAT - Security is trading without accrued interest</t>
  </si>
  <si>
    <t>FNGD - Security has been co-mingled with an existing security</t>
  </si>
  <si>
    <t>OID - Original issue discount; security is issued at a price less than par</t>
  </si>
  <si>
    <t>AUCT - Coupon is periodically reset via an auction.</t>
  </si>
  <si>
    <t>FIX - Coupon is fixed.</t>
  </si>
  <si>
    <t>FLT - Coupon is reset at specified intervals according to a pre-determined formula bas</t>
  </si>
  <si>
    <t>STEP - Coupon changes to predetermined levels on specific dates.</t>
  </si>
  <si>
    <t>UNK - Coupon type is unknown.</t>
  </si>
  <si>
    <t>VAR - Coupon rate structure can change between fixed rate and floating rate in accorda</t>
  </si>
  <si>
    <t>VARF - Security originally had a var. coupon, and has since been remarked as fixed rate</t>
  </si>
  <si>
    <t>WHEN - Security, although authorized, has not yet been issued.</t>
  </si>
  <si>
    <t>ZERF - Security has a zero coupon to a predetermined date, then converts to fixed rate.</t>
  </si>
  <si>
    <t>ZERO - The bond sold at a discount to its face value, makes no payments until maturity.</t>
  </si>
  <si>
    <t>PIK - Payment in Kind</t>
  </si>
  <si>
    <t>1111 - ONETIME ONLY</t>
  </si>
  <si>
    <t>0 - AT MATURITY</t>
  </si>
  <si>
    <t>1 - ANNUAL</t>
  </si>
  <si>
    <t>2 - SEMI-ANNUAL</t>
  </si>
  <si>
    <t>3 - 3/YEAR</t>
  </si>
  <si>
    <t>4 - QUARTERLY</t>
  </si>
  <si>
    <t>5 - 5/YEAR</t>
  </si>
  <si>
    <t>6 - 6 TIMES/YEAR</t>
  </si>
  <si>
    <t>7 - 7 DAY</t>
  </si>
  <si>
    <t>9 - 9 DAY</t>
  </si>
  <si>
    <t>10 - 10 DAY</t>
  </si>
  <si>
    <t>11 - 11/YEAR</t>
  </si>
  <si>
    <t>12 - MONTHLY</t>
  </si>
  <si>
    <t>13 - VARIABLE</t>
  </si>
  <si>
    <t>14 - 14 DAY</t>
  </si>
  <si>
    <t>15 - BI-WEEKLY</t>
  </si>
  <si>
    <t>16 - BIENNIAL - EVRY 2 YR</t>
  </si>
  <si>
    <t>17 - Defunct</t>
  </si>
  <si>
    <t>18 - 30 Month - 2.5 Years</t>
  </si>
  <si>
    <t>24 - SEMI-MONTHLY</t>
  </si>
  <si>
    <t>20 - Defunct</t>
  </si>
  <si>
    <t>21 - 21 Days</t>
  </si>
  <si>
    <t>28 - 28 DAY</t>
  </si>
  <si>
    <t>30 - 30 DAY</t>
  </si>
  <si>
    <t>35 - 35 DAY</t>
  </si>
  <si>
    <t>49 - 49 DAY</t>
  </si>
  <si>
    <t>52 - WEEKLY</t>
  </si>
  <si>
    <t>84 - 84 Days coupon Pay</t>
  </si>
  <si>
    <t>90 - 90 DAY</t>
  </si>
  <si>
    <t>91 - 91 Days coupon Pay</t>
  </si>
  <si>
    <t>120 - 120 Days</t>
  </si>
  <si>
    <t>150 - 150 Days</t>
  </si>
  <si>
    <t>180 - 180 Days coupon Pay</t>
  </si>
  <si>
    <t>182 - 182 Days coupon Pay</t>
  </si>
  <si>
    <t>210 - 7 Months</t>
  </si>
  <si>
    <t>240 - 8 Months</t>
  </si>
  <si>
    <t>270 - 270 Days</t>
  </si>
  <si>
    <t>300 - 10 Months</t>
  </si>
  <si>
    <t>301 - Annual after 3 Yrs</t>
  </si>
  <si>
    <t>330 - 11 Months</t>
  </si>
  <si>
    <t>360 - DAILY</t>
  </si>
  <si>
    <t>365 - ANYTIME</t>
  </si>
  <si>
    <t>400 - 4 Months</t>
  </si>
  <si>
    <t>500 - 5 Months</t>
  </si>
  <si>
    <t>501 - Annual after 5 Yrs</t>
  </si>
  <si>
    <t>700 - 7 Years</t>
  </si>
  <si>
    <t>1001 - Annual after 10 Yrs</t>
  </si>
  <si>
    <t>1095 - EVERY 3 YEARS</t>
  </si>
  <si>
    <t>1460 - 4 Years</t>
  </si>
  <si>
    <t>1825 - 60 Mnths/Every 5 Yrs</t>
  </si>
  <si>
    <t>2555 - Annual Aft Int 7 yrs</t>
  </si>
  <si>
    <t>9999 - Unknown</t>
  </si>
  <si>
    <t>201 - Annual after 2 Yrs</t>
  </si>
  <si>
    <t>701 - Annual after 7 Yrs</t>
  </si>
  <si>
    <t>901 - Annual after 9 Yrs</t>
  </si>
  <si>
    <t>1501 - Annual after 15 Yrs</t>
  </si>
  <si>
    <t>1000 - 10 Years</t>
  </si>
  <si>
    <t>1800 - 18 Years</t>
  </si>
  <si>
    <t>156 - 156 TIMES/YEAR</t>
  </si>
  <si>
    <t>8001 - 1 Days</t>
  </si>
  <si>
    <t>8002 - 2 Days</t>
  </si>
  <si>
    <t>8003 - 3 Days</t>
  </si>
  <si>
    <t>8004 - 4 Days</t>
  </si>
  <si>
    <t>8005 - 5 Days</t>
  </si>
  <si>
    <t>8006 - 6 Days</t>
  </si>
  <si>
    <t>8007 - 7 Days</t>
  </si>
  <si>
    <t>8008 - 8 Days</t>
  </si>
  <si>
    <t>8009 - 9 Days</t>
  </si>
  <si>
    <t>8010 - 10 Days</t>
  </si>
  <si>
    <t>8011 - 11 Days</t>
  </si>
  <si>
    <t>8012 - 12 Days</t>
  </si>
  <si>
    <t>8013 - 13 Days</t>
  </si>
  <si>
    <t>8014 - 14 Days</t>
  </si>
  <si>
    <t>8015 - 15 Days</t>
  </si>
  <si>
    <t>8016 - 16 Days</t>
  </si>
  <si>
    <t>8017 - 17 Days</t>
  </si>
  <si>
    <t>8018 - 18 Days</t>
  </si>
  <si>
    <t>8019 - 19 Days</t>
  </si>
  <si>
    <t>8020 - 20 Days</t>
  </si>
  <si>
    <t>8021 - 21 Days</t>
  </si>
  <si>
    <t>8022 - 22 Days</t>
  </si>
  <si>
    <t>8023 - 23 Days</t>
  </si>
  <si>
    <t>8024 - 24 Days</t>
  </si>
  <si>
    <t>8025 - 25 Days</t>
  </si>
  <si>
    <t>8026 - 26 Days</t>
  </si>
  <si>
    <t>8027 - 27 Days</t>
  </si>
  <si>
    <t>8028 - 28 Days</t>
  </si>
  <si>
    <t>8029 - 29 Days</t>
  </si>
  <si>
    <t>8030 - 30 Days</t>
  </si>
  <si>
    <t>8031 - 31 Days</t>
  </si>
  <si>
    <t>8032 - 32 Days</t>
  </si>
  <si>
    <t>8033 - 33 Days</t>
  </si>
  <si>
    <t>8034 - 34 Days</t>
  </si>
  <si>
    <t>8035 - 35 Days</t>
  </si>
  <si>
    <t>8036 - 36 Days</t>
  </si>
  <si>
    <t>8037 - 37 Days</t>
  </si>
  <si>
    <t>8038 - 38 Days</t>
  </si>
  <si>
    <t>8039 - 39 Days</t>
  </si>
  <si>
    <t>8040 - 40 Days</t>
  </si>
  <si>
    <t>8041 - 41 Days</t>
  </si>
  <si>
    <t>8042 - 42 Days</t>
  </si>
  <si>
    <t>8043 - 43 Days</t>
  </si>
  <si>
    <t>8044 - 44 Days</t>
  </si>
  <si>
    <t>8045 - 45 Days</t>
  </si>
  <si>
    <t>8046 - 46 Days</t>
  </si>
  <si>
    <t>8047 - 47 Days</t>
  </si>
  <si>
    <t>8048 - 48 Days</t>
  </si>
  <si>
    <t>8049 - 49 Days</t>
  </si>
  <si>
    <t>8050 - 50 Days</t>
  </si>
  <si>
    <t>8051 - 51 Days</t>
  </si>
  <si>
    <t>8052 - 52 Days</t>
  </si>
  <si>
    <t>8053 - 53 Days</t>
  </si>
  <si>
    <t>8054 - 54 Days</t>
  </si>
  <si>
    <t>8055 - 55 Days</t>
  </si>
  <si>
    <t>8056 - 56 Days</t>
  </si>
  <si>
    <t>8057 - 57 Days</t>
  </si>
  <si>
    <t>8058 - 58 Days</t>
  </si>
  <si>
    <t>8059 - 59 Days</t>
  </si>
  <si>
    <t>8060 - 60 Days</t>
  </si>
  <si>
    <t>8061 - 61 Days</t>
  </si>
  <si>
    <t>8062 - 62 Days</t>
  </si>
  <si>
    <t>8063 - 63 Days</t>
  </si>
  <si>
    <t>8064 - 64 Days</t>
  </si>
  <si>
    <t>8065 - 65 Days</t>
  </si>
  <si>
    <t>8066 - 66 Days</t>
  </si>
  <si>
    <t>8067 - 67 Days</t>
  </si>
  <si>
    <t>8068 - 68 Days</t>
  </si>
  <si>
    <t>8069 - 69 Days</t>
  </si>
  <si>
    <t>8070 - 70 Days</t>
  </si>
  <si>
    <t>8071 - 71 Days</t>
  </si>
  <si>
    <t>8072 - 72 Days</t>
  </si>
  <si>
    <t>8073 - 73 Days</t>
  </si>
  <si>
    <t>8074 - 74 Days</t>
  </si>
  <si>
    <t>8075 - 75 Days</t>
  </si>
  <si>
    <t>8076 - 76 Days</t>
  </si>
  <si>
    <t>8077 - 77 Days</t>
  </si>
  <si>
    <t>8078 - 78 Days</t>
  </si>
  <si>
    <t>8079 - 79 Days</t>
  </si>
  <si>
    <t>8080 - 80 Days</t>
  </si>
  <si>
    <t>8081 - 81 Days</t>
  </si>
  <si>
    <t>8082 - 82 Days</t>
  </si>
  <si>
    <t>8083 - 83 Days</t>
  </si>
  <si>
    <t>8084 - 84 Days</t>
  </si>
  <si>
    <t>8085 - 85 Days</t>
  </si>
  <si>
    <t>8086 - 86 Days</t>
  </si>
  <si>
    <t>8087 - 87 Days</t>
  </si>
  <si>
    <t>8088 - 88 Days</t>
  </si>
  <si>
    <t>8089 - 89 Days</t>
  </si>
  <si>
    <t>8090 - 90 Days</t>
  </si>
  <si>
    <t>8091 - 91 Days</t>
  </si>
  <si>
    <t>8092 - 92 Days</t>
  </si>
  <si>
    <t>8093 - 93 Days</t>
  </si>
  <si>
    <t>8094 - 94 Days</t>
  </si>
  <si>
    <t>8095 - 95 Days</t>
  </si>
  <si>
    <t>8096 - 96 Days</t>
  </si>
  <si>
    <t>8097 - 97 Days</t>
  </si>
  <si>
    <t>8098 - 98 Days</t>
  </si>
  <si>
    <t>8099 - 99 Days</t>
  </si>
  <si>
    <t>8100 - 100 Days</t>
  </si>
  <si>
    <t>8101 - 101 Days</t>
  </si>
  <si>
    <t>8102 - 102 Days</t>
  </si>
  <si>
    <t>8103 - 103 Days</t>
  </si>
  <si>
    <t>8104 - 104 Days</t>
  </si>
  <si>
    <t>8105 - 105 Days</t>
  </si>
  <si>
    <t>8106 - 106 Days</t>
  </si>
  <si>
    <t>8107 - 107 Days</t>
  </si>
  <si>
    <t>8108 - 108 Days</t>
  </si>
  <si>
    <t>8109 - 109 Days</t>
  </si>
  <si>
    <t>8110 - 110 Days</t>
  </si>
  <si>
    <t>8111 - 111 Days</t>
  </si>
  <si>
    <t>8112 - 112 Days</t>
  </si>
  <si>
    <t>8113 - 113 Days</t>
  </si>
  <si>
    <t>8114 - 114 Days</t>
  </si>
  <si>
    <t>8115 - 115 Days</t>
  </si>
  <si>
    <t>8116 - 116 Days</t>
  </si>
  <si>
    <t>8117 - 117 Days</t>
  </si>
  <si>
    <t>8118 - 118 Days</t>
  </si>
  <si>
    <t>8119 - 119 Days</t>
  </si>
  <si>
    <t>8120 - 120 Days</t>
  </si>
  <si>
    <t>8121 - 121 Days</t>
  </si>
  <si>
    <t>8122 - 122 Days</t>
  </si>
  <si>
    <t>8123 - 123 Days</t>
  </si>
  <si>
    <t>8124 - 124 Days</t>
  </si>
  <si>
    <t>8125 - 125 Days</t>
  </si>
  <si>
    <t>8126 - 126 Days</t>
  </si>
  <si>
    <t>8127 - 127 Days</t>
  </si>
  <si>
    <t>8128 - 128 Days</t>
  </si>
  <si>
    <t>8129 - 129 Days</t>
  </si>
  <si>
    <t>8130 - 130 Days</t>
  </si>
  <si>
    <t>8131 - 131 Days</t>
  </si>
  <si>
    <t>8132 - 132 Days</t>
  </si>
  <si>
    <t>8133 - 133 Days</t>
  </si>
  <si>
    <t>8134 - 134 Days</t>
  </si>
  <si>
    <t>8135 - 135 Days</t>
  </si>
  <si>
    <t>8136 - 136 Days</t>
  </si>
  <si>
    <t>8137 - 137 Days</t>
  </si>
  <si>
    <t>8138 - 138 Days</t>
  </si>
  <si>
    <t>8139 - 139 Days</t>
  </si>
  <si>
    <t>8140 - 140 Days</t>
  </si>
  <si>
    <t>8141 - 141 Days</t>
  </si>
  <si>
    <t>8142 - 142 Days</t>
  </si>
  <si>
    <t>8143 - 143 Days</t>
  </si>
  <si>
    <t>8144 - 144 Days</t>
  </si>
  <si>
    <t>8145 - 145 Days</t>
  </si>
  <si>
    <t>8146 - 146 Days</t>
  </si>
  <si>
    <t>8147 - 147 Days</t>
  </si>
  <si>
    <t>8148 - 148 Days</t>
  </si>
  <si>
    <t>8149 - 149 Days</t>
  </si>
  <si>
    <t>8150 - 150 Days</t>
  </si>
  <si>
    <t>8151 - 151 Days</t>
  </si>
  <si>
    <t>8152 - 152 Days</t>
  </si>
  <si>
    <t>8153 - 153 Days</t>
  </si>
  <si>
    <t>8154 - 154 Days</t>
  </si>
  <si>
    <t>8155 - 155 Days</t>
  </si>
  <si>
    <t>8156 - 156 Days</t>
  </si>
  <si>
    <t>8157 - 157 Days</t>
  </si>
  <si>
    <t>8158 - 158 Days</t>
  </si>
  <si>
    <t>100 - 1 Month</t>
  </si>
  <si>
    <t>902 - 9 Months</t>
  </si>
  <si>
    <t>101 - 1 Day</t>
  </si>
  <si>
    <t>102 - 2 Days</t>
  </si>
  <si>
    <t>103 - 3 Days</t>
  </si>
  <si>
    <t>104 - 4 Days</t>
  </si>
  <si>
    <t>105 - 5 Days</t>
  </si>
  <si>
    <t>106 - 6 Days</t>
  </si>
  <si>
    <t>108 - 8 Days</t>
  </si>
  <si>
    <t>107 - 7 Days</t>
  </si>
  <si>
    <t>109 - 9 Days</t>
  </si>
  <si>
    <t>29 - 29 DAY</t>
  </si>
  <si>
    <t>31 - 31 DAY</t>
  </si>
  <si>
    <t>56 - 56 DAY</t>
  </si>
  <si>
    <t>183 - 183 DAY</t>
  </si>
  <si>
    <t>364 - 364 DAY</t>
  </si>
  <si>
    <t>8382 - 382 Days</t>
  </si>
  <si>
    <t>5460 - 5460 Days</t>
  </si>
  <si>
    <t>8999 - 999 Days</t>
  </si>
  <si>
    <t>37 - 37 DAY</t>
  </si>
  <si>
    <t>42 - 42 DAY</t>
  </si>
  <si>
    <t>71 - 71 DAY</t>
  </si>
  <si>
    <t>148 - 148 DAY</t>
  </si>
  <si>
    <t>8159 - 159 Days</t>
  </si>
  <si>
    <t>8160 - 160 Days</t>
  </si>
  <si>
    <t>8161 - 161 Days</t>
  </si>
  <si>
    <t>8162 - 162 Days</t>
  </si>
  <si>
    <t>8163 - 163 Days</t>
  </si>
  <si>
    <t>8164 - 164 Days</t>
  </si>
  <si>
    <t>8165 - 165 Days</t>
  </si>
  <si>
    <t>8166 - 166 Days</t>
  </si>
  <si>
    <t>8167 - 167 Days</t>
  </si>
  <si>
    <t>8168 - 168 Days</t>
  </si>
  <si>
    <t>8169 - 169 Days</t>
  </si>
  <si>
    <t>8170 - 170 Days</t>
  </si>
  <si>
    <t>8171 - 171 Days</t>
  </si>
  <si>
    <t>8172 - 172 Days</t>
  </si>
  <si>
    <t>8173 - 173 Days</t>
  </si>
  <si>
    <t>8174 - 174 Days</t>
  </si>
  <si>
    <t>8175 - 175 Days</t>
  </si>
  <si>
    <t>8176 - 176 Days</t>
  </si>
  <si>
    <t>8177 - 177 Days</t>
  </si>
  <si>
    <t>8178 - 178 Days</t>
  </si>
  <si>
    <t>8179 - 179 Days</t>
  </si>
  <si>
    <t>8180 - 180 Days</t>
  </si>
  <si>
    <t>8181 - 181 Days</t>
  </si>
  <si>
    <t>8182 - 182 Days</t>
  </si>
  <si>
    <t>8183 - 183 Days</t>
  </si>
  <si>
    <t>8184 - 184 Days</t>
  </si>
  <si>
    <t>8185 - 185 Days</t>
  </si>
  <si>
    <t>8186 - 186 Days</t>
  </si>
  <si>
    <t>8187 - 187 Days</t>
  </si>
  <si>
    <t>8188 - 188 Days</t>
  </si>
  <si>
    <t>8189 - 189 Days</t>
  </si>
  <si>
    <t>8190 - 190 Days</t>
  </si>
  <si>
    <t>8191 - 191 Days</t>
  </si>
  <si>
    <t>8192 - 192 Days</t>
  </si>
  <si>
    <t>8193 - 193 Days</t>
  </si>
  <si>
    <t>8194 - 194 Days</t>
  </si>
  <si>
    <t>8195 - 195 Days</t>
  </si>
  <si>
    <t>8196 - 196 Days</t>
  </si>
  <si>
    <t>8197 - 197 Days</t>
  </si>
  <si>
    <t>8198 - 198 Days</t>
  </si>
  <si>
    <t>8199 - 199 Days</t>
  </si>
  <si>
    <t>8200 - 200 Days</t>
  </si>
  <si>
    <t>8201 - 201 Days</t>
  </si>
  <si>
    <t>8202 - 202 Days</t>
  </si>
  <si>
    <t>8203 - 203 Days</t>
  </si>
  <si>
    <t>8204 - 204 Days</t>
  </si>
  <si>
    <t>8205 - 205 Days</t>
  </si>
  <si>
    <t>8206 - 206 Days</t>
  </si>
  <si>
    <t>8207 - 207 Days</t>
  </si>
  <si>
    <t>8208 - 208 Days</t>
  </si>
  <si>
    <t>8209 - 209 Days</t>
  </si>
  <si>
    <t>8210 - 210 Days</t>
  </si>
  <si>
    <t>8211 - 211 Days</t>
  </si>
  <si>
    <t>8212 - 212 Days</t>
  </si>
  <si>
    <t>8213 - 213 Days</t>
  </si>
  <si>
    <t>8214 - 214 Days</t>
  </si>
  <si>
    <t>8215 - 215 Days</t>
  </si>
  <si>
    <t>8216 - 216 Days</t>
  </si>
  <si>
    <t>8217 - 217 Days</t>
  </si>
  <si>
    <t>8218 - 218 Days</t>
  </si>
  <si>
    <t>8219 - 219 Days</t>
  </si>
  <si>
    <t>8220 - 220 Days</t>
  </si>
  <si>
    <t>8221 - 221 Days</t>
  </si>
  <si>
    <t>8222 - 222 Days</t>
  </si>
  <si>
    <t>200 - 2 Months(Bi Monthly)</t>
  </si>
  <si>
    <t>302 - 3 months</t>
  </si>
  <si>
    <t>8223 - 223 Days</t>
  </si>
  <si>
    <t>8224 - 224 Days</t>
  </si>
  <si>
    <t>8225 - 225 Days</t>
  </si>
  <si>
    <t>8226 - 226 Days</t>
  </si>
  <si>
    <t>8227 - 227 Days</t>
  </si>
  <si>
    <t>8228 - 228 Days</t>
  </si>
  <si>
    <t>8229 - 229 Days</t>
  </si>
  <si>
    <t>8230 - 230 Days</t>
  </si>
  <si>
    <t>8231 - 231 Days</t>
  </si>
  <si>
    <t>8232 - 232 Days</t>
  </si>
  <si>
    <t>8233 - 233 Days</t>
  </si>
  <si>
    <t>8234 - 234 Days</t>
  </si>
  <si>
    <t>8235 - 235 Days</t>
  </si>
  <si>
    <t>8236 - 236 Days</t>
  </si>
  <si>
    <t>8237 - 237 Days</t>
  </si>
  <si>
    <t>8238 - 238 Days</t>
  </si>
  <si>
    <t>8239 - 239 Days</t>
  </si>
  <si>
    <t>8240 - 240 Days</t>
  </si>
  <si>
    <t>8241 - 241 Days</t>
  </si>
  <si>
    <t>8242 - 242 Days</t>
  </si>
  <si>
    <t>8243 - 243 Days</t>
  </si>
  <si>
    <t>8244 - 244 Days</t>
  </si>
  <si>
    <t>8245 - 245 Days</t>
  </si>
  <si>
    <t>8246 - 246 Days</t>
  </si>
  <si>
    <t>8247 - 247 Days</t>
  </si>
  <si>
    <t>8248 - 248 Days</t>
  </si>
  <si>
    <t>8249 - 249 Days</t>
  </si>
  <si>
    <t>8250 - 250 Days</t>
  </si>
  <si>
    <t>8251 - 251 Days</t>
  </si>
  <si>
    <t>8252 - 252 Days</t>
  </si>
  <si>
    <t>8253 - 253 Days</t>
  </si>
  <si>
    <t>8254 - 254 Days</t>
  </si>
  <si>
    <t>8255 - 255 Days</t>
  </si>
  <si>
    <t>8256 - 256 Days</t>
  </si>
  <si>
    <t>8257 - 257 Days</t>
  </si>
  <si>
    <t>8258 - 258 Days</t>
  </si>
  <si>
    <t>8259 - 259 Days</t>
  </si>
  <si>
    <t>8260 - 260 Days</t>
  </si>
  <si>
    <t>8261 - 261 Days</t>
  </si>
  <si>
    <t>8262 - 262 Days</t>
  </si>
  <si>
    <t>8263 - 263 Days</t>
  </si>
  <si>
    <t>8264 - 264 Days</t>
  </si>
  <si>
    <t>8265 - 265 Days</t>
  </si>
  <si>
    <t>8266 - 266 Days</t>
  </si>
  <si>
    <t>8267 - 267 Days</t>
  </si>
  <si>
    <t>8268 - 268 Days</t>
  </si>
  <si>
    <t>8269 - 269 Days</t>
  </si>
  <si>
    <t>8270 - 270 Days</t>
  </si>
  <si>
    <t>8271 - 271 Days</t>
  </si>
  <si>
    <t>8272 - 272 Days</t>
  </si>
  <si>
    <t>8273 - 273 Days</t>
  </si>
  <si>
    <t>8274 - 274 Days</t>
  </si>
  <si>
    <t>8275 - 275 Days</t>
  </si>
  <si>
    <t>8276 - 276 Days</t>
  </si>
  <si>
    <t>8277 - 277 Days</t>
  </si>
  <si>
    <t>8278 - 278 Days</t>
  </si>
  <si>
    <t>8279 - 279 Days</t>
  </si>
  <si>
    <t>8280 - 280 Days</t>
  </si>
  <si>
    <t>8281 - 281 Days</t>
  </si>
  <si>
    <t>8282 - 282 Days</t>
  </si>
  <si>
    <t>8283 - 283 Days</t>
  </si>
  <si>
    <t>8284 - 284 Days</t>
  </si>
  <si>
    <t>8285 - 285 Days</t>
  </si>
  <si>
    <t>8286 - 286 Days</t>
  </si>
  <si>
    <t>8287 - 287 Days</t>
  </si>
  <si>
    <t>8288 - 288 Days</t>
  </si>
  <si>
    <t>8289 - 289 Days</t>
  </si>
  <si>
    <t>8290 - 290 Days</t>
  </si>
  <si>
    <t>8291 - 291 Days</t>
  </si>
  <si>
    <t>8292 - 292 Days</t>
  </si>
  <si>
    <t>8293 - 293 Days</t>
  </si>
  <si>
    <t>8294 - 294 Days</t>
  </si>
  <si>
    <t>8295 - 295 Days</t>
  </si>
  <si>
    <t>8296 - 296 Days</t>
  </si>
  <si>
    <t>8297 - 297 Days</t>
  </si>
  <si>
    <t>8298 - 298 Days</t>
  </si>
  <si>
    <t>8299 - 299 Days</t>
  </si>
  <si>
    <t>8300 - 300 Days</t>
  </si>
  <si>
    <t>8301 - 301 Days</t>
  </si>
  <si>
    <t>8302 - 302 Days</t>
  </si>
  <si>
    <t>8303 - 303 Days</t>
  </si>
  <si>
    <t>8304 - 304 Days</t>
  </si>
  <si>
    <t>8305 - 305 Days</t>
  </si>
  <si>
    <t>8306 - 306 Days</t>
  </si>
  <si>
    <t>8307 - 307 Days</t>
  </si>
  <si>
    <t>8308 - 308 Days</t>
  </si>
  <si>
    <t>8309 - 309 Days</t>
  </si>
  <si>
    <t>8310 - 310 Days</t>
  </si>
  <si>
    <t>8311 - 311 Days</t>
  </si>
  <si>
    <t>8312 - 312 Days</t>
  </si>
  <si>
    <t>8313 - 313 Days</t>
  </si>
  <si>
    <t>8314 - 314 Days</t>
  </si>
  <si>
    <t>8315 - 315 Days</t>
  </si>
  <si>
    <t>8316 - 316 Days</t>
  </si>
  <si>
    <t>8317 - 317 Days</t>
  </si>
  <si>
    <t>8318 - 318 Days</t>
  </si>
  <si>
    <t>8319 - 319 Days</t>
  </si>
  <si>
    <t>8320 - 320 Days</t>
  </si>
  <si>
    <t>8321 - 321 Days</t>
  </si>
  <si>
    <t>8322 - 322 Days</t>
  </si>
  <si>
    <t>8323 - 323 Days</t>
  </si>
  <si>
    <t>8324 - 324 Days</t>
  </si>
  <si>
    <t>8325 - 325 Days</t>
  </si>
  <si>
    <t>8326 - 326 Days</t>
  </si>
  <si>
    <t>8327 - 327 Days</t>
  </si>
  <si>
    <t>8328 - 328 Days</t>
  </si>
  <si>
    <t>8329 - 329 Days</t>
  </si>
  <si>
    <t>8330 - 330 Days</t>
  </si>
  <si>
    <t>8331 - 331 Days</t>
  </si>
  <si>
    <t>8332 - 332 Days</t>
  </si>
  <si>
    <t>8333 - 333 Days</t>
  </si>
  <si>
    <t>8334 - 334 Days</t>
  </si>
  <si>
    <t>8335 - 335 Days</t>
  </si>
  <si>
    <t>8336 - 336 Days</t>
  </si>
  <si>
    <t>8337 - 337 Days</t>
  </si>
  <si>
    <t>8338 - 338 Days</t>
  </si>
  <si>
    <t>8339 - 339 Days</t>
  </si>
  <si>
    <t>8340 - 340 Days</t>
  </si>
  <si>
    <t>8341 - 341 Days</t>
  </si>
  <si>
    <t>8342 - 342 Days</t>
  </si>
  <si>
    <t>8343 - 343 Days</t>
  </si>
  <si>
    <t>8344 - 344 Days</t>
  </si>
  <si>
    <t>8345 - 345 Days</t>
  </si>
  <si>
    <t>8346 - 346 Days</t>
  </si>
  <si>
    <t>8347 - 347 Days</t>
  </si>
  <si>
    <t>8348 - 348 Days</t>
  </si>
  <si>
    <t>8349 - 349 Days</t>
  </si>
  <si>
    <t>8350 - 350 Days</t>
  </si>
  <si>
    <t>8351 - 351 Days</t>
  </si>
  <si>
    <t>8352 - 352 Days</t>
  </si>
  <si>
    <t>8353 - 353 Days</t>
  </si>
  <si>
    <t>8354 - 354 Days</t>
  </si>
  <si>
    <t>8355 - 355 Days</t>
  </si>
  <si>
    <t>8356 - 356 Days</t>
  </si>
  <si>
    <t>8357 - 357 Days</t>
  </si>
  <si>
    <t>8358 - 358 Days</t>
  </si>
  <si>
    <t>8359 - 359 Days</t>
  </si>
  <si>
    <t>8360 - 360 Days</t>
  </si>
  <si>
    <t>8361 - 361 Days</t>
  </si>
  <si>
    <t>8362 - 362 Days</t>
  </si>
  <si>
    <t>8363 - 363 Days</t>
  </si>
  <si>
    <t>8364 - 364 Days</t>
  </si>
  <si>
    <t>99 - Research pending</t>
  </si>
  <si>
    <t>61 - On interest adj date</t>
  </si>
  <si>
    <t>62 - Final put date</t>
  </si>
  <si>
    <t>63 - Irregular</t>
  </si>
  <si>
    <t>999 - To be determined</t>
  </si>
  <si>
    <t>202 - 2 Years</t>
  </si>
  <si>
    <t>600 - 6 Years</t>
  </si>
  <si>
    <t>800 - 8 Years</t>
  </si>
  <si>
    <t>900 - 9 Years</t>
  </si>
  <si>
    <t>Attributes1!I3:I1018</t>
  </si>
  <si>
    <t>JY0009M - LIBOR JPY BBA 11 A.M. FIXING9</t>
  </si>
  <si>
    <t>FR0011M - LIBOR FRF BBA 11 A.M. FIXING11</t>
  </si>
  <si>
    <t>FR0012M - LIBOR FRF BBA 11 A.M. FIXING12</t>
  </si>
  <si>
    <t>FRCPXTOY - FRANCE CPI EX-TOBACCO YR ON YR</t>
  </si>
  <si>
    <t>GBOTG12M - ITALY - BOTS 12 MON GRS</t>
  </si>
  <si>
    <t>GBOTG3M - ITALY - BOTS 3 MON GRS</t>
  </si>
  <si>
    <t>GBOTG6M - ITALY - BOTS 6 MON GRS</t>
  </si>
  <si>
    <t>GBTPGR10 - ITALY GOVT BONDS 10 YEAR GROSS</t>
  </si>
  <si>
    <t>GBTPGR30 - ITALY GOVT BONDS 30 YEAR GROSS</t>
  </si>
  <si>
    <t>GCETAA18 - MEXICO TREASURIES CETES 182</t>
  </si>
  <si>
    <t>GCETAA28 - MEXICO TREASURIES CETES 28D</t>
  </si>
  <si>
    <t>GCETAA36 - MEXICO TREASURIES CETES 364</t>
  </si>
  <si>
    <t>GCETAA91 - MEXICO TREASURIES CETES 91D</t>
  </si>
  <si>
    <t>GGRT12M - GREECE T-BILL AUCTION 12 MONTH</t>
  </si>
  <si>
    <t>GGRT3M - GREECE T-BILL AUCTION 3 MONTH</t>
  </si>
  <si>
    <t>GGRT6M - GREECE T-BILL AUCTION 6 MONTH</t>
  </si>
  <si>
    <t>GIBO12M - GREEK DRACHMA INTERBANK RATE12</t>
  </si>
  <si>
    <t>GIBO1M - GREEK DRACHMA INTERBANK RATE1</t>
  </si>
  <si>
    <t>GIBO1W - GREEK DRACHMA INTERBANK RATE1</t>
  </si>
  <si>
    <t>GIBO2M - GREEK DRACHMA INTERBANK RATE2</t>
  </si>
  <si>
    <t>GIBO2W - GREEK DRACHMA INTERBANK RATE2</t>
  </si>
  <si>
    <t>GIBO3M - GREEK DRACHMA INTERBANK RATE3</t>
  </si>
  <si>
    <t>GIBO3W - GREEK DRACHMA INTERBANK RATE3</t>
  </si>
  <si>
    <t>GIBO6M - GREEK DRACHMA INTERBANK RATE6</t>
  </si>
  <si>
    <t>GIBO9M - GREEK DRACHMA INTERBANK RATE9</t>
  </si>
  <si>
    <t>GIBOON - GREEK DRACHMA INTERBANK RATEOV</t>
  </si>
  <si>
    <t>GIBOSN - GREEK DRACHMA INTERBANK RATESP</t>
  </si>
  <si>
    <t>GIBOTN - GREEK DRACHMA INTERBANK RATETO</t>
  </si>
  <si>
    <t>GIND10YR - INDIA GOV BONDS 10 YR IDX</t>
  </si>
  <si>
    <t>GIND15YR - INDIA GOV BONDS 15 YR IDX</t>
  </si>
  <si>
    <t>GIND1YR - INDIA GOV BONDS 1 YR IDX</t>
  </si>
  <si>
    <t>GIND2YR - INDIA GOV BONDS 2 YR IDX</t>
  </si>
  <si>
    <t>GIND3YR - INDIA GOV BONDS 3 YR IDX</t>
  </si>
  <si>
    <t>GIND4YR - INDIA GOV BONDS 4 YR IDX</t>
  </si>
  <si>
    <t>GIND5YR - INDIA GOV BONDS 5 YR IDX</t>
  </si>
  <si>
    <t>GIND6YR - INDIA GOV BONDS 6 YR IDX</t>
  </si>
  <si>
    <t>GIND7YR - INDIA GOV BONDS 7 YR IDX</t>
  </si>
  <si>
    <t>GIND8YR - INDIA GOV BONDS 8 YR IDX</t>
  </si>
  <si>
    <t>GIND9YR - INDIA GOV BONDS 9 YR IDX</t>
  </si>
  <si>
    <t>GINYA364 - INDIA T-BILL DAILY</t>
  </si>
  <si>
    <t>GRKTWAY6 - GREECE 6 MONTH T-BILL WEIGHTED</t>
  </si>
  <si>
    <t>GRKTWY12 - GREEK TREASURY BILL 12 MONTH</t>
  </si>
  <si>
    <t>GSPG10YR - SPANISH GOVT GENERIC BONDS 10</t>
  </si>
  <si>
    <t>GUKG5 - UKGovt5Yr Note Generic Bid Yie</t>
  </si>
  <si>
    <t>H$ONWGHT - HKFEDBA HONG KONG OVERNIGHT IN</t>
  </si>
  <si>
    <t>H15ADI1Y - FED H.15:T-BILL AUCTION AVG DI</t>
  </si>
  <si>
    <t>H15BDI6M - FED H.15:T-BILL AUCTION AVG DI</t>
  </si>
  <si>
    <t>H15BIN6M - FED H.15:T-BILL AUCTION AVG IN</t>
  </si>
  <si>
    <t>H15F090D - FED H.15: FINANCIAL CP 90 DAY</t>
  </si>
  <si>
    <t>H15MCD6M - FED H.15:VARIOUS MMKT RATES CD</t>
  </si>
  <si>
    <t>H15N030D - FED H.15: NON-FINANCIAL CP 30</t>
  </si>
  <si>
    <t>H15T10Y - FED H.15:T-NOTE CONST MATRTY10</t>
  </si>
  <si>
    <t>H15T1Y - FED H.15:T-NOTE CONST MATRTY1</t>
  </si>
  <si>
    <t>H15T20Y - FED H.15:T-NOTE CONST MATRTY20</t>
  </si>
  <si>
    <t>H15T2Y - FED H.15:T-NOTE CONST MATRTY2</t>
  </si>
  <si>
    <t>CANPRM n/a - CANADIAN PRIME RATE. UNKNOWN F</t>
  </si>
  <si>
    <t>CD 1M - 1 month CD rate</t>
  </si>
  <si>
    <t>CD COM - CERITFICATE OF DEPOSIT COMMITM</t>
  </si>
  <si>
    <t>CD COM 1MO - CERITFICATE OF DEPOSIT COMMITM</t>
  </si>
  <si>
    <t>CD COM 1YR - CERITFICATE OF DEPOSIT COMMITM</t>
  </si>
  <si>
    <t>CD COM 3MO - CERITFICATE OF DEPOSIT COMMITM</t>
  </si>
  <si>
    <t>CD COM 6MO - CERITFICATE OF DEPOSIT COMMITM</t>
  </si>
  <si>
    <t>CD COM BIMTH - CERITFICATE OF DEPOSIT COMMITM</t>
  </si>
  <si>
    <t>CD COM DLY - CERITFICATE OF DEPOSIT COMMITM</t>
  </si>
  <si>
    <t>CD COM WKLY - CERITFICATE OF DEPOSIT COMMITM</t>
  </si>
  <si>
    <t>CD COM n/a - CERITFICATE OF DEPOSIT COMMITM</t>
  </si>
  <si>
    <t>CD0001M - LIBOR CAD BBA 11 A.M. FIXING1</t>
  </si>
  <si>
    <t>CD0002M - LIBOR CAD BBA 11 A.M. FIXING2</t>
  </si>
  <si>
    <t>CD0003M - LIBOR CAD BBA 11 A.M. FIXING3</t>
  </si>
  <si>
    <t>CD0004M - LIBOR CAD BBA 11 A.M. FIXING4</t>
  </si>
  <si>
    <t>CD0005M - LIBOR CAD BBA 11 A.M. FIXING5</t>
  </si>
  <si>
    <t>CD0006M - LIBOR CAD BBA 11 A.M. FIXING6</t>
  </si>
  <si>
    <t>CD0007M - LIBOR CAD BBA 11 A.M. FIXING7</t>
  </si>
  <si>
    <t>CD0008M - LIBOR CAD BBA 11 A.M. FIXING8</t>
  </si>
  <si>
    <t>CD0009M - LIBOR CAD BBA 11 A.M. FIXING9</t>
  </si>
  <si>
    <t>CD0010M - LIBOR CAD BBA 11 A.M. FIXING10</t>
  </si>
  <si>
    <t>CD0011M - LIBOR CAD BBA 11 A.M. FIXING11</t>
  </si>
  <si>
    <t>CD0012M - LIBOR CAD BBA 11 A.M. FIXING1</t>
  </si>
  <si>
    <t>CDOR01 - CANADIAN BANKERS ACCEPTANCES1</t>
  </si>
  <si>
    <t>CDOR02 - CANADIAN BANKERS ACCEPTANCES2</t>
  </si>
  <si>
    <t>CDOR03 - CANADIAN BANKERS ACCEPTANCES3</t>
  </si>
  <si>
    <t>CDOR06 - CANADIAN BANKERS ACCEPTANCES6</t>
  </si>
  <si>
    <t>CDOR12 - CANADIAN BANKERS ACCEPTANCES1</t>
  </si>
  <si>
    <t>CDP30D - FED H.15:VARIOUS MMKT RATES CD</t>
  </si>
  <si>
    <t>CDSW1 - CAD SWAP 1Y</t>
  </si>
  <si>
    <t>CHR7B_1M - China Interbank 7 Day Repo 1 M</t>
  </si>
  <si>
    <t>CHUF - CHILE UNIDAD DE FOMENTO U.FOME</t>
  </si>
  <si>
    <t>CIBO01M - COPENHAGEN INTERBANK RATE 1 MO</t>
  </si>
  <si>
    <t>CIBO02M - COPENHAGEN INTERBANK RATE 2 MO</t>
  </si>
  <si>
    <t>CIBO03M - COPENHAGEN INTERBANK RATE 3 MO</t>
  </si>
  <si>
    <t>CIBO04M - COPENHAGEN INTERBANK RATE 4 MO</t>
  </si>
  <si>
    <t>CIBO05M - COPENHAGEN INTERBANK RATE 5 MO</t>
  </si>
  <si>
    <t>CIBO06M - COPENHAGEN INTERBANK RATE 6 MO</t>
  </si>
  <si>
    <t>CIBO12M - COPENHAGEN INTERBANK RATE 12 M</t>
  </si>
  <si>
    <t>CMFT2AVG - CROATIA MINISTRY OF FINANCE 37</t>
  </si>
  <si>
    <t>CMFT4AVG - CROATIA MINISTRY OF FINANCE 36</t>
  </si>
  <si>
    <t>CNDR1Y - CHINA DEPOSIT RATES 1 YEAR</t>
  </si>
  <si>
    <t>CNDR6M - CHINA DEPOSIT RATES 6 MTH</t>
  </si>
  <si>
    <t>CNRR007 - CHINA FIXING REPO RATES 7 DAY</t>
  </si>
  <si>
    <t>COCPI - COLUMBIA CPI INDEX</t>
  </si>
  <si>
    <t>COCPIYOY - COLOMBIA CPI YOY</t>
  </si>
  <si>
    <t>COF - COST OF FUNDS MONTHLY</t>
  </si>
  <si>
    <t>COF 07 - Cost of Funds for the 7th Dist</t>
  </si>
  <si>
    <t>COF 11 - COST OF FUNDS MONTHLY 11TH DIS</t>
  </si>
  <si>
    <t>COF CODI - COST OF FUNDS CODI</t>
  </si>
  <si>
    <t>COF COSI - COST OF FUNDS COSI</t>
  </si>
  <si>
    <t>COF FD - COST OF FUNDS FD</t>
  </si>
  <si>
    <t>COF NA - COST OF FUNDS MONTHLY NATION M</t>
  </si>
  <si>
    <t>COFQNATQ - COST OF FUNDS QNATQ</t>
  </si>
  <si>
    <t>CP COM - COMMERCIAL PAPER COMMITMENT</t>
  </si>
  <si>
    <t>CP COM 1MO - COMMERCIAL PAPER COMMITMENT</t>
  </si>
  <si>
    <t>CP COM 1YR - COMMERCIAL PAPER COMMITMENT</t>
  </si>
  <si>
    <t>CP COM 3MO - COMMERCIAL PAPER COMMITMENT</t>
  </si>
  <si>
    <t>CP COM 6MO - COMMERCIAL PAPER COMMITMENT</t>
  </si>
  <si>
    <t>CP COM BIMTH - COMMERCIAL PAPER COMMITMENT</t>
  </si>
  <si>
    <t>CP COM DLY - COMMERCIAL PAPER COMMITMENT</t>
  </si>
  <si>
    <t>CP COM WKLY - COMMERCIAL PAPER COMMITMENT</t>
  </si>
  <si>
    <t>CP COM n/a - COMMERCIAL PAPER COMMITMENT</t>
  </si>
  <si>
    <t>CPIYOY - CPI URBAN CONS YR ON YR INDEX</t>
  </si>
  <si>
    <t>CPTFEMUY - Eurostat Eurozone HICP Ex</t>
  </si>
  <si>
    <t>CPTW90DY - Bloomberg Taiwan Secondary Com</t>
  </si>
  <si>
    <t>CRITBASC - BASIC INTEREST RATE</t>
  </si>
  <si>
    <t>CTDP1Y - DEPOSIT RATE 1Y DEPO</t>
  </si>
  <si>
    <t>Can_BA - CANADIAN BANKERS ACCEPTANCE</t>
  </si>
  <si>
    <t>D11COF - COST OF FUNDS MONTHLY 11TH DIS</t>
  </si>
  <si>
    <t>DG0001M - LIBOR NLG BBA 11 A.M. FIXING1</t>
  </si>
  <si>
    <t>DG0002M - LIBOR NLG BBA 11 A.M. FIXING2</t>
  </si>
  <si>
    <t>DG0003M - LIBOR NLG BBA 11 A.M. FIXING3</t>
  </si>
  <si>
    <t>TIBOEY9M - TOKYO INTERBNK OFFERING RATEEU</t>
  </si>
  <si>
    <t>TJJ - currently unknown</t>
  </si>
  <si>
    <t>TMBT1YD - THAILAND DEPOSITS RATE 12M FIX</t>
  </si>
  <si>
    <t>TME - EMPRUNTS D'ETAT A LONG TERME</t>
  </si>
  <si>
    <t>TMM - TAUX MOYEN MENSUEL RATE</t>
  </si>
  <si>
    <t>TMO - TAUX MOYEN OBLIGATAIRE</t>
  </si>
  <si>
    <t>TMP - TAUX MOYEN PONDERE</t>
  </si>
  <si>
    <t>TRLIB3M - BANK ASSOCIATION OF TURKEY TRL</t>
  </si>
  <si>
    <t>UAEIE3M - EMIRATES BK EBOR 3 MONTH</t>
  </si>
  <si>
    <t>UKRPYOY - UK RPI YOY NSA</t>
  </si>
  <si>
    <t>URCPI - URUGUAY CPI INDEX</t>
  </si>
  <si>
    <t>URV - currently unknown</t>
  </si>
  <si>
    <t>US0001M - LIBOR USD BBA 11 A.M. FIXING1</t>
  </si>
  <si>
    <t>US0001W - BBA LIBOR USD 1 WEEK</t>
  </si>
  <si>
    <t>US0002M - LIBOR USD BBA 11 A.M. FIXING2</t>
  </si>
  <si>
    <t>US0003M - LIBOR USD BBA 11 A.M. FIXING3</t>
  </si>
  <si>
    <t>US0004M - LIBOR USD BBA 11 A.M. FIXING4</t>
  </si>
  <si>
    <t>US0005M - LIBOR USD BBA 11 A.M. FIXING5</t>
  </si>
  <si>
    <t>US0006M - LIBOR USD BBA 11 A.M. FIXING6</t>
  </si>
  <si>
    <t>US0007M - LIBOR USD BBA 11 A.M. FIXING7</t>
  </si>
  <si>
    <t>US0008M - LIBOR USD BBA 11 A.M. FIXING8</t>
  </si>
  <si>
    <t>US0009M - LIBOR USD BBA 11 A.M. FIXING9</t>
  </si>
  <si>
    <t>US0010M - LIBOR USD BBA 11 A.M. FIXING10</t>
  </si>
  <si>
    <t>US0011M - LIBOR USD BBA 11 A.M. FIXING11</t>
  </si>
  <si>
    <t>US0012M - LIBOR USD BBA 11 A.M. FIXING12</t>
  </si>
  <si>
    <t>USB5YCP - UNITED STATES AUCTION RESULTS</t>
  </si>
  <si>
    <t>USSA10 - USD SWAP 10 YEAR ACT/360</t>
  </si>
  <si>
    <t>USSW1 - USD SWAP 1Y</t>
  </si>
  <si>
    <t>USSW10 - USD SWAP 10 YEAR</t>
  </si>
  <si>
    <t>USSW2 - TWO MONTH SEMI ANNUAL USD SWAP</t>
  </si>
  <si>
    <t>USSW3 - USD SWAP 3 YEAR</t>
  </si>
  <si>
    <t>USSW5 - USD SWAP 5 YEAR</t>
  </si>
  <si>
    <t>VIBO12M - VIENNA INTERBANK OFFER RATE 12</t>
  </si>
  <si>
    <t>VIBO1M - VIENNA INTERBANK OFFER RATE 1</t>
  </si>
  <si>
    <t>VIBO2M - VIENNA INTERBANK OFFER RATE 2</t>
  </si>
  <si>
    <t>VIBO3M - VIENNA INTERBANK OFFER RATE 3</t>
  </si>
  <si>
    <t>VIBO6M - VIENNA INTERBANK OFFER RATE 6</t>
  </si>
  <si>
    <t>VLET91AY - VENEZUELA LETRAS AUCTION RESUL</t>
  </si>
  <si>
    <t>VTAM - VENEZUELA TASA ACTIVA DE MERCA</t>
  </si>
  <si>
    <t>WIBO1M - WARSAW INTERBANK OFFER/BID 1M</t>
  </si>
  <si>
    <t>WIBO1Y - WARSAW INTERBANK OFFER/BID 1YR</t>
  </si>
  <si>
    <t>WIBO3M - WARSAW INTERBANK OFFER/BID 3M</t>
  </si>
  <si>
    <t>WIBO6M - WARSAW INTERBANK OFFER/BID 6M</t>
  </si>
  <si>
    <t>WIBOTN - WARSAW INTERBANK OFFER/BID RAT</t>
  </si>
  <si>
    <t>WKLY - currently unknown</t>
  </si>
  <si>
    <t>WKLY N/A - UNKNOWN BUT FREQUENCY = WEEKLY</t>
  </si>
  <si>
    <t>YYSTLA1 - YEN SETTLEMENTS LA1</t>
  </si>
  <si>
    <t>YYSTLA10 - YEN SETTLEMENTS LA10</t>
  </si>
  <si>
    <t>YYSTLA12 - YEN SETTLEMENTS LA12</t>
  </si>
  <si>
    <t>YYSTLA15 - YEN SETTLEMENTS LA15</t>
  </si>
  <si>
    <t>YYSTLA18 - YEN SETTLEMENTS LA18M</t>
  </si>
  <si>
    <t>YYSTLA2 - YEN SETTLEMENTS LA2 10:00</t>
  </si>
  <si>
    <t>YYSTLA3 - YEN SETTLEMENTS LA3</t>
  </si>
  <si>
    <t>YYSTLA4 - YEN SETTLEMENTS LA4</t>
  </si>
  <si>
    <t>YYSTLA5 - YEN SETTLEMENTS LA5</t>
  </si>
  <si>
    <t>YYSTLA6 - YEN SETTLEMENTS LA6</t>
  </si>
  <si>
    <t>YYSTLA7 - YEN SETTLEMENTS LA7</t>
  </si>
  <si>
    <t>YYSTLA8 - YEN SETTLEMENTS LA8</t>
  </si>
  <si>
    <t>YYSTLA9 - YEN SETTLEMENTS LA9</t>
  </si>
  <si>
    <t>RIBORM2W - ROME INTERBANK OFFER RATE LR2</t>
  </si>
  <si>
    <t>RIBORM3M - ROME INTERBANK OFFER RATE LR3</t>
  </si>
  <si>
    <t>RIBORM6M - ROME INTERBANK OFFER RATE LR6</t>
  </si>
  <si>
    <t>RIBORM9M - ROME INTERBANK OFFER RATE LR9</t>
  </si>
  <si>
    <t>RIBORMON - ROME INTERBANK OFFER RATE LROV</t>
  </si>
  <si>
    <t>RIBORMYR - ROME INTERBANK OFFER RATE LR12</t>
  </si>
  <si>
    <t>RIGI6M - LATVIA RIGIBOR 6 MONTHS</t>
  </si>
  <si>
    <t>RP07 - CHINA INTERBANK 7 DAY REPO RAT</t>
  </si>
  <si>
    <t>SADBDB - SOUTH AFRICAN DISCOUNT BILL DI</t>
  </si>
  <si>
    <t>SADBDB6 - SOUTH AFRICAN DISCOUNT BILL D</t>
  </si>
  <si>
    <t>SAHR3M - SAUDI HOLLANDI BANK INTERBK 3</t>
  </si>
  <si>
    <t>SAIB3M - SAUDI RIYAL INTERBANK AVERAGE</t>
  </si>
  <si>
    <t>SANCD03M - SOUTH AFRICAN NEGOTIABLE CD 3</t>
  </si>
  <si>
    <t>SANCD06M - SOUTH AFRICAN NEGOTIABLE CD 6</t>
  </si>
  <si>
    <t>SANCD09M - SOUTH AFRICAN NEGOTIABLE CD 9</t>
  </si>
  <si>
    <t>SANCD12M - SOUTH AFRICAN NEGOTIABLE CD 12</t>
  </si>
  <si>
    <t>SANCDBA - SOUTH AFRICAN NEGOTIABLE CD BK</t>
  </si>
  <si>
    <t>SBI3AY3M - INDONESIA 3 MTH SBI AUCTION AV</t>
  </si>
  <si>
    <t>SCBT1YD - SIAM COMMERCIAL BANK THAILAND</t>
  </si>
  <si>
    <t>SEDA3MRE - CENTRAL BANK OF ICELAND ISK RE</t>
  </si>
  <si>
    <t>SF0001M - LIBOR CHF BBA 11 A.M. FIXING1</t>
  </si>
  <si>
    <t>SF0002M - LIBOR CHF BBA 11 A.M. FIXING2</t>
  </si>
  <si>
    <t>SF0003M - LIBOR CHF BBA 11 A.M. FIXING3</t>
  </si>
  <si>
    <t>SF0004M - LIBOR CHF BBA 11 A.M. FIXING4</t>
  </si>
  <si>
    <t>SF0005M - LIBOR CHF BBA 11 A.M. FIXING5</t>
  </si>
  <si>
    <t>SF0006M - LIBOR CHF BBA 11 A.M. FIXING6</t>
  </si>
  <si>
    <t>SF0007M - LIBOR CHF BBA 11 A.M. FIXING7</t>
  </si>
  <si>
    <t>SF0008M - LIBOR CHF BBA 11 A.M. FIXING8</t>
  </si>
  <si>
    <t>SF0009M - LIBOR CHF BBA 11 A.M. FIXING9</t>
  </si>
  <si>
    <t>SF0010M - LIBOR CHF BBA 11 A.M. FIXING10</t>
  </si>
  <si>
    <t>SF0011M - LIBOR CHF BBA 11 A.M. FIXING11</t>
  </si>
  <si>
    <t>SF0012M - LIBOR CHF BBA 11 A.M. FIXING1</t>
  </si>
  <si>
    <t>SFSW10 - CHF SWAP 10YR</t>
  </si>
  <si>
    <t>SFSW5 - CHF SWAP 5 YR</t>
  </si>
  <si>
    <t>SFSW7 - CHF SWAP 7 YR</t>
  </si>
  <si>
    <t>SFSW8 - CHF SWAP 8 YR</t>
  </si>
  <si>
    <t>SHIF1W - ShanghaiInterbank OfferRate1WK</t>
  </si>
  <si>
    <t>SHIF3M - SHANGHAI INTERBANK RATE 3 MO</t>
  </si>
  <si>
    <t>SIBF3M - ASSOC OF BK IN SINGAPORE</t>
  </si>
  <si>
    <t>SIBF6M - BANKS IN SINGAPORE SIBOR 6-MO</t>
  </si>
  <si>
    <t>SIBO12M - SINGAPORE INTERBANK RATE 12 MO</t>
  </si>
  <si>
    <t>SIBO1M - SINGAPORE INTERBANK RATE 1 MON</t>
  </si>
  <si>
    <t>SIBO2M - SINGAPORE INTERBANK RATE 2 MON</t>
  </si>
  <si>
    <t>SIBO3M - SINGAPORE INTERBANK RATE 3 MON</t>
  </si>
  <si>
    <t>SIBO6M - SINGAPORE INTERBANK RATE 6 MON</t>
  </si>
  <si>
    <t>SIBO9M - SINGAPORE INTERBANK RATE 9 MON</t>
  </si>
  <si>
    <t>SIBU3M - BANKS IN SINGAPORE SIBOR 3 MO</t>
  </si>
  <si>
    <t>SIBU6M - BANKS IN SINGAPORE SIBOR 6-MO</t>
  </si>
  <si>
    <t>SISD01M - SINGAPORE DOLLAR INTERBANK 1 M</t>
  </si>
  <si>
    <t>SISD01W - SINGAPORE DOLLAR INTERBANK 1 W</t>
  </si>
  <si>
    <t>SISD02M - SINGAPORE DOLLAR INTERBANK 2 M</t>
  </si>
  <si>
    <t>SISD03M - SINGAPORE DOLLAR INTERBANK 3 M</t>
  </si>
  <si>
    <t>SISD06M - SINGAPORE DOLLAR INTERBANK 6 M</t>
  </si>
  <si>
    <t>SISD09M - SINGAPORE DOLLAR INTERBANK 9 M</t>
  </si>
  <si>
    <t>SISD12M - SINGAPORE DOLLAR INTERBANK 12</t>
  </si>
  <si>
    <t>SISDON - SINGAPORE DOLLAR INTERBANK OVE</t>
  </si>
  <si>
    <t>SOBR3M - BUGARIA SOFIBOR 3MO</t>
  </si>
  <si>
    <t>SORF12M - BANKS IN SINGAPORE SWAP RATE 1</t>
  </si>
  <si>
    <t>SORF3M - ASSOCIATION OF BANKS IN SINGAP</t>
  </si>
  <si>
    <t>SORF6M - ASSOCIATION OF BANKS IN SINGAP</t>
  </si>
  <si>
    <t>SP0001M - LIBOR ESP BBA 11 A.M. FIXING1</t>
  </si>
  <si>
    <t>SP0002M - LIBOR ESP BBA 11 A.M. FIXING2</t>
  </si>
  <si>
    <t>SP0003M - LIBOR ESP BBA 11 A.M. FIXING3</t>
  </si>
  <si>
    <t>SP0004M - LIBOR ESP BBA 11 A.M. FIXING4</t>
  </si>
  <si>
    <t>SP0005M - LIBOR ESP BBA 11 A.M. FIXING5</t>
  </si>
  <si>
    <t>SP0006M - LIBOR ESP BBA 11 A.M. FIXING6</t>
  </si>
  <si>
    <t>SP0007M - LIBOR ESP BBA 11 A.M. FIXING7</t>
  </si>
  <si>
    <t>SP0008M - LIBOR ESP BBA 11 A.M. FIXING8</t>
  </si>
  <si>
    <t>SP0009M - LIBOR ESP BBA 11 A.M. FIXING9</t>
  </si>
  <si>
    <t>SP0010M - LIBOR ESP BBA 11 A.M. FIXING10</t>
  </si>
  <si>
    <t>SP0011M - LIBOR ESP BBA 11 A.M. FIXING11</t>
  </si>
  <si>
    <t>SP0012M - LIBOR ESP BBA 11 A.M. FIXING1</t>
  </si>
  <si>
    <t>SPIPCYOY - SPAIN CPI YOY 2006=100</t>
  </si>
  <si>
    <t>STIB1D - STOCKHOLM INTERBANK OFFER 1 DA</t>
  </si>
  <si>
    <t>STIB1M - STOCKHOLM INTERBANK OFFER 1 MO</t>
  </si>
  <si>
    <t>STIB1W - STOCKHOLM INTERBANK OFFER 1 WE</t>
  </si>
  <si>
    <t>STIB1Y - STOCKHOLM INTERBANK OFFER 1 YE</t>
  </si>
  <si>
    <t>STIB2M - STOCKHOLM INTERBANK OFFER 2 MO</t>
  </si>
  <si>
    <t>STIB3M - STOCKHOLM INTERBANK OFFER 3 MO</t>
  </si>
  <si>
    <t>STIB6M - STOCKHOLM INTERBANK OFFER 6 MO</t>
  </si>
  <si>
    <t>STIB9M - STOCKHOLM INTERBANK OFFER 9 MO</t>
  </si>
  <si>
    <t>T-BILL - US TREASURY BILL</t>
  </si>
  <si>
    <t>T-BILL 1MO - ONE MONTH US TREASURY BILL</t>
  </si>
  <si>
    <t>T-BILL 1YR - ONE YEAR US TREASURY BILL</t>
  </si>
  <si>
    <t>T-BILL 3MO - THREE MONTH US TREASURY BILL</t>
  </si>
  <si>
    <t>T-BILL 6MO - SIX MONTH US TREASURY BILL</t>
  </si>
  <si>
    <t>T-BILL BIMTH - BI-MONTHLY US TREASURY BILL</t>
  </si>
  <si>
    <t>T-BILL DLY - DAILY US TREASURY BILL</t>
  </si>
  <si>
    <t>T-BILL LIMEA - TREASURY BILL AUCTION RATE</t>
  </si>
  <si>
    <t>T-BILL LIMEAN - Treasury Bill Auction Rate</t>
  </si>
  <si>
    <t>T-BILL WKLY - WEEKLY US TREASURY BILL</t>
  </si>
  <si>
    <t>T-BILL n/a - US TREASURY BILL. UNKNOWN FREQ</t>
  </si>
  <si>
    <t>T-BILL s.f,v - TREASURY BILL RATE</t>
  </si>
  <si>
    <t>T10Y - FED H.15:T-NOTE CONST MATRTY10</t>
  </si>
  <si>
    <t>T10Y-T2Y - currently unknown</t>
  </si>
  <si>
    <t>T1Y - FED H.15:T-NOTE CONST MATRTY1</t>
  </si>
  <si>
    <t>T2Y - FED H.15:T-NOTE CONST MATRTY2</t>
  </si>
  <si>
    <t>T2Y-T10Y - currently unknown</t>
  </si>
  <si>
    <t>T30Y - FED H.15:T-NOTE CONST MATRTY30</t>
  </si>
  <si>
    <t>T3M - FED H.15:T-NOTE CONST MATRTY3</t>
  </si>
  <si>
    <t>T3Y - FED H.15:T-NOTE CONST MATRTY3</t>
  </si>
  <si>
    <t>T5Y - FED H.15:T-NOTE CONST MATRTY5</t>
  </si>
  <si>
    <t>T6M - FED H.15:T-NOTE CONST MATRTY6</t>
  </si>
  <si>
    <t>T7Y - FED H.15:T-NOTE CONST MATRTY7</t>
  </si>
  <si>
    <t>TAM - TAUX ANNUEL MONETAIRE</t>
  </si>
  <si>
    <t>TAVG1YD4 - THAI 4 BANK AVG INTR RT 1YR FX</t>
  </si>
  <si>
    <t>TAVG1YD5 - THAI AVG INTR RT 1YR FIX DEPOS</t>
  </si>
  <si>
    <t>TAVG6MD4 - THAI 4 BANK 6 MO AVG DEPOS RT</t>
  </si>
  <si>
    <t>TAVGMLR - THAI MINIMUM LENDING RATE 4 BA</t>
  </si>
  <si>
    <t>TAVGMLR5 - THAI MINIMUM LENDING RATE 5 BA</t>
  </si>
  <si>
    <t>TBDP1Y - 1YR TIME DEPOSIT RATE OF TAIWA</t>
  </si>
  <si>
    <t>TBDP2Y - DEPOSIT RATE 2Y DEPO</t>
  </si>
  <si>
    <t>TEC10 - FRANCE - TEC 10 BOND INDEX TEC</t>
  </si>
  <si>
    <t>THBREF - THAI BAHT REFERENCE RATE</t>
  </si>
  <si>
    <t>THE - EMPRUNTS D'ETAT A LONG TERME</t>
  </si>
  <si>
    <t>THFX6M - BLOOMBERG THAILAND 6 MONTH FIX</t>
  </si>
  <si>
    <t>TIBOE$1M - TOKYO INTERBNK OFFERING RATEEU</t>
  </si>
  <si>
    <t>TIBOE$1Y - TOKYO INTERBNK OFFERING RATEEU</t>
  </si>
  <si>
    <t>TIBOE$2M - TOKYO INTERBNK OFFERING RATEEU</t>
  </si>
  <si>
    <t>TIBOE$3M - TOKYO INTERBNK OFFERING RATEEU</t>
  </si>
  <si>
    <t>TIBOE$6M - TOKYO INTERBNK OFFERING RATEEU</t>
  </si>
  <si>
    <t>TIBOE$9M - TOKYO INTERBNK OFFERING RATEEU</t>
  </si>
  <si>
    <t>TIBOEY1M - TOKYO INTERBNK OFFERING RATEEU</t>
  </si>
  <si>
    <t>TIBOEY1Y - TOKYO INTERBNK OFFERING RATEEU</t>
  </si>
  <si>
    <t>TIBOEY2M - TOKYO INTERBNK OFFERING RATEEU</t>
  </si>
  <si>
    <t>TIBOEY3M - TOKYO INTERBNK OFFERING RATEEU</t>
  </si>
  <si>
    <t>TIBOEY6M - TOKYO INTERBNK OFFERING RATEEU</t>
  </si>
  <si>
    <t>LIMEAN 1MO - LIMEAN IS THE AVERAGE OF THE L</t>
  </si>
  <si>
    <t>LIMEAN 1YR - LIMEAN IS THE AVERAGE OF THE L</t>
  </si>
  <si>
    <t>LIMEAN 3MO - LIMEAN IS THE AVERAGE OF THE L</t>
  </si>
  <si>
    <t>LIMEAN 6MO - LIMEAN IS THE AVERAGE OF THE L</t>
  </si>
  <si>
    <t>LIMEAN BIMTH - LIMEAN IS THE AVERAGE OF THE L</t>
  </si>
  <si>
    <t>LIMEAN DLY - LIMEAN IS THE AVERAGE OF THE L</t>
  </si>
  <si>
    <t>LIMEAN WKLY - LIMEAN IS THE AVERAGE OF THE L</t>
  </si>
  <si>
    <t>LIMEAN n/a - LIMEAN IS THE AVERAGE OF THE L</t>
  </si>
  <si>
    <t>LIMEAN s.f,v - AVG OF LIBOR LIBID FIXED BY BB</t>
  </si>
  <si>
    <t>LISB12M - LISBON INTERBANK OFFER RATES12</t>
  </si>
  <si>
    <t>LISB1M - LISBON INTERBANK OFFER RATES1</t>
  </si>
  <si>
    <t>LISB3M - LISBON INTERBANK OFFER RATES3</t>
  </si>
  <si>
    <t>LISB6M - LISBON INTERBANK OFFER RATES6</t>
  </si>
  <si>
    <t>MAKAMAVG - ISRAEL GILON AVERAGE</t>
  </si>
  <si>
    <t>MCPPUDI - Mexican Cpp-Udi &amp; CCPIN Udi's</t>
  </si>
  <si>
    <t>MEY_OF_T - currently unknown</t>
  </si>
  <si>
    <t>MEY_T10Y - currently unknown</t>
  </si>
  <si>
    <t>MIBOR01M - MIBOR-MID MKT (IRS-FRAS) 1 MON</t>
  </si>
  <si>
    <t>MIBOR02M - MIBOR-MID MKT (IRS-FRAS) 2 MON</t>
  </si>
  <si>
    <t>MIBOR03M - MIBOR-MID MKT (IRS-FRAS) 3 MON</t>
  </si>
  <si>
    <t>MIBOR04M - MIBOR-MID MKT (IRS-FRAS) 4 MON</t>
  </si>
  <si>
    <t>MIBOR05M - MIBOR-MID MKT (IRS-FRAS) 5 MON</t>
  </si>
  <si>
    <t>MIBOR06M - MIBOR-MID MKT (IRS-FRAS) 6 MON</t>
  </si>
  <si>
    <t>MIBOR07M - MIBOR-MID MKT (IRS-FRAS) 7 MON</t>
  </si>
  <si>
    <t>MIBOR08M - MIBOR-MID MKT (IRS-FRAS) 8 MON</t>
  </si>
  <si>
    <t>MIBOR09M - MIBOR-MID MKT (IRS-FRAS) 9 MON</t>
  </si>
  <si>
    <t>MIBOR10M - MIBOR-MID MKT (IRS-FRAS) 10 MO</t>
  </si>
  <si>
    <t>MIBOR11M - MIBOR-MID MKT (IRS-FRAS) 11 MO</t>
  </si>
  <si>
    <t>MIBOR12M - MIBOR-MID MKT (IRS-FRAS) 12 MO</t>
  </si>
  <si>
    <t>MUNIPSA - BMA MUNI SWAP INDEX 7DAY TAX E</t>
  </si>
  <si>
    <t>MXBRBA - MEX OFFL OVERNIGHT CLS BK RATE</t>
  </si>
  <si>
    <t>MXCPI - MEXICO - CPI ACTL MONTH</t>
  </si>
  <si>
    <t>MXDPCETE - MEXICO TREASURIES CETES</t>
  </si>
  <si>
    <t>MXIB28D - MEXICAN INTERBANK TIIP&amp;TIIE IN</t>
  </si>
  <si>
    <t>MXIB91DT - MEXICAN INTERBANK TIIP&amp;TIIE TI</t>
  </si>
  <si>
    <t>MXIBTIIE - MEXICAN INTERBANK TIIP&amp;TIIE EQ</t>
  </si>
  <si>
    <t>MoAvg1yT - ONE YEAR MOVING AVERAGE OF US</t>
  </si>
  <si>
    <t>N.A. - NOT AVAILABLE</t>
  </si>
  <si>
    <t>N/A - UNKNOWN</t>
  </si>
  <si>
    <t>N/A 1MO - UNKNOWN BUT FREQUENCY = 1 MONT</t>
  </si>
  <si>
    <t>N/A 1YR - UNKNOWN BUT FREQUENCY = 1 YEAR</t>
  </si>
  <si>
    <t>N/A 3MO - UNKNOWN BUT FREQUENCY = 3 MONT</t>
  </si>
  <si>
    <t>N/A 6MO - UNKNOWN BUT FREQUENCY = 6 MONT</t>
  </si>
  <si>
    <t>N/A BIMTH - UNKNOWN BUT FREQUENCY IS BI-MO</t>
  </si>
  <si>
    <t>N/A DLY - UNKNOWN BUT FREQUENCY IS DAILY</t>
  </si>
  <si>
    <t>N/A WKLY - UNKNOWN BUT FREQUENCY IS WEEKL</t>
  </si>
  <si>
    <t>N/A n/a - UNKNOWN</t>
  </si>
  <si>
    <t>NDBB1M - NEW ZEALAND DOLLAR 1MO BK BILL</t>
  </si>
  <si>
    <t>NDBB3M - NEW ZEALAND DOLLAR 3MO BK BILL</t>
  </si>
  <si>
    <t>NDBB6M - NZD BANK BILL 6MO</t>
  </si>
  <si>
    <t>NECPIYOY - NETHERLANDS CPI YOY 2006=100</t>
  </si>
  <si>
    <t>NFIX3MID - NEW ZEALAND BANK BILL 3 MONTH</t>
  </si>
  <si>
    <t>NFIX6MID - NEW ZEALAND BANK BILL 6 MONTH</t>
  </si>
  <si>
    <t>NIBOR12M - NORWEGIAN INTERBANK OFFER 12 M</t>
  </si>
  <si>
    <t>NIBOR1M - NORWEGIAN INTERBANK OFFER 1 MO</t>
  </si>
  <si>
    <t>NIBOR1W - NORWEGIAN INTERBANK OFFER 1 WE</t>
  </si>
  <si>
    <t>NIBOR2M - NORWEGIAN INTERBANK OFFER 2 MO</t>
  </si>
  <si>
    <t>NIBOR2W - NORWEGIAN INTERBANK OFFER 2 WE</t>
  </si>
  <si>
    <t>NIBOR3M - NORWEGIAN INTERBANK OFFER 3 MO</t>
  </si>
  <si>
    <t>NIBOR6M - NORWEGIAN INTERBANK OFFER 6 MO</t>
  </si>
  <si>
    <t>NIBOR9M - NORWEGIAN INTERBANK OFFER 9 MO</t>
  </si>
  <si>
    <t>NLF - currently unknown</t>
  </si>
  <si>
    <t>NMCR - NAT FNL Avrge Mtge Contract Rt</t>
  </si>
  <si>
    <t>NSERO - INDIA NATL STOCK EXCH INTERBK</t>
  </si>
  <si>
    <t>NZ0003M - BBA LIBOR NZD 3 MONTH</t>
  </si>
  <si>
    <t>NZBB3M - 3MO NEW ZEALAND BBAM LIBOR</t>
  </si>
  <si>
    <t>PDSF3MO - PDEX PDST-F FIXING 3 MONTH</t>
  </si>
  <si>
    <t>PE0001M - LIBOR PTE BBA 11 A.M. FIXING1</t>
  </si>
  <si>
    <t>PE0002M - LIBOR PTE BBA 11 A.M. FIXING2</t>
  </si>
  <si>
    <t>PE0003M - LIBOR PTE BBA 11 A.M. FIXING3</t>
  </si>
  <si>
    <t>PE0004M - LIBOR PTE BBA 11 A.M. FIXING4</t>
  </si>
  <si>
    <t>PE0005M - LIBOR PTE BBA 11 A.M. FIXING5</t>
  </si>
  <si>
    <t>JY0010M - LIBOR JPY BBA 11 A.M. FIXING10</t>
  </si>
  <si>
    <t>JY0011M - LIBOR JPY BBA 11 A.M. FIXING11</t>
  </si>
  <si>
    <t>JY0012M - LIBOR JPY BBA 11 A.M. FIXING1</t>
  </si>
  <si>
    <t>JYSW1 - JPY SWAP 1Y</t>
  </si>
  <si>
    <t>JYSW10 - JPY SWAP 10 YR</t>
  </si>
  <si>
    <t>JYSW20 - JAPANESE YEN 20 YR SWAP</t>
  </si>
  <si>
    <t>KIBOR3M - 3 MTH KUWAIT INTERBANK RATE</t>
  </si>
  <si>
    <t>KIBOR6M - Kuwait Interbank 6 M</t>
  </si>
  <si>
    <t>KLIB12M - MALAYSIA INTERBANK OFFERED RAT</t>
  </si>
  <si>
    <t>KLIM12M - KLIBOR-MALAYSIAN RINGITT</t>
  </si>
  <si>
    <t>KLIM1M - KLIBOR-MALAYSIAN RINGITT</t>
  </si>
  <si>
    <t>KLIM1W - KLIBOR-MALAYSIAN RINGITT</t>
  </si>
  <si>
    <t>KLIM2M - KLIBOR-MALAYSIAN RINGITT</t>
  </si>
  <si>
    <t>KLIM3M - KLIBOR-MALAYSIAN RINGITT</t>
  </si>
  <si>
    <t>KLIM6M - KLIBOR-MALAYSIAN RINGITT</t>
  </si>
  <si>
    <t>KLIM9M - KLIBOR-MALAYSIAN RINGITT</t>
  </si>
  <si>
    <t>KLIMON - KLIBOR-MALAYSIAN RINGITT</t>
  </si>
  <si>
    <t>KRH13MO - "NATIONAL HOUSING BOND 1, 3 MO</t>
  </si>
  <si>
    <t>KRH15YR - Korea National Housing Bond 15</t>
  </si>
  <si>
    <t>KSDATR5Y - S Korea Dly Cls of 5 Yr Tr BD</t>
  </si>
  <si>
    <t>KUBRDISC - KUWAIT BANK RATES DISC</t>
  </si>
  <si>
    <t>KWCB3Y - SOUTH KOREAN GOVERNMENT 3 YEAR</t>
  </si>
  <si>
    <t>KWCD3M - KOREAN WON 3 MONTH CD RATES</t>
  </si>
  <si>
    <t>KWCD6M - KOREAN WON 6 MONTH CD RATES</t>
  </si>
  <si>
    <t>KWCDC - KOREAN WON CD 3 MONTH</t>
  </si>
  <si>
    <t>KWCNNH5 - KOREA SEC DEALER ASSOC SK 5YR</t>
  </si>
  <si>
    <t>KWNDF3 - KOREAN WON TREASURY BOND 3 YR</t>
  </si>
  <si>
    <t>KWNDF5 - S. KOREAN FIVE YR TRES. BOND</t>
  </si>
  <si>
    <t>LAMA1MTH - Fannie Mae US 1 Month Libor AR</t>
  </si>
  <si>
    <t>LAMA6MTH - LIBOR ANNUAL MONTHLY AVERAGE6M</t>
  </si>
  <si>
    <t>LBDP1Y - DEPOSIT RATE 1Y DEPO</t>
  </si>
  <si>
    <t>LIBID - LONDON INTERBANK BID RATE</t>
  </si>
  <si>
    <t>LIBID 1MO - LONDON INTERBANK BID RATE</t>
  </si>
  <si>
    <t>LIBID 1YR - LONDON INTERBANK BID RATE</t>
  </si>
  <si>
    <t>LIBID 3MO - LONDON INTERBANK BID RATE</t>
  </si>
  <si>
    <t>LIBID 6MO - LONDON INTERBANK BID RATE</t>
  </si>
  <si>
    <t>LIBID BIMTH - LONDON INTERBANK BID RATE</t>
  </si>
  <si>
    <t>LIBID DLY - LONDON INTERBANK BID RATE</t>
  </si>
  <si>
    <t>LIBID WKLY - LONDON INTERBANK BID RATE</t>
  </si>
  <si>
    <t>LIBID n/a - LONDON INTERBANK BID RATE</t>
  </si>
  <si>
    <t>LIBOR - LONDON INTERBANK OFFER RATE</t>
  </si>
  <si>
    <t>LIBOR 11MO - LONDON INTERBANK OFFER RATE</t>
  </si>
  <si>
    <t>LIBOR 1MO - LONDON INTERBANK OFFER RATE</t>
  </si>
  <si>
    <t>LIBOR 1YR - LONDON INTERBANK OFFER RATE</t>
  </si>
  <si>
    <t>LIBOR 3MO - LONDON INTERBANK OFFER RATE</t>
  </si>
  <si>
    <t>LIBOR 6MO - LONDON INTERBANK OFFER RATE</t>
  </si>
  <si>
    <t>LIBOR BIMTH - LONDON INTERBANK OFFER RATE</t>
  </si>
  <si>
    <t>LIBOR DLY - LONDON INTERBANK OFFER RATE</t>
  </si>
  <si>
    <t>LIBOR LIMEAN - AVG LIBOR AN LONDON INTERBK BI</t>
  </si>
  <si>
    <t>LIBOR WKLY - LONDON INTERBANK OFFER RATE</t>
  </si>
  <si>
    <t>LIBOR s.f,v - LIBOR LIMEAN</t>
  </si>
  <si>
    <t>LIBOR04M - BBA 4MO USD LIBOR RATE</t>
  </si>
  <si>
    <t>LIBOR10M - BBA LIBOR USD 10 Month</t>
  </si>
  <si>
    <t>LIEBB03M - EURO LIBID AND LIBMEAN RATESBI</t>
  </si>
  <si>
    <t>LIEBB04M - EURO LIBID &amp; LIBMEAN RATES 4MO</t>
  </si>
  <si>
    <t>LIMEAN - LIMEAN IS THE AVERAGE OF THE L</t>
  </si>
  <si>
    <t>EU0005M - LIBOR XEU BBA 11 A.M. FIXING5</t>
  </si>
  <si>
    <t>EU0006M - LIBOR XEU BBA 11 A.M. FIXING6</t>
  </si>
  <si>
    <t>EU0007M - LIBOR XEU BBA 11 A.M. FIXING7</t>
  </si>
  <si>
    <t>EU0008M - LIBOR XEU BBA 11 A.M. FIXING8</t>
  </si>
  <si>
    <t>EU0009M - LIBOR XEU BBA 11 A.M. FIXING9</t>
  </si>
  <si>
    <t>EU0010M - LIBOR XEU BBA 11 A.M. FIXING10</t>
  </si>
  <si>
    <t>EU0011M - LIBOR XEU BBA 11 A.M. FIXING11</t>
  </si>
  <si>
    <t>EU0012M - LIBOR XEU BBA 11 A.M. FIXING1</t>
  </si>
  <si>
    <t>EUCV01M - EURIBOR 1 MONTH</t>
  </si>
  <si>
    <t>EUCV02M - "EURIBOR 2 MONTH, Euro area in</t>
  </si>
  <si>
    <t>EUCV03M - EURIBOR 3 MONTH</t>
  </si>
  <si>
    <t>EUCV04M - EURIBOR 4 MONTH</t>
  </si>
  <si>
    <t>EUCV05M - EURIBOR 5 MONTH</t>
  </si>
  <si>
    <t>EUCV06M - EURIBOR 6 MONTH</t>
  </si>
  <si>
    <t>EUCV12M - EURIBOR 12 MONTH</t>
  </si>
  <si>
    <t>EUR001M - EURIBOR 1 MONTH</t>
  </si>
  <si>
    <t>EUR001W - EURIBOR 1 WEEK</t>
  </si>
  <si>
    <t>EUR002M - EURIBOR 2 MONTH</t>
  </si>
  <si>
    <t>EUR003M - EURIBOR 3 MONTH</t>
  </si>
  <si>
    <t>EUR004M - EURIBOR 4 MONTH</t>
  </si>
  <si>
    <t>EUR005M - EURIBOR 5 MONTH</t>
  </si>
  <si>
    <t>EUR006M - EURIBOR 6 MONTH</t>
  </si>
  <si>
    <t>EUR007M - EURIBOR 7 MONTH</t>
  </si>
  <si>
    <t>EUR008M - EURIBOR 8 MONTH</t>
  </si>
  <si>
    <t>EUR009M - EURIBOR 9 MONTH</t>
  </si>
  <si>
    <t>EUR010M - EURIBOR 10 MONTH</t>
  </si>
  <si>
    <t>EUR011M - EURIBOR 11 MONTH</t>
  </si>
  <si>
    <t>EUR012M - EURIBOR 12 MONTH</t>
  </si>
  <si>
    <t>EUSA1 - EUR SWAP ANNUAL 1 YR</t>
  </si>
  <si>
    <t>EUSA10 - Euro Swap Annual 10 yr</t>
  </si>
  <si>
    <t>EUSA12 - EUR SWAP ANNUAL 12 YR</t>
  </si>
  <si>
    <t>EUSA15 - EUR SWAP ANNUAL 15 YR</t>
  </si>
  <si>
    <t>EUSA2 - EURO SWAP ANNUAL 2 YEAR</t>
  </si>
  <si>
    <t>EUSA20 - Euro Swap Annual 20 yr</t>
  </si>
  <si>
    <t>EUSA3 - EURO SWAP ANNUAL 3 YEAR</t>
  </si>
  <si>
    <t>EUSA30 - Euro Swap Annual 30 yr</t>
  </si>
  <si>
    <t>EUSA5 - Euro Swap Annual 5 yr</t>
  </si>
  <si>
    <t>EUSA50 - EUR SWAP ANNUAL 50 YR</t>
  </si>
  <si>
    <t>EUSA6 - EUR SWAP ANNUAL 6 YR</t>
  </si>
  <si>
    <t>EUSA7 - EUR SWAP ANNUAL 7 YR</t>
  </si>
  <si>
    <t>EUSA8 - EUR SWAP ANNUAL 8 YR</t>
  </si>
  <si>
    <t>EUYN03M - EURO YEN FIXING RATES 3 MONTH</t>
  </si>
  <si>
    <t>FBDP1Y - DEPOSIT RATE 1Y DEPO</t>
  </si>
  <si>
    <t>FBSA2Y - CBC Farmers Bk of China 2Y dep</t>
  </si>
  <si>
    <t>FCPR1MO - PANAMA UNKNOWN INDEX FREQ 1MO</t>
  </si>
  <si>
    <t>FCPR1YR - PANAMA UNKNOWN INDEX FREQ 1YR</t>
  </si>
  <si>
    <t>FCPR3MO - PANAMA UNKNOWN INDEX FREQ 3MO</t>
  </si>
  <si>
    <t>FCPR6MO - PANAMA UNKNOWN INDEX FREQ 6MO</t>
  </si>
  <si>
    <t>FCPRBIMTH - PANAMA UNKNOWN INDEX FREQ BI M</t>
  </si>
  <si>
    <t>FCPRDLY - Fed Daily Prime Loan Rate</t>
  </si>
  <si>
    <t>FDFD - FEDERAL FUNDS RATE</t>
  </si>
  <si>
    <t>FEDFOPEN - FEDERAL FUNDS RATE OPEN</t>
  </si>
  <si>
    <t>FEDL01 - FEDERAL FUNDS EFFECTIVE</t>
  </si>
  <si>
    <t>FEDSOPEN - FEDERAL FUNDS OPEN RATE GARBN</t>
  </si>
  <si>
    <t>FEDSPREB - FEDERAL FUNDS OPEN RATE PREBON</t>
  </si>
  <si>
    <t>FHLA05YR - FHLB NEW YORK ADVANCE RATES 5</t>
  </si>
  <si>
    <t>FHLB4YAd - FHLB 4 YEAR DAILY AVERAGE</t>
  </si>
  <si>
    <t>FHLB5YAd - FHLB 5 YEAR DAILY AVERAGE</t>
  </si>
  <si>
    <t>FHLBBCOF - FHLB COST OF FUNDS</t>
  </si>
  <si>
    <t>FIBOR - FRANKFURT INTERBANK DEUTSCHMAR</t>
  </si>
  <si>
    <t>FIBOR 1MO - FRANKFURT INTERBANK DEUTSCHMAR</t>
  </si>
  <si>
    <t>FIBOR 1YR - FRANKFURT INTERBANK DEUTSCHMAR</t>
  </si>
  <si>
    <t>FIBOR 3MO - FRANKFURT INTERBANK DEUTSCHMAR</t>
  </si>
  <si>
    <t>FIBOR 6MO - FRANKFURT INTERBANK DEUTSCHMAR</t>
  </si>
  <si>
    <t>FIBOR BIMTH - FRANKFURT INTERBANK DEUTSCHMAR</t>
  </si>
  <si>
    <t>FIBOR DLY - FRANKFURT INTERBANK DEUTSCHMAR</t>
  </si>
  <si>
    <t>FIBOR WKLY - FRANKFURT INTERBANK DEUTSCHMAR</t>
  </si>
  <si>
    <t>FIBOR n/a - FRANKFURT INTERBANK DEUTSCHMAR</t>
  </si>
  <si>
    <t>FNCR3060 - FNCR3060</t>
  </si>
  <si>
    <t>FR0001M - LIBOR FRF BBA 11 A.M. FIXING1</t>
  </si>
  <si>
    <t>FR0002M - LIBOR FRF BBA 11 A.M. FIXING2</t>
  </si>
  <si>
    <t>FR0003M - LIBOR FRF BBA 11 A.M. FIXING3</t>
  </si>
  <si>
    <t>FR0004M - LIBOR FRF BBA 11 A.M. FIXING4</t>
  </si>
  <si>
    <t>FR0005M - LIBOR FRF BBA 11 A.M. FIXING5</t>
  </si>
  <si>
    <t>FR0006M - LIBOR FRF BBA 11 A.M. FIXING6</t>
  </si>
  <si>
    <t>FR0007M - LIBOR FRF BBA 11 A.M. FIXING7</t>
  </si>
  <si>
    <t>FR0008M - LIBOR FRF BBA 11 A.M. FIXING8</t>
  </si>
  <si>
    <t>FR0009M - LIBOR FRF BBA 11 A.M. FIXING9</t>
  </si>
  <si>
    <t>FR0010M - LIBOR FRF BBA 11 A.M. FIXING10</t>
  </si>
  <si>
    <t>PE0006M - LIBOR PTE BBA 11 A.M. FIXING6</t>
  </si>
  <si>
    <t>PE0007M - LIBOR PTE BBA 11 A.M. FIXING7</t>
  </si>
  <si>
    <t>PE0008M - LIBOR PTE BBA 11 A.M. FIXING8</t>
  </si>
  <si>
    <t>PE0009M - LIBOR PTE BBA 11 A.M. FIXING9</t>
  </si>
  <si>
    <t>PE0010M - LIBOR PTE BBA 11 A.M. FIXING10</t>
  </si>
  <si>
    <t>PE0011M - LIBOR PTE BBA 11 A.M. FIXING11</t>
  </si>
  <si>
    <t>PE0012M - LIBOR PTE BBA 11 A.M. FIXING1</t>
  </si>
  <si>
    <t>PHFL - PHILIPPINES FLOATER INDEX INDE</t>
  </si>
  <si>
    <t>PIBOFF1M - PARIS INTERBANK FIXING 1 MONTH</t>
  </si>
  <si>
    <t>PIBOFF1Y - PARIS INTERBANK FIXING 1 YEAR</t>
  </si>
  <si>
    <t>PIBOFF3M - PARIS INTERBANK FIXING 3 MONTH</t>
  </si>
  <si>
    <t>PIBOFF6M - PARIS INTERBANK FIXING 6 MONTH</t>
  </si>
  <si>
    <t>PIBOR - PIBOR IS THE PARIS INTERBANK O</t>
  </si>
  <si>
    <t>PIBOR 1MO - PIBOR IS THE PARIS INTERBANK O</t>
  </si>
  <si>
    <t>PIBOR 1YR - PIBOR IS THE PARIS INTERBANK O</t>
  </si>
  <si>
    <t>PIBOR 3MO - PIBOR IS THE PARIS INTERBANK O</t>
  </si>
  <si>
    <t>PIBOR 6MO - PIBOR IS THE PARIS INTERBANK O</t>
  </si>
  <si>
    <t>PIBOR BIMTH - PIBOR IS THE PARIS INTERBANK O</t>
  </si>
  <si>
    <t>PIBOR DLY - PIBOR IS THE PARIS INTERBANK O</t>
  </si>
  <si>
    <t>PIBOR WKLY - PIBOR IS THE PARIS INTERBANK O</t>
  </si>
  <si>
    <t>PIBOR n/a - PIBOR IS THE PARIS INTERBANK O</t>
  </si>
  <si>
    <t>PKDP6M - STATE BANK OF PAK KIBOR 6 MO</t>
  </si>
  <si>
    <t>PMMT3MO - MART TENOR -3MO PHILIP GOVT T-</t>
  </si>
  <si>
    <t>PNMR - Panamanian Mortgage Reference</t>
  </si>
  <si>
    <t>PPTB182D - PHILIPPINES PESO T-BILL T BILL</t>
  </si>
  <si>
    <t>CANPRM WKLY - CANADIAN PRIME RATE. WEEKLY</t>
  </si>
  <si>
    <t>ARDRUSD - ARGENTINA DEPOSIT RATES AV</t>
  </si>
  <si>
    <t>ASBIAY1M - Avg Yield</t>
  </si>
  <si>
    <t>BDDRC - BHD DEPOSIT 3 MO</t>
  </si>
  <si>
    <t>BPISDB10 - ISDAFIX GBP Morning Fixing 10Y</t>
  </si>
  <si>
    <t>BUBIRATE - Bulgaria Base Interest Rate In</t>
  </si>
  <si>
    <t>BZDIOVRA - Brazil Interbank Dep.- Over CD</t>
  </si>
  <si>
    <t>BZPIINPC - Brazil Inflation Indices IN</t>
  </si>
  <si>
    <t>CKSWF - CZK SWAP 6M</t>
  </si>
  <si>
    <t>CPTW180D - TWD 2nd CP 180D</t>
  </si>
  <si>
    <t>ECTRPAS - Ecuador Tasa Referencial Pa</t>
  </si>
  <si>
    <t>EIISDA01 - 1y 10amLDN time EURIBOR Fixing</t>
  </si>
  <si>
    <t>EIISDA02 - 2y 10amLDN time EURIBOR Fixing</t>
  </si>
  <si>
    <t>EIISDA03 - 3y 10amLDN time EURIBOR Fixing</t>
  </si>
  <si>
    <t>EIISDA04 - 4y 10amLDN time EURIBOR Fixing</t>
  </si>
  <si>
    <t>EIISDA05 - 5y 10amLDN time EURIBOR Fixing</t>
  </si>
  <si>
    <t>EIISDA06 - 6y 10amLDN time EURIBOR Fixing</t>
  </si>
  <si>
    <t>EIISDA07 - 7y 10amLDN time EURIBOR Fixing</t>
  </si>
  <si>
    <t>EIISDA09 - 9y 10amLDN time EURIBOR Fixing</t>
  </si>
  <si>
    <t>EIISDA10 - 10Y10amLDN time EURIBOR Fixing</t>
  </si>
  <si>
    <t>EIISDA20 - 20Y10amLDN time EURIBOR Fixing</t>
  </si>
  <si>
    <t>EIISDA30 - 30Y10amLDN time EURIBOR Fixing</t>
  </si>
  <si>
    <t>EIISDB03 - 3y 11amLDN time EURIBOR Fixing</t>
  </si>
  <si>
    <t>EIISDB05 - 5y 11amLDN time EURIBOR Fixing</t>
  </si>
  <si>
    <t>EIISDB10 - 10Y11amLDN time EURIBOR Fixing</t>
  </si>
  <si>
    <t>ELISDA10 - 10Y EURO 10.00LDN Libor Fixing</t>
  </si>
  <si>
    <t>EUSA25 - EUR SWAP ANNUAL 25 YR</t>
  </si>
  <si>
    <t>EUYN06M - EURO YEN TIBOR FIXING RATES 6</t>
  </si>
  <si>
    <t>FCPR - The Fed Bank Prime Loan RateRa</t>
  </si>
  <si>
    <t>GUKG4 - 4 Year</t>
  </si>
  <si>
    <t>JIBA1M - SA JIBAR 1M</t>
  </si>
  <si>
    <t>JYISDA09 - ISDAFIX JPY Morning Fixing 9Y</t>
  </si>
  <si>
    <t>JYISDA20 - ISDAFIX JPY Morning Fixing 20Y</t>
  </si>
  <si>
    <t>JYISDP20 - ISDAFIX JPY PM Fixing 20Y</t>
  </si>
  <si>
    <t>KACPYOY - Kazakhstan CPI Yo</t>
  </si>
  <si>
    <t>MOSKP3 - Mosp Prime 3</t>
  </si>
  <si>
    <t>NFIX3FRA - 3 Month FRA</t>
  </si>
  <si>
    <t>NFIX5FRA - 2 Month FRA</t>
  </si>
  <si>
    <t>PAK 6MO - Pakistan T-Bill Auction 6</t>
  </si>
  <si>
    <t>PKDP3M - KIBOR Fixing PKR 3 M</t>
  </si>
  <si>
    <t>PKVB5Y - PK Invest Bond Yield 5Year</t>
  </si>
  <si>
    <t>PWTB52AA - POLISH TREASURY BILL AUCTION52</t>
  </si>
  <si>
    <t>PWTB52MA - POLISH TREASURY BILL AUCTION52</t>
  </si>
  <si>
    <t>RIGI3M - RIGIBOR 3 Month</t>
  </si>
  <si>
    <t>SAIB6M - Saudi Interbank Avg 6M</t>
  </si>
  <si>
    <t>SDSW2 - SGD SWAP 2 YR</t>
  </si>
  <si>
    <t>SEDA6MRE - ISK REIBOR 6 Month</t>
  </si>
  <si>
    <t>SFISDA05 - ISDAFIX CHF Morning Fixing 5Y</t>
  </si>
  <si>
    <t>SFISDA06 - ISDAFIX CHF Morning Fixing 6Y</t>
  </si>
  <si>
    <t>SFISDA10 - ISDAFIX CHF Morning Fixing 10Y</t>
  </si>
  <si>
    <t>SHIF1Y - SHIBOR Fixing 12M</t>
  </si>
  <si>
    <t>SKCPMYOY - Sri Lanka CPI Av</t>
  </si>
  <si>
    <t>SLTN1YYD - Sri Lanka T-Bill Wt Avg Yld 36</t>
  </si>
  <si>
    <t>SLTN6MYD - Sri Lanka T-Bill Wt Avg Yld 18</t>
  </si>
  <si>
    <t>TAVG3MD4 - 3M Fix Dep</t>
  </si>
  <si>
    <t>TWPOFS1Y - Taiwan Postal Savings 1Y</t>
  </si>
  <si>
    <t>USISDA05 - ISDAFIX USD Morning Fixing 5Y</t>
  </si>
  <si>
    <t>USISDA10 - ISDAFIX USD Morning Fixing 10Y</t>
  </si>
  <si>
    <t>USISSA05 - ISDAFIX USD AM Fixing Spread5Y</t>
  </si>
  <si>
    <t>VLET91MD - VZ Letras Avg 3 last (91 days)</t>
  </si>
  <si>
    <t>VNBOAGRI - VENEZUELA BORROWING RATES AG</t>
  </si>
  <si>
    <t>VSR11001 - BANK OF TAIWAN</t>
  </si>
  <si>
    <t>VSR11003 - LAND BANK OF TAIWAN</t>
  </si>
  <si>
    <t>VSR12844 - TAISHIN INTERNATIONAL BANK</t>
  </si>
  <si>
    <t>H15I5Y - Interest Rate Swaps 5-Years</t>
  </si>
  <si>
    <t>LIBR - LIBOR</t>
  </si>
  <si>
    <t>OTHR - OTHER</t>
  </si>
  <si>
    <t>PRME - PRIME</t>
  </si>
  <si>
    <t>SMSW - SIFMA (BMA) MUNICIPAL SWAP</t>
  </si>
  <si>
    <t>TRSY - TREASURY</t>
  </si>
  <si>
    <t>EURI - EURIBOR</t>
  </si>
  <si>
    <t>RREFRATE - RUSSIA BANK REFINANCE RATE</t>
  </si>
  <si>
    <t>RUFR1W - RUSSIA FIXED REPO 1 WEEK</t>
  </si>
  <si>
    <t>CMT - CMT</t>
  </si>
  <si>
    <t>CPI - CPI</t>
  </si>
  <si>
    <t>STE - SIFMA (BMA) AUCTION RATE INDEX</t>
  </si>
  <si>
    <t>INFL - INFLATION RATE</t>
  </si>
  <si>
    <t>SPHM - S&amp;P HIGH GRADE MUNICIPAL INDEX</t>
  </si>
  <si>
    <t>USFF - FED FUNDS RATE</t>
  </si>
  <si>
    <t>USSW - USD SWAP</t>
  </si>
  <si>
    <t>MOSKON - Moscow Prime Offered Rate ON</t>
  </si>
  <si>
    <t>MOSK1W - Moscow Prime Offered Rate 1Wk</t>
  </si>
  <si>
    <t>MOSK2W - Moscow Prime Offered Rate 2Wk</t>
  </si>
  <si>
    <t>MOSKP1 - Moscow Prime Offered Rate 1M</t>
  </si>
  <si>
    <t>MOSKP2 - Moscow Prime Offered Rate 2M</t>
  </si>
  <si>
    <t>MOSKP6 - Moscow Prime Offered Rate 6M</t>
  </si>
  <si>
    <t>ADSWAP5 - AUD SWAP 5 YR</t>
  </si>
  <si>
    <t>ALAT12AV - Albania TBill Auction 12M Resu</t>
  </si>
  <si>
    <t>ASCIAY3M - Indonesia TBill 3 Month Auctio</t>
  </si>
  <si>
    <t>BOFX3M - THAILAND BIBOR FIXINGS 3 MONTH</t>
  </si>
  <si>
    <t>BOTC91AY - BOTC91AY</t>
  </si>
  <si>
    <t>BPISDB15 - ISDAFIX GBP Morning Fixing 15Y</t>
  </si>
  <si>
    <t>BPSW5 - GBP SWAP 5YR</t>
  </si>
  <si>
    <t>BREFRATE - BREFRATE</t>
  </si>
  <si>
    <t>BUBOR01Y - BUDAPEST INTERBANK OFFERED 1YR</t>
  </si>
  <si>
    <t>BUBR12M - ROMANIA BUBOR 12 MONTHS</t>
  </si>
  <si>
    <t>CBRCVS1Y - Taiwan Var Term Saving Rate 1Y</t>
  </si>
  <si>
    <t>CBRCVS3Y - Taiwan Var Term Saving Rate 3Y</t>
  </si>
  <si>
    <t>CDSW2 - CAD SWAP 2Y</t>
  </si>
  <si>
    <t>CDSW5 - CAD SWAP 5Y</t>
  </si>
  <si>
    <t>CKSW1 - CZK SWAP 1Y</t>
  </si>
  <si>
    <t>CKSW10 - CZK SWAP 10Y</t>
  </si>
  <si>
    <t>CKSW3 - CZK SWAP 3Y</t>
  </si>
  <si>
    <t>CKSW4 - CZK SWAP 4Y</t>
  </si>
  <si>
    <t>CKSW5 - CZK SWAP 5Y</t>
  </si>
  <si>
    <t>CKSWC - CZK SWAP 3M</t>
  </si>
  <si>
    <t>COOVIBR - Colombia IBR Overnight</t>
  </si>
  <si>
    <t>EBFSSW12 - EBF Eonia Swap Index 12 Month</t>
  </si>
  <si>
    <t>EDRRPASI - Ecuador PvtBnks WAD Rt 84-91 D</t>
  </si>
  <si>
    <t>EGBRDISC - Bank of Egypt Re Discount Rate</t>
  </si>
  <si>
    <t>EGTBY6 - 6M Average Yield</t>
  </si>
  <si>
    <t>EIISDA08 - 8y 10amLDN time EURIBOR Fixing</t>
  </si>
  <si>
    <t>EIISDA15 - 15y 10amLDN time EURIBOR Fixin</t>
  </si>
  <si>
    <t>EIISDA25 - 25y 10amLDN time EURIBOR Fixin</t>
  </si>
  <si>
    <t>EIISDB04 - 3y 11amLDN time EURIBOR Fixing</t>
  </si>
  <si>
    <t>EIISDB06 - 3y 11amLDN time EURIBOR Fixing</t>
  </si>
  <si>
    <t>EIISDB20 - 3y 11amLDN time EURIBOR Fixing</t>
  </si>
  <si>
    <t>ELISDA05 - 05Y EURO 10.00LDN Libor Fixing</t>
  </si>
  <si>
    <t>ELISDA07 - 07Y EURO 10.00LDN Libor Fixing</t>
  </si>
  <si>
    <t>ELISDA30 - 30Y EURO 10.00LDN Libor Fixing</t>
  </si>
  <si>
    <t>ELISDB10 - 10Y ISDAFIX 11.00AM LDN EUR Li</t>
  </si>
  <si>
    <t>EUCV01W - Euribor 1 Week ACT 365</t>
  </si>
  <si>
    <t>EUSA4 - EUR SWAP ANNUAL 4 YR</t>
  </si>
  <si>
    <t>GCAN3M - Canadian Govt Bonds 3 Mo Bill</t>
  </si>
  <si>
    <t>GCAN5YR - Canadian Govt Bonds 5 Yr Note</t>
  </si>
  <si>
    <t>GINB182A - India TBill Auction Ylds 3 Avg</t>
  </si>
  <si>
    <t>GSPG5YR - Spanish Govt Bonds 5 Yr Note</t>
  </si>
  <si>
    <t>GUKG1 - UK Govt Bonds 1 Year Note</t>
  </si>
  <si>
    <t>GUKG10 - UK Govt Bonds 10 Year Note</t>
  </si>
  <si>
    <t>HBTB03YA - Hungary TBill Auction 3 Mo Avg</t>
  </si>
  <si>
    <t>HICNH3M - 3M CNH Hong Kong (Hibor) Fixin</t>
  </si>
  <si>
    <t>HKCPIY - Hong Kong CPI Composite YoY</t>
  </si>
  <si>
    <t>IECM2Y - Turkish Government Bond 2Y Yld</t>
  </si>
  <si>
    <t>JMTB3MDI - Bank of Jamaica 3 Mo Tbill</t>
  </si>
  <si>
    <t>JYSW5 - JPY SWAP 5 YR</t>
  </si>
  <si>
    <t>KIBODISC - Kuwait Central Bank Disc Rate</t>
  </si>
  <si>
    <t>KSDANH5Y - KSDA South Korea Daily 5 Yr</t>
  </si>
  <si>
    <t>KTBT6MD - Krung Thai Bank Thailand 6 Mo</t>
  </si>
  <si>
    <t>MAKA5DAY - Israel Gilon 5 Day</t>
  </si>
  <si>
    <t>MKTB6MNY - MOLDOVA 6 Mo Bill Auction Yld</t>
  </si>
  <si>
    <t>NDSWAP1 - NZD SWAP 1 YR</t>
  </si>
  <si>
    <t>NDSWAP3 - NZD SWAP 3 YR</t>
  </si>
  <si>
    <t>NDSWAP5 - NZD SWAP 5 YR</t>
  </si>
  <si>
    <t>NFIX3BID - New Zealand Bank Bill 3 Mo Bid</t>
  </si>
  <si>
    <t>PCRR360D - Chile TAB UF IB Rate 360 D</t>
  </si>
  <si>
    <t>PDAT52AA - Poland TBill 52 W Avg Yield 4</t>
  </si>
  <si>
    <t>PDSF10YR - PDEX PDST-F Fixing 10 Year</t>
  </si>
  <si>
    <t>PDSF6MO - PDEX PDST-F Fixing 6 Month</t>
  </si>
  <si>
    <t>PRIO1M - Czech Interbank Rate 1 Mo Bid</t>
  </si>
  <si>
    <t>RRSOC - RUB SWAP RUONIA 3 MO</t>
  </si>
  <si>
    <t>RUCPIYOY - Russia CPI YoY</t>
  </si>
  <si>
    <t>RUMN1Y - Russia BankRepo Min Rate 1 Yr</t>
  </si>
  <si>
    <t>SEKEPOL - Serbia Key Policy Rate</t>
  </si>
  <si>
    <t>SHBA1Y20 - SHIBOR 1 Year 20-Day Average</t>
  </si>
  <si>
    <t>SHBA1Y5 - SHIBOR 1 Year 5-Day Average</t>
  </si>
  <si>
    <t>SHBA3M10 - SHIBOR 3 Month 10-Day Average</t>
  </si>
  <si>
    <t>SHBA3M5 - SHIBOR 3 Month 5-Day Average</t>
  </si>
  <si>
    <t>SHIF6M - Shanghai IBR Fixing - 6 Mo</t>
  </si>
  <si>
    <t>SHIF9M - Shanghai IBR Fixing - 9 M0</t>
  </si>
  <si>
    <t>SISG6MO - Singapore Dollar IR Swap 6 Mo</t>
  </si>
  <si>
    <t>SISW10Y - Singapore banks SGD 10-yr Rate</t>
  </si>
  <si>
    <t>SISW3Y - Singapore banks SGD 3-yr Rate</t>
  </si>
  <si>
    <t>GNTH10YR - NETHERLANDS GOVT 10 YR BOND NA</t>
  </si>
  <si>
    <t>SISW5Y - Singapore banks SGD 5-yr Rate</t>
  </si>
  <si>
    <t>SK0003M - BBA Libor SEK 3 Month</t>
  </si>
  <si>
    <t>SOBR1M - Bulgaria SOFIBOR 1 Month</t>
  </si>
  <si>
    <t>SONIO/N - SONIA O/N DEPOSIT RATES SWAP</t>
  </si>
  <si>
    <t>SVBITOMY - Slovenia Basic IR TOM per Year</t>
  </si>
  <si>
    <t>TBBC3M - Canada bank TBills Three Month</t>
  </si>
  <si>
    <t>TI0001W - TIBOR-FIXING RATE 1 WEEK</t>
  </si>
  <si>
    <t>TI0006M - Tibor Fixing Rate 6 Month</t>
  </si>
  <si>
    <t>TURZD182 - Previous 6 Month Yield 182D</t>
  </si>
  <si>
    <t>TURZW182 - Previous 6 Month Yield</t>
  </si>
  <si>
    <t>TURZW91 - Previous 3 Month Yield</t>
  </si>
  <si>
    <t>US0305M - BBA LIBOR USD Barclays 5 Month</t>
  </si>
  <si>
    <t>USISDA02 - ISDAFIX USD Morning Fixing 2Y</t>
  </si>
  <si>
    <t>USISDA04 - ISDAFIX USD Morning Fixing 4Y</t>
  </si>
  <si>
    <t>USISDA07 - ISDAFIX USD Morning Fixing 7Y</t>
  </si>
  <si>
    <t>USISDA08 - ISDAFIX USD Morning Fixing 8Y</t>
  </si>
  <si>
    <t>USISDA30 - ISDAFIX USD Morning Fixing 30Y</t>
  </si>
  <si>
    <t>USISSA10 - ISDAFIX USD Morni Fix Sprd 10Y</t>
  </si>
  <si>
    <t>USSW30 - USD SWAP SEMI 30/360 30Y</t>
  </si>
  <si>
    <t>USSW6 - USD SWAP SEMI 30/360 6YR</t>
  </si>
  <si>
    <t>USSW7 - USD SWAP SEMI 30/360 7YR</t>
  </si>
  <si>
    <t>VDDR1 - VND 12 Month Deposit</t>
  </si>
  <si>
    <t>USBMMY3M - Underlying index for Treasury Floating Rate Notes</t>
  </si>
  <si>
    <t>PPTB364D - PHILIPPINES PESO T-BILL T BILL</t>
  </si>
  <si>
    <t>PPTB91D - PHILIPPINES PESO T-BILL T BILL</t>
  </si>
  <si>
    <t>PRCPI - PERU CPI INDEX</t>
  </si>
  <si>
    <t>PRIB01M - CZECH INTERBANK RATES 1 MONTH</t>
  </si>
  <si>
    <t>PRIB01W - CZECH INTERBANK RATES 1 WEEK</t>
  </si>
  <si>
    <t>PRIB01Y - CZECH INTERBANK RATES 1 YEAR</t>
  </si>
  <si>
    <t>PRIB02M - CZECH INTERBANK RATES 2 MONTH</t>
  </si>
  <si>
    <t>PRIB02W - CZECH INTERBANK RATES 2 WEEK</t>
  </si>
  <si>
    <t>PRIB03M - CZECH INTERBANK RATES 3 MONTH</t>
  </si>
  <si>
    <t>PRIB06M - CZECH INTERBANK RATES 6 MONTH</t>
  </si>
  <si>
    <t>PRIB09M - CZECH INTERBANK RATES 9 MONTH</t>
  </si>
  <si>
    <t>PRIBOVN - CZECH INTERBANK RATES OVERNIGH</t>
  </si>
  <si>
    <t>PRIME - PRIME RATE BY COUNTRY USA</t>
  </si>
  <si>
    <t>PRIME 1MO - PRIME RATE BY COUNTRY USA</t>
  </si>
  <si>
    <t>PRIME 1YR - PRIME RATE BY COUNTRY USA</t>
  </si>
  <si>
    <t>PRIME 3MO - PRIME RATE BY COUNTRY USA</t>
  </si>
  <si>
    <t>PRIME 6MO - PRIME RATE BY COUNTRY USA</t>
  </si>
  <si>
    <t>PRIME BIMTH - PRIME RATE BY COUNTRY USA</t>
  </si>
  <si>
    <t>PRIME DLY - PRIME RATE BY COUNTRY USA</t>
  </si>
  <si>
    <t>PRIME WKLY - PRIME RATE BY COUNTRY USA</t>
  </si>
  <si>
    <t>PRIME n/a - PRIME RATE BY COUNTRY USA</t>
  </si>
  <si>
    <t>PRIMHK - PRIME RATE BY COUNTRY HONG KON</t>
  </si>
  <si>
    <t>PWLB1MAT - PUBLIC WORKS LOAN FIXED RATE 1</t>
  </si>
  <si>
    <t>PZSW5 - PLN SWAP 5 YR</t>
  </si>
  <si>
    <t>PrevOccH - NAT FNL AVG MTGE CONTRACT RTCO</t>
  </si>
  <si>
    <t>REO 7 - REO 7</t>
  </si>
  <si>
    <t>REXY10Y - DEUTSCHE BOERSE REX YIELD 10 Y</t>
  </si>
  <si>
    <t>RIBORM1M - ROME INTERBANK OFFER RATE LR1</t>
  </si>
  <si>
    <t>RIBORM1W - ROME INTERBANK OFFER RATE LR1</t>
  </si>
  <si>
    <t>RIBORM2M - ROME INTERBANK OFFER RATE LR2</t>
  </si>
  <si>
    <t>H15T30Y - FED H.15:T-NOTE CONST MATRTY30</t>
  </si>
  <si>
    <t>H15T3Y - FED H.15:T-NOTE CONST MATRTY3</t>
  </si>
  <si>
    <t>H15T5Y - FED H.15:T-NOTE CONST MATRTY5</t>
  </si>
  <si>
    <t>H15T7Y - FED H.15:T-NOTE CONST MATRTY7</t>
  </si>
  <si>
    <t>H15TCOMP - FED H.15:T-NOTE CONST MATRTYCO</t>
  </si>
  <si>
    <t>HEBR12MO - HELSINKI INTERBANK OFFER RATE</t>
  </si>
  <si>
    <t>HEBR1MO - HELSINKI INTERBANK OFFER RATE</t>
  </si>
  <si>
    <t>HEBR2MO - HELSINKI INTERBANK OFFER RATE</t>
  </si>
  <si>
    <t>HEBR3MO - HELSINKI INTERBANK OFFER RATE</t>
  </si>
  <si>
    <t>HEBR6MO - HELSINKI INTERBANK OFFER RATE</t>
  </si>
  <si>
    <t>HEBR9MO - HELSINKI INTERBANK OFFER RATE</t>
  </si>
  <si>
    <t>HIBR03M - HONG KONG DOLLAR INTERBANK 3 M</t>
  </si>
  <si>
    <t>HIHD01M - HIBOR FIXINGS AT 11:OO AM 1 MO</t>
  </si>
  <si>
    <t>HIHD01W - HIBOR FIXINGS AT 11:OO AM 1 WE</t>
  </si>
  <si>
    <t>HIHD02M - HIBOR FIXINGS AT 11:OO AM 2 MO</t>
  </si>
  <si>
    <t>HIHD03M - HIBOR FIXINGS AT 11:OO AM 3 MO</t>
  </si>
  <si>
    <t>HIHD04M - "HIBOR FIXINGS AT 11:OO AM 4 M</t>
  </si>
  <si>
    <t>HIHD06M - HIBOR FIXINGS AT 11:OO AM 6 MO</t>
  </si>
  <si>
    <t>HIHD09M - HIBOR FIXINGS AT 11:OO AM 9 MO</t>
  </si>
  <si>
    <t>HIHD12M - HIBOR FIXINGS AT 11:OO AM 12 M</t>
  </si>
  <si>
    <t>HIHDO/N - HIBOR FIXINGS AT 11:OO AM OVER</t>
  </si>
  <si>
    <t>HKIRCOMP - HONG KONG COMPOSITE INTEREST R</t>
  </si>
  <si>
    <t>IBOV - BRAZIL BOVESPA STOCK INDEX</t>
  </si>
  <si>
    <t>IECPIYOY - IRELAND CPI ALL ITEMS YOY</t>
  </si>
  <si>
    <t>IL0001M - LIBOR ITL BBA 11 A.M. FIXING1</t>
  </si>
  <si>
    <t>IL0002M - LIBOR ITL BBA 11 A.M. FIXING2</t>
  </si>
  <si>
    <t>IL0003M - LIBOR ITL BBA 11 A.M. FIXING3</t>
  </si>
  <si>
    <t>IL0004M - LIBOR ITL BBA 11 A.M. FIXING4</t>
  </si>
  <si>
    <t>IL0005M - LIBOR ITL BBA 11 A.M. FIXING5</t>
  </si>
  <si>
    <t>IL0006M - LIBOR ITL BBA 11 A.M. FIXING6</t>
  </si>
  <si>
    <t>IL0007M - LIBOR ITL BBA 11 A.M. FIXING7</t>
  </si>
  <si>
    <t>IL0008M - LIBOR ITL BBA 11 A.M. FIXING8</t>
  </si>
  <si>
    <t>IL0009M - LIBOR ITL BBA 11 A.M. FIXING9</t>
  </si>
  <si>
    <t>IL0010M - LIBOR ITL BBA 11 A.M. FIXING10</t>
  </si>
  <si>
    <t>IL0011M - LIBOR ITL BBA 11 A.M. FIXING11</t>
  </si>
  <si>
    <t>IL0012M - LIBOR ITL BBA 11 A.M. FIXING12</t>
  </si>
  <si>
    <t>ILRSGVTG - Italy Rendista Govt Bonds Inde</t>
  </si>
  <si>
    <t>IMIBOR - INDIA INTERBANK RATES OFFER RA</t>
  </si>
  <si>
    <t>INFLT - INDEX USED FOR INDIAN FLOATERS</t>
  </si>
  <si>
    <t>ITCPIUNR - ITALY CPI FOI UNREVISED INDEX</t>
  </si>
  <si>
    <t>ITCPNICY - ITALY CPI NIC YoY NSA</t>
  </si>
  <si>
    <t>ITLBOT - ITALIAN TREASURY BILL</t>
  </si>
  <si>
    <t>ITLBOT 1MO - ITALIAN BOT (ITALIAN TREASURY</t>
  </si>
  <si>
    <t>ITLBOT 1YR - ITALIAN BOT (ITALIAN TREASURY</t>
  </si>
  <si>
    <t>ITLBOT 3MO - ITALIAN BOT (ITALIAN TREASURY</t>
  </si>
  <si>
    <t>ITLBOT 6MO - ITALIAN BOT (ITALIAN TREASURY</t>
  </si>
  <si>
    <t>ITLBOT BIMTH - ITALIAN BOT (ITALIAN TREASURY</t>
  </si>
  <si>
    <t>ITLBOT DLY - ITALIAN BOT (ITALIAN TREASURY</t>
  </si>
  <si>
    <t>ITLBOT WKLY - ITALIAN BOT (ITALIAN TREASURY</t>
  </si>
  <si>
    <t>ITLBOT n/a - ITALIAN BOT (ITALIAN TREASURY</t>
  </si>
  <si>
    <t>JGBY10YR - JGB FLOATING RATE YIELD 10YR F</t>
  </si>
  <si>
    <t>JIBA3M - JOHANNESBURG INTERBANK AG RATE</t>
  </si>
  <si>
    <t>JIBA6M - JOHANNESBURG INTERBANK AG RATE</t>
  </si>
  <si>
    <t>JIIN12M - JIBOR-INDONESIAN RUPIAH 1 YEAR</t>
  </si>
  <si>
    <t>JIIN1M - JIBOR-INDONESIAN RUPIAH 1 MONT</t>
  </si>
  <si>
    <t>JIIN1W - JIBOR-INDONESIAN RUPIAH 1 WEEK</t>
  </si>
  <si>
    <t>JIIN3M - JIBOR-INDONESIAN RUPIAH 3 MONT</t>
  </si>
  <si>
    <t>JIIN6M - JIBOR-INDONESIAN RUPIAH 6 MONT</t>
  </si>
  <si>
    <t>JIINON - JIBOR-INDONESIAN RUPIAH OVERNI</t>
  </si>
  <si>
    <t>JMTB3MYL - BANK OF JAMAICA 3 MONTH TREASU</t>
  </si>
  <si>
    <t>JMTB6MYL - BANK OF JAMAICA 6 MONTH TREASU</t>
  </si>
  <si>
    <t>JNPRLONG - JAPANESE PRIME RATE LONG TERM</t>
  </si>
  <si>
    <t>JY0001M - LIBOR JPY BBA 11 A.M. FIXING1</t>
  </si>
  <si>
    <t>JY0002M - LIBOR JPY BBA 11 A.M. FIXING2</t>
  </si>
  <si>
    <t>JY0003M - LIBOR JPY BBA 11 A.M. FIXING3</t>
  </si>
  <si>
    <t>JY0004M - LIBOR JPY BBA 11 A.M. FIXING4</t>
  </si>
  <si>
    <t>JY0005M - LIBOR JPY BBA 11 A.M. FIXING5</t>
  </si>
  <si>
    <t>JY0006M - LIBOR JPY BBA 11 A.M. FIXING6</t>
  </si>
  <si>
    <t>JY0007M - LIBOR JPY BBA 11 A.M. FIXING7</t>
  </si>
  <si>
    <t>JY0008M - LIBOR JPY BBA 11 A.M. FIXING8</t>
  </si>
  <si>
    <t>DG0004M - LIBOR NLG BBA 11 A.M. FIXING4</t>
  </si>
  <si>
    <t>DG0005M - LIBOR NLG BBA 11 A.M. FIXING5</t>
  </si>
  <si>
    <t>DG0006M - LIBOR NLG BBA 11 A.M. FIXING6</t>
  </si>
  <si>
    <t>DG0007M - LIBOR NLG BBA 11 A.M. FIXING7</t>
  </si>
  <si>
    <t>DG0008M - LIBOR NLG BBA 11 A.M. FIXING8</t>
  </si>
  <si>
    <t>DG0009M - LIBOR NLG BBA 11 A.M. FIXING9</t>
  </si>
  <si>
    <t>DG0010M - LIBOR NLG BBA 11 A.M. FIXING10</t>
  </si>
  <si>
    <t>DG0011M - LIBOR NLG BBA 11 A.M. FIXING11</t>
  </si>
  <si>
    <t>DG0012M - LIBOR NLG BBA 11 A.M. FIXING1</t>
  </si>
  <si>
    <t>DIBO01M - DUBLIN INTRBNK RATES-PUNT 1 MO</t>
  </si>
  <si>
    <t>DIBO01W - DUBLIN INTRBNK RATES-PUNT 1 WE</t>
  </si>
  <si>
    <t>DIBO02M - DUBLIN INTRBNK RATES-PUNT 2 MO</t>
  </si>
  <si>
    <t>DIBO03M - DUBLIN INTRBNK RATES-PUNT 3 MO</t>
  </si>
  <si>
    <t>DIBO06M - DUBLIN INTRBNK RATES-PUNT 6 MO</t>
  </si>
  <si>
    <t>DIBO09M - DUBLIN INTRBNK RATES-PUNT 9 MO</t>
  </si>
  <si>
    <t>DIBO12M - DUBLIN INTRBNK RATES-PUNT 12 M</t>
  </si>
  <si>
    <t>DLY - currently unknown</t>
  </si>
  <si>
    <t>DLY N/A - UNKNOWN BUT FREQUECY IS DAILY</t>
  </si>
  <si>
    <t>DM0001M - LIBOR DEM BBA 11 A.M. FIXING1</t>
  </si>
  <si>
    <t>DM0002M - LIBOR DEM BBA 11 A.M. FIXING2</t>
  </si>
  <si>
    <t>DM0003M - LIBOR DEM BBA 11 A.M. FIXING3</t>
  </si>
  <si>
    <t>DM0004M - LIBOR DEM BBA 11 A.M. FIXING4</t>
  </si>
  <si>
    <t>DM0005M - LIBOR DEM BBA 11 A.M. FIXING5</t>
  </si>
  <si>
    <t>DM0006M - LIBOR DEM BBA 11 A.M. FIXING6</t>
  </si>
  <si>
    <t>DM0007M - LIBOR DEM BBA 11 A.M. FIXING7</t>
  </si>
  <si>
    <t>DM0008M - LIBOR DEM BBA 11 A.M. FIXING8</t>
  </si>
  <si>
    <t>DM0009M - LIBOR DEM BBA 11 A.M. FIXING9</t>
  </si>
  <si>
    <t>DM0010M - LIBOR DEM BBA 11 A.M. FIXING10</t>
  </si>
  <si>
    <t>DM0011M - LIBOR DEM BBA 11 A.M. FIXING11</t>
  </si>
  <si>
    <t>DM0012M - LIBOR DEM BBA 11 A.M. FIXING1</t>
  </si>
  <si>
    <t>DNCPIYOY - DENMARK CPI YOY</t>
  </si>
  <si>
    <t>DTF RATE - COLUMBIA 90 DAY RATE</t>
  </si>
  <si>
    <t>ECCPEMUY - Eurostat Eurozone MUICP YoY</t>
  </si>
  <si>
    <t>EDDR06M - EURODOLLAR DEPOSITS RATES 6 MO</t>
  </si>
  <si>
    <t>EE-BID - currently unknown</t>
  </si>
  <si>
    <t>EE0001M - EURO LIBOR 1 MONTH</t>
  </si>
  <si>
    <t>EE0001W - EURO LIBOR 1 WEEK</t>
  </si>
  <si>
    <t>EE0002M - EURO LIBOR 2 MONTH</t>
  </si>
  <si>
    <t>EE0003M - EURO LIBOR 3 MONTH</t>
  </si>
  <si>
    <t>EE0004M - EURO LIBOR 4 MONTH</t>
  </si>
  <si>
    <t>EE0005M - EURO LIBOR 5 MONTH</t>
  </si>
  <si>
    <t>EE0006M - EURO LIBOR 6 MONTH</t>
  </si>
  <si>
    <t>EE0007M - EURO LIBOR 7 MONTH</t>
  </si>
  <si>
    <t>EE0008M - EURO LIBOR 8 MONTH</t>
  </si>
  <si>
    <t>EE0009M - EURO LIBOR 9 MONTH</t>
  </si>
  <si>
    <t>EE0010M - EURO LIBOR 10 MONTH</t>
  </si>
  <si>
    <t>EE0011M - EURO LIBOR 11 MONTH</t>
  </si>
  <si>
    <t>EE0012M - EURO LIBOR 12 MONTH</t>
  </si>
  <si>
    <t>EIBO3M - EMIRATES INTERBANK OFFER RATE</t>
  </si>
  <si>
    <t>EIBO6M - Emirates Interbank Offer Rate</t>
  </si>
  <si>
    <t>EONIA - EURO OVERNIGHT INDEX AVERAGE</t>
  </si>
  <si>
    <t>EONIA 14 - FR INDEX DAILY EONIA W/ 14 DAY</t>
  </si>
  <si>
    <t>EONIA 7 - FR INDEX DAILY EONIA W/ 7 DAY</t>
  </si>
  <si>
    <t>EU0001M - LIBOR XEU BBA 11 A.M. FIXING1</t>
  </si>
  <si>
    <t>EU0002M - LIBOR XEU BBA 11 A.M. FIXING2</t>
  </si>
  <si>
    <t>EU0003M - LIBOR XEU BBA 11 A.M. FIXING3</t>
  </si>
  <si>
    <t>EU0004M - LIBOR XEU BBA 11 A.M. FIXING4</t>
  </si>
  <si>
    <t>1MO N/A - UNKNOWN, BUT FREQUENCY IS 1 MO</t>
  </si>
  <si>
    <t>1Y TBill - ONE YEAR TREASURY BILL</t>
  </si>
  <si>
    <t>1YR - UNKNOWN, BUT FREQUENCY IS 1YR</t>
  </si>
  <si>
    <t>1YR N/A - UNKNOWN, BUT FREQUENCY IS 1 YR</t>
  </si>
  <si>
    <t>28-DayAu - REST BY AUCTION</t>
  </si>
  <si>
    <t>35-DayAu - REST BY AUCTION</t>
  </si>
  <si>
    <t>3MO - UNKNOWN, BUT FREQUENCY IS 3 MO</t>
  </si>
  <si>
    <t>3MO N/A - UNKNOWN, BUT FREQUENCY IS 3 MO</t>
  </si>
  <si>
    <t>6MO - UNKNOWN, BUT FREQUENCY IS 6 MO</t>
  </si>
  <si>
    <t>6MO N/A - UNKNOWN, BUT FREQUENCY IS 6 MO</t>
  </si>
  <si>
    <t>7DAYAUC - GOVT. AUCTION WEEKLY RESET</t>
  </si>
  <si>
    <t>ACPA030Y - 30 DAY ABS COMMERICIAL PAPER</t>
  </si>
  <si>
    <t>AFMSW10S - AUSTRL $ SWAP FIXINGS 10YR SEM</t>
  </si>
  <si>
    <t>AFMSW1Q - AUSTRL $ SWAP FIXINGS 1YR QTR</t>
  </si>
  <si>
    <t>AFMSW2Q - AUSTRL $ SWAP FIXINGS 2YR QTR</t>
  </si>
  <si>
    <t>AFMSW3Q - AUSTRL $ SWAP FIXINGS 3YR QTR</t>
  </si>
  <si>
    <t>AFMSW4Q - AUSTRL $ SWAP FIXINGS 4YR QTR</t>
  </si>
  <si>
    <t>AFMSW4S - AUSTRL $ SWAP FIXINGS 4YR SEMI</t>
  </si>
  <si>
    <t>AFMSW5Q - AUSTRL $ SWAP FIXINGS 5YR QTR</t>
  </si>
  <si>
    <t>AFMSW5S - AUSTRL $ SWAP FIXINGS 5YR SEMI</t>
  </si>
  <si>
    <t>AFMSW7S - AUSTRL $ SWAP FIXINGS 7YR SEMI</t>
  </si>
  <si>
    <t>AIBO12M - AMSTERDAM INTERBANK OFFER RT12</t>
  </si>
  <si>
    <t>AIBO1M - AMSTERDAM INTERBANK OFFER RT1</t>
  </si>
  <si>
    <t>AIBO2M - AMSTERDAM INTERBANK OFFER RT2</t>
  </si>
  <si>
    <t>AIBO3M - AMSTERDAM INTERBANK OFFER RT3</t>
  </si>
  <si>
    <t>AIBO6M - AMSTERDAM INTERBANK OFFER RT6</t>
  </si>
  <si>
    <t>ARAVBTAV - ARGENTINA BONTE 2003 RATES W/O</t>
  </si>
  <si>
    <t>ARCPI - ARGENTINA - CPI INDEX</t>
  </si>
  <si>
    <t>ARCRR - "ARGENT- COMMUNIQUE ""A"" RATE</t>
  </si>
  <si>
    <t>ARCRRATE - "ARGENT- COMMUNIQUE ""A"" RATE</t>
  </si>
  <si>
    <t>ARDRPESO - ARGENTINA TIME DEPO RATE ARS A</t>
  </si>
  <si>
    <t>ATD6BHIV - "AVERAGE 6MONTH TIME DEPOSIT F</t>
  </si>
  <si>
    <t>ATD6ULTR - AVG 6 MTH TIME DEPO ULTRAIAVA</t>
  </si>
  <si>
    <t>ATHI1M - ATHENS INTERBANK OFFERED RTS1</t>
  </si>
  <si>
    <t>ATHI1YR - ATHENS INTERBANK OFFERED RTS1</t>
  </si>
  <si>
    <t>ATHI2M - ATHENS INTERBANK OFFERED RTS2</t>
  </si>
  <si>
    <t>ATHI3M - ATHENS INTERBANK OFFERED RTS3</t>
  </si>
  <si>
    <t>ATHI6M - ATHENS INTERBANK OFFERED RTS6</t>
  </si>
  <si>
    <t>ATHI9M - ATHENS INTERBANK OFFERED RTS9</t>
  </si>
  <si>
    <t>AU0001M - LIBOR AUD BBA 11 A.M. FIXING1</t>
  </si>
  <si>
    <t>AU0002M - LIBOR AUD BBA 11 A.M. FIXING2</t>
  </si>
  <si>
    <t>AU0003M - LIBOR AUD BBA 11 A.M. FIXING3</t>
  </si>
  <si>
    <t>AU0004M - LIBOR AUD BBA 11 A.M. FIXING4</t>
  </si>
  <si>
    <t>AU0005M - LIBOR AUD BBA 11 A.M. FIXING5</t>
  </si>
  <si>
    <t>AU0006M - LIBOR AUD BBA 11 A.M. FIXING6</t>
  </si>
  <si>
    <t>AU0007M - LIBOR AUD BBA 11 A.M. FIXING7</t>
  </si>
  <si>
    <t>AU0008M - LIBOR AUD BBA 11 A.M. FIXING8</t>
  </si>
  <si>
    <t>AU0009M - LIBOR AUD BBA 11 A.M. FIXING9</t>
  </si>
  <si>
    <t>AU0010M - LIBOR AUD BBA 11 A.M. FIXING10</t>
  </si>
  <si>
    <t>AU0011M - LIBOR AUD BBA 11 A.M. FIXING11</t>
  </si>
  <si>
    <t>AU0012M - LIBOR AUD BBA 11 A.M. FIXING1</t>
  </si>
  <si>
    <t>Auction - REST BY AUCTION</t>
  </si>
  <si>
    <t>AvgAct6m - currently unknown</t>
  </si>
  <si>
    <t>BADLARPP - ARGENTINA AVG INT AMT &lt;= MILLI</t>
  </si>
  <si>
    <t>BADLARUP - ARGENTINA BADLAR RATES US/PRIV</t>
  </si>
  <si>
    <t>BAYT3MD - THAILAND DEPOSITS RATE 3MTH FI</t>
  </si>
  <si>
    <t>BBBMML - BANGKOK BANK MINIMUM RATES LEN</t>
  </si>
  <si>
    <t>BBLT6MD - BANGKOK BK PCL 6MO DEP RET CUS</t>
  </si>
  <si>
    <t>BBOR1M - BRATISLAVA INTERBANK RATE SLOV</t>
  </si>
  <si>
    <t>12MTA - 12 MONTH CUMULATIVE AVG 1</t>
  </si>
  <si>
    <t>1MO - UNKNOWN, BUT FREQUENCY IS 1MO</t>
  </si>
  <si>
    <t>BBSW1M - AUSTRALIAN BANK BILL 1 MNTH MI</t>
  </si>
  <si>
    <t>BBSW2M - AUSTRALIAN BANK BILL 2 MNTH MI</t>
  </si>
  <si>
    <t>BBSW3M - AUSTRALIAN BANK BILL 3 MNTH MI</t>
  </si>
  <si>
    <t>BBSW4M - AUSTRALIAN BANK BILL 4 MNTH MI</t>
  </si>
  <si>
    <t>BBSW5M - AUSTRALIAN BANK BILL 5 MNTH MI</t>
  </si>
  <si>
    <t>BBSW6M - AUSTRALIAN BANK BILL 6 MNTH MI</t>
  </si>
  <si>
    <t>BIBOR12M - BRUSSELS INTRBANK OFFER RATE12</t>
  </si>
  <si>
    <t>BIBOR1M - BRUSSELS INTRBANK OFFER RATE1</t>
  </si>
  <si>
    <t>BIBOR2M - BRUSSELS INTRBANK OFFER RATE2</t>
  </si>
  <si>
    <t>BIBOR3M - BRUSSELS INTRBANK OFFER RATE3</t>
  </si>
  <si>
    <t>BIBOR6M - BRUSSELS INTRBANK OFFER RATE6</t>
  </si>
  <si>
    <t>BIMTH - UNKNOWN BUT FREQ IS BI-MONTHLY</t>
  </si>
  <si>
    <t>BIMTH N/A - UNKNOWN BUT FREQ IS BI-MONTHLY</t>
  </si>
  <si>
    <t>BITB1M - BIBOR-THAI STD CHARTERED BNK1</t>
  </si>
  <si>
    <t>BITB1W - BIBOR-THAI STD CHARTERED BNK1</t>
  </si>
  <si>
    <t>BITB2M - BIBOR-THAI STD CHARTERED BNK2</t>
  </si>
  <si>
    <t>BITB3M - BIBOR-THAI STD CHARTERED BNK3</t>
  </si>
  <si>
    <t>BITB6M - BIBOR-THAI STD CHARTERED BNK6</t>
  </si>
  <si>
    <t>BITBCALL - BIBOR-THAI STD CHARTERED BNKCA</t>
  </si>
  <si>
    <t>BITBON - BIBOR-THAI STD CHARTERED BNKO/</t>
  </si>
  <si>
    <t>BOFX6M - Thailand BIbor Fixings 6M</t>
  </si>
  <si>
    <t>BOFX9M - THAILAND BIBOR FIXINGS 9 MONTH</t>
  </si>
  <si>
    <t>BP0001M - LIBOR GBP BBA 11 A.M. FIXING1</t>
  </si>
  <si>
    <t>BP0002M - LIBOR GBP BBA 11 A.M. FIXING2</t>
  </si>
  <si>
    <t>BP0003M - LIBOR GBP BBA 11 A.M. FIXING3</t>
  </si>
  <si>
    <t>BP0004M - LIBOR GBP BBA 11 A.M. FIXING4</t>
  </si>
  <si>
    <t>BP0005M - LIBOR GBP BBA 11 A.M. FIXING5</t>
  </si>
  <si>
    <t>BP0006M - LIBOR GBP BBA 11 A.M. FIXING6</t>
  </si>
  <si>
    <t>BP0007M - LIBOR GBP BBA 11 A.M. FIXING7</t>
  </si>
  <si>
    <t>BP0008M - LIBOR GBP BBA 11 A.M. FIXING8</t>
  </si>
  <si>
    <t>BP0009M - LIBOR GBP BBA 11 A.M. FIXING9</t>
  </si>
  <si>
    <t>BP0010M - LIBOR GBP BBA 11 A.M. FIXING10</t>
  </si>
  <si>
    <t>BP0011M - LIBOR GBP BBA 11 A.M. FIXING11</t>
  </si>
  <si>
    <t>BP0012M - LIBOR GBP BBA 11 A.M. FIXING1</t>
  </si>
  <si>
    <t>BPRIMF - BAHAMAS PR RATE INTL MONETARY</t>
  </si>
  <si>
    <t>BPSW10 - GBP SWAP 10YR</t>
  </si>
  <si>
    <t>BPSW15 - GBP SWAP 15YR</t>
  </si>
  <si>
    <t>BPSW30 - GBP SWAP 30YR</t>
  </si>
  <si>
    <t>BRHV1Y - BRATISLAVA INTERBANK HVB 1YR</t>
  </si>
  <si>
    <t>BRHV3M - BRATISLAVA INTERBANK HVB 3MO</t>
  </si>
  <si>
    <t>BRHV6M - BRATISLAVA INTERBANK HVB 6MO</t>
  </si>
  <si>
    <t>BRIB1Y - BRATISLAVA INTERBANK OFFER RAT</t>
  </si>
  <si>
    <t>BRIB3M - BRATISLAVA INTERBANK OFFER 3 M</t>
  </si>
  <si>
    <t>BRIB6M - SLOVAKIA BRATISL INTERBANK 6 M</t>
  </si>
  <si>
    <t>BUBOR01M - BUDAPEST INTERBANK OFFERED 1MO</t>
  </si>
  <si>
    <t>BUBOR03M - BUDAPEST INTERBANK OFFERED 3MO</t>
  </si>
  <si>
    <t>BUBOR06M - BUDAPEST INTERBANK OFFERED 6MO</t>
  </si>
  <si>
    <t>BUBR3M - ROMANIA BUBOR 3 MONTHS</t>
  </si>
  <si>
    <t>BUBR6M - ROMANIA BUBOR 6 MONTHS</t>
  </si>
  <si>
    <t>BZDIOVER - BRAZIL CETIP INTERBANK DEPOSIT</t>
  </si>
  <si>
    <t>BZPIFIPE - BRAZIL CPI INDICES FIPE INDEX</t>
  </si>
  <si>
    <t>BZPIIGP - BRAZIL CPI INDICES IGP-M INDX</t>
  </si>
  <si>
    <t>BZSELICA - BRAZIL SELIC RATE SELIC YEAR</t>
  </si>
  <si>
    <t>BZSELICD - BRAZIL SELIC RATE SELIC DAILY</t>
  </si>
  <si>
    <t>BZTRTRD - BRAZIL TAXA REFERENCIAL TAXA R</t>
  </si>
  <si>
    <t>C1236M - INDIAN GOVT 6MO FAIR MKT VAL I</t>
  </si>
  <si>
    <t>CABA1MO - BANK OF CANADA 1 MONTH BANKERS</t>
  </si>
  <si>
    <t>CABA3MO - Bank of Canada 3 M Bankers Acc</t>
  </si>
  <si>
    <t>CANPRM - CANADIAN PRIME RATE</t>
  </si>
  <si>
    <t>CANPRM 1MO - CANADIAN PRIME RATE. 1 MONTH</t>
  </si>
  <si>
    <t>CANPRM 1YR - CANADIAN PRIME RATE. 1 YEAR</t>
  </si>
  <si>
    <t>CANPRM 3MO - CANADIAN PRIME RATE. 3 MONTH</t>
  </si>
  <si>
    <t>CANPRM 6MO - CANADIAN PRIME RATE. 6 MONTH</t>
  </si>
  <si>
    <t>CANPRM BIMTH - CANADIAN PRIME RATE. BI-MONTHL</t>
  </si>
  <si>
    <t>CANPRM DLY - CANADIAN PRIME RATE. DAILY</t>
  </si>
  <si>
    <t>MODN - Coupon payment roll to nxt business day</t>
  </si>
  <si>
    <t>FOLA - Following bus day - adj</t>
  </si>
  <si>
    <t>FOLU - Following bus day - unadj</t>
  </si>
  <si>
    <t>MODA - Mod bus day - adj</t>
  </si>
  <si>
    <t>MODU - Mod bus day - unadj</t>
  </si>
  <si>
    <t>PREA - Preceding bus day - adj</t>
  </si>
  <si>
    <t>PREU - Preceding bus day - unadj</t>
  </si>
  <si>
    <t>ISSUE_CP - FITCH's Commercial Paper Rating</t>
  </si>
  <si>
    <t>ISSUE_LONG_TERM - Long Term Rating for a bond from FITCH.</t>
  </si>
  <si>
    <t>ISSUE_SHORT_TERM - Short Term Rating for a bond from FITCH</t>
  </si>
  <si>
    <t>ISSUE_CP - Moody's Commercial Paper Rating</t>
  </si>
  <si>
    <t>ISSUE_LONG_TERM - The long-term Moody's issue rating if one is currently assigned to the issue.</t>
  </si>
  <si>
    <t>ISSUE_SHORT_TERM - The short-term Moody's issue rating if one is currently assigned to the issue.</t>
  </si>
  <si>
    <t>ISSUE_CP - S&amp;P's Commercial Paper Rating</t>
  </si>
  <si>
    <t>ISSUE_LONG_TERM - The long-term S&amp;P's issue rating if one is currently assigned to the issue.</t>
  </si>
  <si>
    <t>ISSUE_SHORT_TERM - The short-term S&amp;P's issue rating if one is currently assigned to the issue.</t>
  </si>
  <si>
    <t>64 - Index Adjust Dates</t>
  </si>
  <si>
    <t>65 - On put date</t>
  </si>
  <si>
    <r>
      <t>Dated Date (mm/dd/yyyy)</t>
    </r>
    <r>
      <rPr>
        <sz val="11"/>
        <color rgb="FFFF0000"/>
        <rFont val="Calibri"/>
        <family val="2"/>
        <scheme val="minor"/>
      </rPr>
      <t>*</t>
    </r>
  </si>
  <si>
    <r>
      <t>First Settlement Date (mm/dd/yyyy)</t>
    </r>
    <r>
      <rPr>
        <sz val="11"/>
        <color rgb="FFFF0000"/>
        <rFont val="Calibri"/>
        <family val="2"/>
        <scheme val="minor"/>
      </rPr>
      <t>*</t>
    </r>
  </si>
  <si>
    <t>SMCI</t>
  </si>
  <si>
    <t>=I66</t>
  </si>
  <si>
    <t>=I68</t>
  </si>
  <si>
    <t>=I70</t>
  </si>
  <si>
    <t>=I8</t>
  </si>
  <si>
    <t>Is Call Discrete</t>
  </si>
  <si>
    <t>Minimum Call Days Notice (in days)</t>
  </si>
  <si>
    <t>Minimum Put Days Notice (in days)</t>
  </si>
  <si>
    <t>Is Put Discrete</t>
  </si>
  <si>
    <t>UserNotes.UserNotesData</t>
  </si>
  <si>
    <t>UserNotes.UserNotesUserID</t>
  </si>
  <si>
    <t>UserNotes.UserNotesTime</t>
  </si>
  <si>
    <t>UserNotes.UserNotesDate</t>
  </si>
  <si>
    <t>eDealer bulk upload</t>
  </si>
  <si>
    <t>751 - ACCRUED ONLY</t>
  </si>
  <si>
    <t>1075 - ACCRUED ONLY FLOAT</t>
  </si>
  <si>
    <t>521 - ACCRUED ONLY FLOAT</t>
  </si>
  <si>
    <t>842 - ACCRUED ONLY FLOAT</t>
  </si>
  <si>
    <t>843 - ACCRUED ONLY FLOAT</t>
  </si>
  <si>
    <t>1407 - ACCRUED ONLY SPLIT</t>
  </si>
  <si>
    <t>460 - ACTUAL-FIXED RATE</t>
  </si>
  <si>
    <t>287 - APY MED.TERM CD'S</t>
  </si>
  <si>
    <t>1290 - ARGENT BODEN FLT</t>
  </si>
  <si>
    <t>734 - ARGENT LOC: NOM PX</t>
  </si>
  <si>
    <t>1449 - ARGENT NOBAC FLT</t>
  </si>
  <si>
    <t>1224 - ARGENTINA DISCOUNT</t>
  </si>
  <si>
    <t>1227 - ARGENTINA I/L DISC</t>
  </si>
  <si>
    <t>861 - ARGENTINA RESIDUAL</t>
  </si>
  <si>
    <t>785 - ARGENTINA: BOCONES</t>
  </si>
  <si>
    <t>1441 - ARMENIAN GOVT BOND</t>
  </si>
  <si>
    <t>204 - AUCTION RATE PRFD</t>
  </si>
  <si>
    <t>985 - AUSSIE FLT:NXTCALL</t>
  </si>
  <si>
    <t>1169 - AUSSIE PFDS: $TYPE</t>
  </si>
  <si>
    <t>1167 - AUSSIE PFDS: %TYPE</t>
  </si>
  <si>
    <t>659 - AUST:INDEX-ANNUITY</t>
  </si>
  <si>
    <t>314 - AUSTRALIA I/L:14-X</t>
  </si>
  <si>
    <t>311 - AUSTRALIA:14-DAY X</t>
  </si>
  <si>
    <t>23 - AUSTRALIA:EX-DIV</t>
  </si>
  <si>
    <t>284 - AUSTRALIA:GLOBAL</t>
  </si>
  <si>
    <t>175 - AUSTRALIA:I/L BND</t>
  </si>
  <si>
    <t>515 - AUSTRALIAN FLOATER</t>
  </si>
  <si>
    <t>71 - AUSTRIA:ISMA METHD</t>
  </si>
  <si>
    <t>197 - BANK OF CANADA YLD</t>
  </si>
  <si>
    <t>450 - BANK OF CANADA:I/L</t>
  </si>
  <si>
    <t>1397 - BELGIUM: I/L BOND</t>
  </si>
  <si>
    <t>119 - BELGIUM:ISMA METHD</t>
  </si>
  <si>
    <t>591 - BRADY CASHFLOW</t>
  </si>
  <si>
    <t>545 - BRADY FLT w/SWP CV</t>
  </si>
  <si>
    <t>561 - BRADY-BLENDED YLD</t>
  </si>
  <si>
    <t>467 - BRADY-FLOATER BOND</t>
  </si>
  <si>
    <t>573 - BRADY-FLT BLND YLD</t>
  </si>
  <si>
    <t>575 - BRADY-FLT RIG YLD</t>
  </si>
  <si>
    <t>597 - BRADY-MCPN RIG YLD</t>
  </si>
  <si>
    <t>452 - BRADY-PAR BOND</t>
  </si>
  <si>
    <t>565 - BRADY-RIG YIELD</t>
  </si>
  <si>
    <t>694 - BRADY: PDI FRN CAP</t>
  </si>
  <si>
    <t>804 - BRADY:SINK PRN_GTY</t>
  </si>
  <si>
    <t>68 - BRAESS/FANGEMEYER</t>
  </si>
  <si>
    <t>1036 - BRAZ DOLLAR-LINKED</t>
  </si>
  <si>
    <t>1405 - BRAZIL DEBT 1 IGPM</t>
  </si>
  <si>
    <t>1418 - BRAZIL DEBT 1 IPCA</t>
  </si>
  <si>
    <t>1368 - BRAZIL DI+SPREAD</t>
  </si>
  <si>
    <t>1197 - BRAZIL DISCOUNT</t>
  </si>
  <si>
    <t>1309 - BRAZIL FIXED CPN</t>
  </si>
  <si>
    <t>1193 - BRAZIL I/L BOND</t>
  </si>
  <si>
    <t>1195 - BRAZIL I/L BOND</t>
  </si>
  <si>
    <t>1453 - BRAZIL INTL I/L</t>
  </si>
  <si>
    <t>1171 - BRAZIL LFT ANN-OVR</t>
  </si>
  <si>
    <t>1172 - BRAZIL LFT PNTS-OV</t>
  </si>
  <si>
    <t>1401 - BRAZIL PERCENT DI</t>
  </si>
  <si>
    <t>712 - BRAZIL: BBCs/LTNs</t>
  </si>
  <si>
    <t>747 - BRAZIL: CDI LONG</t>
  </si>
  <si>
    <t>746 - BRAZIL: CDI OVER</t>
  </si>
  <si>
    <t>944 - BRAZIL: LFTs/LBCs</t>
  </si>
  <si>
    <t>714 - BRAZIL: NTNs/NBCs</t>
  </si>
  <si>
    <t>987 - BRAZIL:BBC-A/NTN-S</t>
  </si>
  <si>
    <t>880 - BRAZILIAN CDI</t>
  </si>
  <si>
    <t>939 - BULGARIA: T-BILLS</t>
  </si>
  <si>
    <t>1038 - BULGARIA:GOVT BOND</t>
  </si>
  <si>
    <t>347 - BUNDESBANK METHOD</t>
  </si>
  <si>
    <t>1108 - CAGA: FIXED RATE</t>
  </si>
  <si>
    <t>911 - CAGMAS: DISC NOTES</t>
  </si>
  <si>
    <t>791 - CALLABLE INT@MTY</t>
  </si>
  <si>
    <t>449 - CANADA I/L:STREET</t>
  </si>
  <si>
    <t>823 - CANADA: PIK BONDS</t>
  </si>
  <si>
    <t>48 - CANADA:COMPND METH</t>
  </si>
  <si>
    <t>672 - CANADA:MCPN FLIRB</t>
  </si>
  <si>
    <t>343 - CANADA:SPECIAL BND</t>
  </si>
  <si>
    <t>1322 - CAP/SINK: YLD AVGL</t>
  </si>
  <si>
    <t>1317 - CAP/SINK: YLD MTY</t>
  </si>
  <si>
    <t>1330 - CAP/SNK:ANNUAL AVG</t>
  </si>
  <si>
    <t>1327 - CAP/SNK:ANNUAL YTM</t>
  </si>
  <si>
    <t>1098 - CAPITALIZING BONDS</t>
  </si>
  <si>
    <t>1121 - CAPITALIZING BONDS</t>
  </si>
  <si>
    <t>487 - CASHFLOW BRADY</t>
  </si>
  <si>
    <t>1483 - CAT INSURANCE FLTS</t>
  </si>
  <si>
    <t>233 - CCT FLOATERS</t>
  </si>
  <si>
    <t>1463 - CHILE CORP UF CALC</t>
  </si>
  <si>
    <t>1426 - CHILE: CLP YIELD</t>
  </si>
  <si>
    <t>908 - CHILE: P.R.B.C.</t>
  </si>
  <si>
    <t>906 - CHILE: P.R.C.</t>
  </si>
  <si>
    <t>946 - CHILE: P.R.D.</t>
  </si>
  <si>
    <t>1247 - CHILEAN CENTRL BNK</t>
  </si>
  <si>
    <t>1375 - CHINA:DISCNT W/AI</t>
  </si>
  <si>
    <t>1455 - CHINESE CFETS FLT</t>
  </si>
  <si>
    <t>852 - CHINESE GOVT BONDS</t>
  </si>
  <si>
    <t>1301 - COLOMBIA CPI FRN</t>
  </si>
  <si>
    <t>1292 - COLOMBIA DTF FLOAT</t>
  </si>
  <si>
    <t>1149 - CONSTITUENT BONDS</t>
  </si>
  <si>
    <t>1186 - CONSTITUENT FUNDS</t>
  </si>
  <si>
    <t>49 - CONVERTIBLE</t>
  </si>
  <si>
    <t>269 - CPN-AT-MATURITY</t>
  </si>
  <si>
    <t>531 - CZECH: T-BILLS</t>
  </si>
  <si>
    <t>1383 - Credit Derivatives</t>
  </si>
  <si>
    <t>1384 - Credit Derivatives</t>
  </si>
  <si>
    <t>439 - DANISH FIXED BONDS</t>
  </si>
  <si>
    <t>483 - DANISH MTGE(%)</t>
  </si>
  <si>
    <t>479 - DANISH MTGE(FIXED)</t>
  </si>
  <si>
    <t>1178 - DENMARK I/L:STREET</t>
  </si>
  <si>
    <t>1280 - DISC/CD YLD</t>
  </si>
  <si>
    <t>593 - DISC/CD YLD</t>
  </si>
  <si>
    <t>6 - DISC/CD YLD</t>
  </si>
  <si>
    <t>4 - DISCOUNT</t>
  </si>
  <si>
    <t>5 - DISCOUNT</t>
  </si>
  <si>
    <t>166 - DISCOUNT BILLS</t>
  </si>
  <si>
    <t>167 - DISCOUNT BILLS</t>
  </si>
  <si>
    <t>381 - DOM FRENCH: BRUT</t>
  </si>
  <si>
    <t>385 - DOM FRENCH: NET</t>
  </si>
  <si>
    <t>377 - DOM FRENCH:S BRUT</t>
  </si>
  <si>
    <t>1437 - DOM REP CB NOTES</t>
  </si>
  <si>
    <t>952 - EONIA FLOATER</t>
  </si>
  <si>
    <t>1188 - EONIA I/L CDs</t>
  </si>
  <si>
    <t>1307 - EONIA I/L FLOAT CD</t>
  </si>
  <si>
    <t>892 - EURO CONV:COMPOUND</t>
  </si>
  <si>
    <t>397 - JPN:GLOBAL-SIMPLE</t>
  </si>
  <si>
    <t>1025 - S AFRICA:I/L BONDS</t>
  </si>
  <si>
    <t>766 - S.KOREA COMP THEOR</t>
  </si>
  <si>
    <t>764 - S.KOREA COMPOUND</t>
  </si>
  <si>
    <t>768 - S.KOREA COUPON</t>
  </si>
  <si>
    <t>770 - S.KOREA CPN THEOR</t>
  </si>
  <si>
    <t>1161 - S.KOREA FLOATER</t>
  </si>
  <si>
    <t>776 - S.KOREA SIMPLE</t>
  </si>
  <si>
    <t>778 - S.KOREA SMPLE THEO</t>
  </si>
  <si>
    <t>24 - S/A-QTRLY PAY CMPD</t>
  </si>
  <si>
    <t>848 - SAUDI GOVT BOND</t>
  </si>
  <si>
    <t>808 - SCHULDSCHEIN FLOAT</t>
  </si>
  <si>
    <t>224 - SCHULDSCHEIN/BR-FN</t>
  </si>
  <si>
    <t>223 - SCHULDSCHEIN/ISMA</t>
  </si>
  <si>
    <t>219 - SCHULDSCHEIN/MOOS</t>
  </si>
  <si>
    <t>1092 - SINGAPORE GOVT BND</t>
  </si>
  <si>
    <t>926 - SINGAPORE GOVT BND</t>
  </si>
  <si>
    <t>354 - SINGAPORE T-BILLS</t>
  </si>
  <si>
    <t>917 - SINGAPORE: T-BILLS</t>
  </si>
  <si>
    <t>1164 - SKOREA INVERSE FLT</t>
  </si>
  <si>
    <t>821 - SLOVAKIA: T-BILLS</t>
  </si>
  <si>
    <t>995 - SLOVAKIA:T-BILLS</t>
  </si>
  <si>
    <t>1212 - SLOVENIA BONDS</t>
  </si>
  <si>
    <t>180 - SPAIN:ANNUAL YIELD</t>
  </si>
  <si>
    <t>1029 - SPAIN:GOVT BONDS</t>
  </si>
  <si>
    <t>168 - SPAIN:GOVT BONDS</t>
  </si>
  <si>
    <t>730 - SPANISH T-BILLS</t>
  </si>
  <si>
    <t>1030 - SPANISH:MULTI CPN</t>
  </si>
  <si>
    <t>690 - SPANISH:MULTI CPN</t>
  </si>
  <si>
    <t>216 - SPECIAL CANADIAN</t>
  </si>
  <si>
    <t>411 - SPECIAL CANADIAN</t>
  </si>
  <si>
    <t>495 - SPECIAL CASHFLOW</t>
  </si>
  <si>
    <t>1297 - SPLIT AI BONDS</t>
  </si>
  <si>
    <t>1007 - SPLIT AI FLOATER</t>
  </si>
  <si>
    <t>979 - SPLIT AI: ACT/ACT</t>
  </si>
  <si>
    <t>1434 - SPREAD FRN COMP</t>
  </si>
  <si>
    <t>1435 - SPREAD FRN SIMP</t>
  </si>
  <si>
    <t>930 - SRI LANKA GOVT BND</t>
  </si>
  <si>
    <t>903 - SRI LANKA: T-BILLS</t>
  </si>
  <si>
    <t>1 - STREET CONVENTION</t>
  </si>
  <si>
    <t>102 - STREET CONVENTION</t>
  </si>
  <si>
    <t>1211 - STREET CONVENTION</t>
  </si>
  <si>
    <t>922 - STREET CONVENTION</t>
  </si>
  <si>
    <t>962 - STREET CONVENTION</t>
  </si>
  <si>
    <t>999 - STREET CONVENTION</t>
  </si>
  <si>
    <t>201 - SWED 10 DYS EX-DIV</t>
  </si>
  <si>
    <t>360 - SWED 15 BUS DYS EX</t>
  </si>
  <si>
    <t>150 - SWED 15 DYS EX-DIV</t>
  </si>
  <si>
    <t>364 - SWED 5 BUS-DYS EX</t>
  </si>
  <si>
    <t>153 - SWED 5 DAYS EX-DIV</t>
  </si>
  <si>
    <t>700 - SWEDEN I/L: STREET</t>
  </si>
  <si>
    <t>836 - SWEDEN I/L: STREET</t>
  </si>
  <si>
    <t>1364 - TAIWAN COMPND BOND</t>
  </si>
  <si>
    <t>967 - TAIWAN CORP:ANNYLD</t>
  </si>
  <si>
    <t>507 - TAIWAN GOVT BONDS</t>
  </si>
  <si>
    <t>1199 - TAIWAN NCD</t>
  </si>
  <si>
    <t>1076 - TAIWAN T-BILL/C.P.</t>
  </si>
  <si>
    <t>557 - TAM:FFR VAR NOTES</t>
  </si>
  <si>
    <t>940 - TANZANIAN: T-BILLS</t>
  </si>
  <si>
    <t>583 - TEC10:FFR FLOATER</t>
  </si>
  <si>
    <t>624 - TEC10:FFR VAR NOTE</t>
  </si>
  <si>
    <t>511 - TERM-TYPE LOAN</t>
  </si>
  <si>
    <t>533 - TERM-TYPE:COM LOAN</t>
  </si>
  <si>
    <t>1063 - TH FLT:BMP IF LAST</t>
  </si>
  <si>
    <t>1065 - THAI FLT:BMP LAST</t>
  </si>
  <si>
    <t>918 - THAI NCD</t>
  </si>
  <si>
    <t>1221 - THAI NOTE: LONG</t>
  </si>
  <si>
    <t>1222 - THAI NOTE: TERM</t>
  </si>
  <si>
    <t>1047 - THAILAND EX-DIV BD</t>
  </si>
  <si>
    <t>1051 - THAILAND EX-DIV BD</t>
  </si>
  <si>
    <t>639 - THAILAND EX-DIV BD</t>
  </si>
  <si>
    <t>680 - THAILAND T-BILLS</t>
  </si>
  <si>
    <t>1031 - THAILAND: FLOATER</t>
  </si>
  <si>
    <t>1362 - THAILAND: FLOATER</t>
  </si>
  <si>
    <t>579 - TMB:FFR VAR NOTES</t>
  </si>
  <si>
    <t>619 - TMB:FRENCH FLOATER</t>
  </si>
  <si>
    <t>541 - TME:FFR VAR NOTES</t>
  </si>
  <si>
    <t>543 - TMM:FFR VAR NOTES</t>
  </si>
  <si>
    <t>617 - TMO:FR FLT POST-D</t>
  </si>
  <si>
    <t>615 - TMO:FR FLT PRE-D</t>
  </si>
  <si>
    <t>1445 - TOGGLE PIK NOTES</t>
  </si>
  <si>
    <t>613 - TRA:FRENCH FLOATER</t>
  </si>
  <si>
    <t>83 - TRADE ACCRUAL MTD</t>
  </si>
  <si>
    <t>611 - TRE:FRENCH FLOATER</t>
  </si>
  <si>
    <t>101 - TREASURY METHOD</t>
  </si>
  <si>
    <t>609 - TRO:FRENCH FLOATER</t>
  </si>
  <si>
    <t>1350 - TURKEY: I/L BOND</t>
  </si>
  <si>
    <t>977 - TURKEY: T-BILLS</t>
  </si>
  <si>
    <t>1014 - TURKEY:FIXED BONDS</t>
  </si>
  <si>
    <t>1018 - TURKEY:FRN BONDS</t>
  </si>
  <si>
    <t>266 - U.K. GILT % PRFD</t>
  </si>
  <si>
    <t>192 - U.K. PRFD STOCK</t>
  </si>
  <si>
    <t>651 - U.S. I/L MONEY YLD</t>
  </si>
  <si>
    <t>621 - U.S. I/L REAL YLD</t>
  </si>
  <si>
    <t>648 - U.S. I/L REAL YLD</t>
  </si>
  <si>
    <t>622 - U.S. I/L TRSY YLD</t>
  </si>
  <si>
    <t>649 - U.S. I/L TRSY YLD</t>
  </si>
  <si>
    <t>1389 - UGANDA BONDS</t>
  </si>
  <si>
    <t>1216 - UK I/L BOND</t>
  </si>
  <si>
    <t>798 - UK LOAN</t>
  </si>
  <si>
    <t>752 - UK STRIP METHOD</t>
  </si>
  <si>
    <t>26 - UK:BUMP/DMO METHOD</t>
  </si>
  <si>
    <t>1234 - UKRAINE GOVT BONDS</t>
  </si>
  <si>
    <t>1303 - URUGUAY BONDS</t>
  </si>
  <si>
    <t>684 - URUGUAY T-BILLS</t>
  </si>
  <si>
    <t>688 - US CPI FRN EFF SPD</t>
  </si>
  <si>
    <t>667 - US CPI FRN MON.YLD</t>
  </si>
  <si>
    <t>666 - US CPI FRN REAL YD</t>
  </si>
  <si>
    <t>636 - US I/L MONEY YIELD</t>
  </si>
  <si>
    <t>2 - US TREASURY YIELD</t>
  </si>
  <si>
    <t>35 - VARI-PAY NOTE</t>
  </si>
  <si>
    <t>1117 - VENEZUELA DPNs</t>
  </si>
  <si>
    <t>710 - VENEZUELA T-BILLS</t>
  </si>
  <si>
    <t>1189 - VIETNAM GOVT BONDS</t>
  </si>
  <si>
    <t>126 - WARRANTS:% TYPE</t>
  </si>
  <si>
    <t>125 - WARRANTS:FIXED TYP</t>
  </si>
  <si>
    <t>1484 - CAT Bonds with a Long Last Coupon</t>
  </si>
  <si>
    <t>1497 - Chile Government Strips</t>
  </si>
  <si>
    <t>1495 - Dominican Republic I/L Bonds</t>
  </si>
  <si>
    <t>299 - JPN:SPECIAL GLOBAL</t>
  </si>
  <si>
    <t>1135 - KANGAROO FLOATERS</t>
  </si>
  <si>
    <t>1261 - KAZAKHSTAN BONDS</t>
  </si>
  <si>
    <t>1269 - KENYA GOVT BONDS</t>
  </si>
  <si>
    <t>1084 - KOREA CMPND/SIMPLE</t>
  </si>
  <si>
    <t>1088 - KOREA CMPND/SIMPLE</t>
  </si>
  <si>
    <t>1354 - KOREA: I/L BOND</t>
  </si>
  <si>
    <t>228 - KO`s,PFE`s</t>
  </si>
  <si>
    <t>1339 - LEBANON GOVT BONDS</t>
  </si>
  <si>
    <t>1334 - LEBANON T-BILLS</t>
  </si>
  <si>
    <t>47 - LEVEL DEBT PAY</t>
  </si>
  <si>
    <t>1257 - LISTED SLOVENIA</t>
  </si>
  <si>
    <t>227 - US TRSY Floater</t>
  </si>
  <si>
    <t>1524 - TAIWAN COMMERCIAL PAPER</t>
  </si>
  <si>
    <t>1532 - DAILY COMPOUND INTEREST PAID AT MATURITY</t>
  </si>
  <si>
    <t>5593 - INTEREST BEARING COMMERCIAL PAPER</t>
  </si>
  <si>
    <t>888 - EURO CONVENTION</t>
  </si>
  <si>
    <t>1103 - EURO I/L: STREET</t>
  </si>
  <si>
    <t>1230 - EURO JPN I/L:CMPD</t>
  </si>
  <si>
    <t>1229 - EURO JPN I/L:SMPL</t>
  </si>
  <si>
    <t>1130 - EVERGREEN SINK BND</t>
  </si>
  <si>
    <t>419 - EX-DIV FLOATER</t>
  </si>
  <si>
    <t>31 - EX-DIV/CONSORTIUM</t>
  </si>
  <si>
    <t>407 - EX-DIV/EX-DRAW BND</t>
  </si>
  <si>
    <t>415 - EX-DRAW DUTCH BND</t>
  </si>
  <si>
    <t>954 - FIJI GOVT BONDS</t>
  </si>
  <si>
    <t>443 - FINLAND GOVT BONDS</t>
  </si>
  <si>
    <t>1358 - FINLAND: I/L BOND</t>
  </si>
  <si>
    <t>1023 - FIX BONOS</t>
  </si>
  <si>
    <t>425 - FIX TO VARIABLE</t>
  </si>
  <si>
    <t>1010 - FIX-TO-FLOAT BONDS</t>
  </si>
  <si>
    <t>1469 - FIX-TO-VARIABLE BD</t>
  </si>
  <si>
    <t>56 - FIXED TYPE PRFD</t>
  </si>
  <si>
    <t>868 - FIXED TYPE PRFD</t>
  </si>
  <si>
    <t>491 - FLIRB BRADY</t>
  </si>
  <si>
    <t>17 - FLOAT RATE CD</t>
  </si>
  <si>
    <t>1159 - FLOAT RATE NOTE</t>
  </si>
  <si>
    <t>1421 - FLOAT RATE NOTE</t>
  </si>
  <si>
    <t>16 - FLOAT RATE NOTE</t>
  </si>
  <si>
    <t>21 - FLOAT RATE NOTE</t>
  </si>
  <si>
    <t>40 - FLOAT RATE NOTE</t>
  </si>
  <si>
    <t>784 - FLOAT RATE NOTE</t>
  </si>
  <si>
    <t>840 - FLOAT RATE NOTE</t>
  </si>
  <si>
    <t>173 - FLOAT RATE NOTE:%</t>
  </si>
  <si>
    <t>1255 - FLOAT RATE NOTES</t>
  </si>
  <si>
    <t>1294 - FLOAT RATE NOTES</t>
  </si>
  <si>
    <t>539 - FLOAT w/SWAP CURVE</t>
  </si>
  <si>
    <t>1242 - FLOAT-TO-FIX BONDS</t>
  </si>
  <si>
    <t>966 - FLOATER AI:ACT/ACT</t>
  </si>
  <si>
    <t>1414 - FLOATING RATE NOTE</t>
  </si>
  <si>
    <t>297 - FLOATING RATE NOTE</t>
  </si>
  <si>
    <t>585 - FLOATING RATE NOTE</t>
  </si>
  <si>
    <t>862 - FLOATING RATE NOTE</t>
  </si>
  <si>
    <t>1009 - FLTR:SPLIT AI ONLY</t>
  </si>
  <si>
    <t>864 - FRANCE I/L:STREET</t>
  </si>
  <si>
    <t>108 - FRANCE:CD/INT@MTY</t>
  </si>
  <si>
    <t>89 - FRANCE:COMPND METH</t>
  </si>
  <si>
    <t>107 - FRANCE:DISCOUNT</t>
  </si>
  <si>
    <t>1409 - FX LINKED BONDS</t>
  </si>
  <si>
    <t>1379 - GENERIC MULTI-STEP</t>
  </si>
  <si>
    <t>401 - GENUSSSCHEIN BONDS</t>
  </si>
  <si>
    <t>405 - GENUSSSCHEIN BONDS</t>
  </si>
  <si>
    <t>1479 - GEORGIA GOVT BONDS</t>
  </si>
  <si>
    <t>60 - GERMAN BONDS</t>
  </si>
  <si>
    <t>950 - GERMAN EONIA FLOAT</t>
  </si>
  <si>
    <t>1478 - GERMANY DBSB CORP</t>
  </si>
  <si>
    <t>704 - GREEK FLOATERS</t>
  </si>
  <si>
    <t>356 - GREEK GOVT BNDS</t>
  </si>
  <si>
    <t>697 - GREEK T-BILLS</t>
  </si>
  <si>
    <t>794 - HONG KONG FLOATER</t>
  </si>
  <si>
    <t>348 - HONG KONG GOVT BDS</t>
  </si>
  <si>
    <t>352 - HONG KONG T-BILLS</t>
  </si>
  <si>
    <t>662 - HUNGARIAN BONDS</t>
  </si>
  <si>
    <t>602 - HUNGARIAN T-BILLS</t>
  </si>
  <si>
    <t>549 - ICELAND I/L BONDS</t>
  </si>
  <si>
    <t>1042 - ICELAND:I/L BONDS</t>
  </si>
  <si>
    <t>499 - INCOME DEBT:$ TYPE</t>
  </si>
  <si>
    <t>502 - INCOME DEBT:$ TYPE</t>
  </si>
  <si>
    <t>503 - INCOME DEBT:% TYPE</t>
  </si>
  <si>
    <t>506 - INCOME DEBT:% TYPE</t>
  </si>
  <si>
    <t>332 - INDEX AMORT. ORIG</t>
  </si>
  <si>
    <t>247 - INDEX AMORTIZED</t>
  </si>
  <si>
    <t>44 - INDEX-LINKED FLOAT</t>
  </si>
  <si>
    <t>1374 - INDIA AI ONLY FRN</t>
  </si>
  <si>
    <t>1490 - INDIA FIX CPN S/A</t>
  </si>
  <si>
    <t>1489 - INDIA FIX CPN ZCB</t>
  </si>
  <si>
    <t>647 - INDIA GOVT:ANN YLD</t>
  </si>
  <si>
    <t>654 - INDIA GVT W/ VCHER</t>
  </si>
  <si>
    <t>655 - INDIA W/ VCHER ANN</t>
  </si>
  <si>
    <t>1139 - INDIA: CORP BOND</t>
  </si>
  <si>
    <t>643 - INDIA: GOVT BOND</t>
  </si>
  <si>
    <t>1207 - INDIA: I/L BOND</t>
  </si>
  <si>
    <t>716 - INDONESIA FIXED RT</t>
  </si>
  <si>
    <t>447 - INDONESIA T-BILLS</t>
  </si>
  <si>
    <t>742 - INDONESIA: FLIRB</t>
  </si>
  <si>
    <t>738 - INDONESIA: FLOATER</t>
  </si>
  <si>
    <t>720 - INDONESIA: STEP-UP</t>
  </si>
  <si>
    <t>994 - INDONESIA: T-BILLS</t>
  </si>
  <si>
    <t>990 - INTEREST AT MTY</t>
  </si>
  <si>
    <t>276 - INTEREST ONLY</t>
  </si>
  <si>
    <t>7 - INTEREST@MTY</t>
  </si>
  <si>
    <t>1459 - INTRA-PERIOD FACTR</t>
  </si>
  <si>
    <t>303 - INVERSE FLOATER</t>
  </si>
  <si>
    <t>305 - INVERSE FLOATER</t>
  </si>
  <si>
    <t>587 - INVERSE FLOATER</t>
  </si>
  <si>
    <t>1003 - INVERSE RIB FRN</t>
  </si>
  <si>
    <t>477 - IRISH FLOATERS</t>
  </si>
  <si>
    <t>957 - IRISH TRSY BONDS</t>
  </si>
  <si>
    <t>187 - IRISH TRSY EX-DIV</t>
  </si>
  <si>
    <t>186 - IRISH TRSY ISMA</t>
  </si>
  <si>
    <t>129 - ISMA CONVENTION</t>
  </si>
  <si>
    <t>334 - ISMA METHOD</t>
  </si>
  <si>
    <t>1126 - ISRAEL FIXED BONDS</t>
  </si>
  <si>
    <t>1481 - ISRAEL FLOATERS</t>
  </si>
  <si>
    <t>1281 - ISRAEL FRN</t>
  </si>
  <si>
    <t>1451 - ISRAEL GILBOA FLT</t>
  </si>
  <si>
    <t>1238 - ISRAEL I/L BONDS</t>
  </si>
  <si>
    <t>135 - ITALIAN BTE'S</t>
  </si>
  <si>
    <t>1143 - ITALIAN I/L BOND</t>
  </si>
  <si>
    <t>1147 - ITALY I/L BOND</t>
  </si>
  <si>
    <t>177 - ITALY:TRSY BILL</t>
  </si>
  <si>
    <t>527 - ITALY:TRSY BILL</t>
  </si>
  <si>
    <t>156 - ITALY:TRSY BONDS</t>
  </si>
  <si>
    <t>523 - ITALY:TRSY BONDS</t>
  </si>
  <si>
    <t>529 - ITLY:2YR TRSY BILL</t>
  </si>
  <si>
    <t>1286 - JAMAICA GOVT BONDS</t>
  </si>
  <si>
    <t>1273 - JAPAN NON-GOVT FLT</t>
  </si>
  <si>
    <t>52 - JAPAN:CMPD YIELD</t>
  </si>
  <si>
    <t>236 - JAPAN:COMPOUND YLD</t>
  </si>
  <si>
    <t>325 - JAPAN:COMPOUND YLD</t>
  </si>
  <si>
    <t>54 - JAPAN:DISCOUNT</t>
  </si>
  <si>
    <t>300 - JAPAN:GLOBAL/CMPND</t>
  </si>
  <si>
    <t>327 - JAPAN:NON GOVT BB</t>
  </si>
  <si>
    <t>328 - JAPAN:NON GOVT BB</t>
  </si>
  <si>
    <t>324 - JAPAN:NON-GOVT BB</t>
  </si>
  <si>
    <t>834 - JAPAN:NON-GOVT BB</t>
  </si>
  <si>
    <t>235 - JAPAN:SIMPLE YIELD</t>
  </si>
  <si>
    <t>238 - JAPAN:SIMPLE YIELD</t>
  </si>
  <si>
    <t>241 - JAPAN:SIMPLE YIELD</t>
  </si>
  <si>
    <t>51 - JAPAN:SIMPLE YIELD</t>
  </si>
  <si>
    <t>832 - JAPAN:SIMPLE YIELD</t>
  </si>
  <si>
    <t>127 - JAPANESE T-BILLS</t>
  </si>
  <si>
    <t>1033 - JGB SPECIAL FLOAT</t>
  </si>
  <si>
    <t>171 - JPN DISCOUNT BILLS</t>
  </si>
  <si>
    <t>1174 - JPN I/L: COMPOUND</t>
  </si>
  <si>
    <t>1173 - JPN I/L:SIMPLE INT</t>
  </si>
  <si>
    <t>394 - JPN:GLOBAL-CMPD</t>
  </si>
  <si>
    <t>398 - JPN:GLOBAL-CMPD</t>
  </si>
  <si>
    <t>393 - JPN:GLOBAL-SIMPLE</t>
  </si>
  <si>
    <t>1486 - REVOLVER LOAN</t>
  </si>
  <si>
    <t>1492 - PH FIXED-TO-VARIAB</t>
  </si>
  <si>
    <t>1502 - CF BASED CASH SINK</t>
  </si>
  <si>
    <t>1504 - TAIWAN GOVT BONDS</t>
  </si>
  <si>
    <t>1508 - TALP TAX CREDIT</t>
  </si>
  <si>
    <t>1509 - FIXED RATE LOAN</t>
  </si>
  <si>
    <t>1510 - PERU INFL ADJ BNDS</t>
  </si>
  <si>
    <t>1514 - STEP FLOATER</t>
  </si>
  <si>
    <t>1517 - PRFDs FIX-&gt;FLOAT</t>
  </si>
  <si>
    <t>1520 - BTPS Uplift</t>
  </si>
  <si>
    <t>1530 - TURKEY ZERO SIMPLE</t>
  </si>
  <si>
    <t>1534 - BRAZIL GLBL BONDS</t>
  </si>
  <si>
    <t>1541 - MEXICAN UDIBONOS</t>
  </si>
  <si>
    <t>1543 - BRAZIL INTL IL BRL</t>
  </si>
  <si>
    <t>1545 - NEW ZEALAND FLOAT</t>
  </si>
  <si>
    <t>1547 - THAILAND I/L BONDS</t>
  </si>
  <si>
    <t>1551 - BZ ILB DIRTY PRICE</t>
  </si>
  <si>
    <t>1553 - EGYPT FLOATER</t>
  </si>
  <si>
    <t>1556 - CDB DI + SPREAD</t>
  </si>
  <si>
    <t>1557 - CDB % OF DI</t>
  </si>
  <si>
    <t>1558 - ACCRETED SINK</t>
  </si>
  <si>
    <t>1560 - INDIA ODD CPN METH</t>
  </si>
  <si>
    <t>1561 - BTP ITALIA</t>
  </si>
  <si>
    <t>1566 - TURKEY:ADJ PAY FRN</t>
  </si>
  <si>
    <t>1571 - INDIAN EXDIV FLOAT</t>
  </si>
  <si>
    <t>1573 - SPAIN I/L BOND</t>
  </si>
  <si>
    <t>1577 - Delayed Pay</t>
  </si>
  <si>
    <t>1578 - RUSSIAN DOM FRN</t>
  </si>
  <si>
    <t>1182 - LITHUANIAN BONDS</t>
  </si>
  <si>
    <t>373 - LONG ODD-LAST BNDS</t>
  </si>
  <si>
    <t>456 - MALAY:MGS &amp; CAGMAS</t>
  </si>
  <si>
    <t>899 - MALAYSIA: CORP BDS</t>
  </si>
  <si>
    <t>937 - MALAYSIA: T-BILLS</t>
  </si>
  <si>
    <t>1265 - MALAYSIAN floater</t>
  </si>
  <si>
    <t>1267 - MALAYSIAN floater</t>
  </si>
  <si>
    <t>676 - MALTESE T-BILLS</t>
  </si>
  <si>
    <t>810 - MEDIUM TERM NOTES</t>
  </si>
  <si>
    <t>22 - MEDIUM-TERM CD</t>
  </si>
  <si>
    <t>884 - MEXICAN BONDES</t>
  </si>
  <si>
    <t>1070 - MEXICAN BREMS</t>
  </si>
  <si>
    <t>1370 - MEXICAN MXCB CD</t>
  </si>
  <si>
    <t>856 - MEXICAN UDIBONOS</t>
  </si>
  <si>
    <t>934 - MEXICO AJUSTABONOS</t>
  </si>
  <si>
    <t>1429 - MEXICO NOMINAL YLD</t>
  </si>
  <si>
    <t>1428 - MEXICO UDI MXN YLD</t>
  </si>
  <si>
    <t>317 - MEXICO: T-BILLS</t>
  </si>
  <si>
    <t>1432 - MIBOR FRN COMP</t>
  </si>
  <si>
    <t>1433 - MIBOR FRN SIMP</t>
  </si>
  <si>
    <t>1471 - MIBOR CRNTYLD-1430</t>
  </si>
  <si>
    <t>1472 - MIBOR CRNTYLD-1431</t>
  </si>
  <si>
    <t>1473 - MIBOR CRNTYLD-1432</t>
  </si>
  <si>
    <t>1474 - MIBOR CRNTYLD-1433</t>
  </si>
  <si>
    <t>1475 - MIBOR CRNTYLD-1434</t>
  </si>
  <si>
    <t>1476 - MIBOR CRNTYLD-1435</t>
  </si>
  <si>
    <t>1430 - MIBOR+SPD FRN COMP</t>
  </si>
  <si>
    <t>1431 - MIBOR+SPD FRN SIMP</t>
  </si>
  <si>
    <t>1251 - MOLDOVA GOVT BONDS</t>
  </si>
  <si>
    <t>1022 - MONEY MKT LOANS</t>
  </si>
  <si>
    <t>190 - MOOSMULLER METHOD</t>
  </si>
  <si>
    <t>133 - MULTI-COUPON</t>
  </si>
  <si>
    <t>607 - MULTI-COUPON</t>
  </si>
  <si>
    <t>844 - MULTI-COUPON:JAPN</t>
  </si>
  <si>
    <t>846 - MULTI-COUPON:JAPN</t>
  </si>
  <si>
    <t>519 - MULTI-CPN ADJ BOND</t>
  </si>
  <si>
    <t>517 - MULTI-CPN BRADY</t>
  </si>
  <si>
    <t>292 - MULTI-CPN CANADIAN</t>
  </si>
  <si>
    <t>463 - MULTI-CPN CASHFLOW</t>
  </si>
  <si>
    <t>721 - MULTI-CPN PRFD: %</t>
  </si>
  <si>
    <t>724 - MULTI-CPN PRFD:FIX</t>
  </si>
  <si>
    <t>320 - MULTI-PERIOD BONDS</t>
  </si>
  <si>
    <t>427 - MULTI-PRD FLIRB</t>
  </si>
  <si>
    <t>800 - MULTI-STEP $ PRFDS</t>
  </si>
  <si>
    <t>431 - MULTI-STEP $ SINKS</t>
  </si>
  <si>
    <t>802 - MULTI-STEP % PRFDS</t>
  </si>
  <si>
    <t>435 - MULTI-STEP % SINKS</t>
  </si>
  <si>
    <t>421 - MULTI-STEP BOND</t>
  </si>
  <si>
    <t>1311 - MULTI-STEP CPN BND</t>
  </si>
  <si>
    <t>46 - MUNICIPAL BONDS</t>
  </si>
  <si>
    <t>164 - MUNICIPAL NOTES</t>
  </si>
  <si>
    <t>195 - N ZEALAND I/L BOND</t>
  </si>
  <si>
    <t>1403 - N ZEALAND I/L MYLD</t>
  </si>
  <si>
    <t>1059 - N/ISS EUR FLT $PFD</t>
  </si>
  <si>
    <t>1061 - N/ISS EUR FLT %PFD</t>
  </si>
  <si>
    <t>971 - NAMIBIA GOVT BONDS</t>
  </si>
  <si>
    <t>984 - NAMIBIA: T-BILLS</t>
  </si>
  <si>
    <t>1035 - NETHERLAND:ST CONV</t>
  </si>
  <si>
    <t>1393 - NETHERLANDS: I/L B</t>
  </si>
  <si>
    <t>1055 - NEW ISSUE FLT $PFD</t>
  </si>
  <si>
    <t>1057 - NEW ISSUE FLT %PFD</t>
  </si>
  <si>
    <t>147 - NEW S.WALES:EX-DIV</t>
  </si>
  <si>
    <t>144 - NEW ZEALAND:EX-DIV</t>
  </si>
  <si>
    <t>1485 - NO CALC DEPOSITS</t>
  </si>
  <si>
    <t>198 - NO CALC-FLOATERS</t>
  </si>
  <si>
    <t>199 - NO CALC-WARRANTS</t>
  </si>
  <si>
    <t>758 - NO DATA/FEED BOND</t>
  </si>
  <si>
    <t>709 - NO-CALC LOANS</t>
  </si>
  <si>
    <t>522 - NO-CALC UK PFRDS</t>
  </si>
  <si>
    <t>273 - NORDIC T-BILLS</t>
  </si>
  <si>
    <t>183 - NORWAY FIXED</t>
  </si>
  <si>
    <t>13 - STREET CONV FIXED</t>
  </si>
  <si>
    <t>559 - P1C:FFR VAR NOTES</t>
  </si>
  <si>
    <t>555 - P3M:FFR VAR NOTES</t>
  </si>
  <si>
    <t>537 - P3R:FFR VAR NOTES</t>
  </si>
  <si>
    <t>657 - P3R:FFR VAR NOTES</t>
  </si>
  <si>
    <t>897 - PAKISTAN:T-BILLS</t>
  </si>
  <si>
    <t>59 - PARTIAL-PAID EURO</t>
  </si>
  <si>
    <t>111 - PAY-IN-KIND</t>
  </si>
  <si>
    <t>1423 - PAY-IN-KIND FLOAT</t>
  </si>
  <si>
    <t>670 - PERP.STEP-DOWN PFD</t>
  </si>
  <si>
    <t>42 - PERPETL PAY,EX-DIV</t>
  </si>
  <si>
    <t>471 - PERPETUAL ANN BOND</t>
  </si>
  <si>
    <t>473 - PERPETUAL FLOATER</t>
  </si>
  <si>
    <t>41 - PERPETUAL PAY</t>
  </si>
  <si>
    <t>1275 - PERUVIAN GOVT BOND</t>
  </si>
  <si>
    <t>811 - PFANDBRIEFE: MCPN</t>
  </si>
  <si>
    <t>813 - PFANDBRIEFE:C-FLOW</t>
  </si>
  <si>
    <t>551 - PHILIPPINE BONDS</t>
  </si>
  <si>
    <t>209 - PIK PRFD-$ TYPE</t>
  </si>
  <si>
    <t>212 - PIK PRFD-% TYPE</t>
  </si>
  <si>
    <t>244 - PIK-W/CASH PAY NOW</t>
  </si>
  <si>
    <t>1137 - POLAND FLOATERS</t>
  </si>
  <si>
    <t>760 - POLAND GOVT BOND</t>
  </si>
  <si>
    <t>1203 - POLAND: I/L BOND</t>
  </si>
  <si>
    <t>335 - PORTUGAL-DOM. SETL</t>
  </si>
  <si>
    <t>339 - PORTUGAL-INTL SETL</t>
  </si>
  <si>
    <t>104 - PRFD/ARMS:%TYPE</t>
  </si>
  <si>
    <t>878 - PRFD/ARMS:%TYPE</t>
  </si>
  <si>
    <t>103 - PRFD/ARMS:FIXD TYP</t>
  </si>
  <si>
    <t>876 - PRFD/ARMS:FIXD TYP</t>
  </si>
  <si>
    <t>280 - PRINCIPAL ONLY</t>
  </si>
  <si>
    <t>77 - PRO-RATA:PAR SINKS</t>
  </si>
  <si>
    <t>783 - PRO-RATA:PAR SINKS</t>
  </si>
  <si>
    <t>1477 - PTC:PassthroughCer</t>
  </si>
  <si>
    <t>1385 - Pay Adj Mod Follow</t>
  </si>
  <si>
    <t>513 - REVOLVER-TYPE LOAN</t>
  </si>
  <si>
    <t>1005 - RIB FLOATER</t>
  </si>
  <si>
    <t>1487 - RUSSIA MOS PRIME</t>
  </si>
  <si>
    <t>779 - RUSSIA PRIN LOANS</t>
  </si>
  <si>
    <t>1155 - RUSSIA: 91/182-PAY</t>
  </si>
  <si>
    <t>860 - RUSSIA: ACCRD ONLY</t>
  </si>
  <si>
    <t>535 - RUSSIA: GKO-s</t>
  </si>
  <si>
    <t>772 - RUSSIA: IANs</t>
  </si>
  <si>
    <t>1151 - RUSSIA: REG. PAYER</t>
  </si>
  <si>
    <t>787 - RUSSIAN GOVT BONDS</t>
  </si>
  <si>
    <t>827 - RUSSIAN GOVT BONDS</t>
  </si>
  <si>
    <t>368 - S AFRICA EX-DIV BD</t>
  </si>
  <si>
    <t>1069 - S AFRICA: T-BILLS</t>
  </si>
  <si>
    <t>205 - $TYPE NEW ISS PFDS</t>
  </si>
  <si>
    <t>872 - $TYPE NEW ISS PFDS</t>
  </si>
  <si>
    <t>206 - %TYPE NEW ISS PFDS</t>
  </si>
  <si>
    <t>873 - %TYPE NEW ISS PFDS</t>
  </si>
  <si>
    <t>57 - %TYPE PRFD</t>
  </si>
  <si>
    <t>869 - %TYPE PRFD</t>
  </si>
  <si>
    <t>130 - ** IN DEFAULT **</t>
  </si>
  <si>
    <t>820 - *NO CALCULATIONS*</t>
  </si>
  <si>
    <t>99 - *NO CALCULATIONS*</t>
  </si>
  <si>
    <t>1096 - *NO CALCULATIONS**</t>
  </si>
  <si>
    <t>1097 - *NO CALCULATIONS**</t>
  </si>
  <si>
    <t>113 - 30DAY-EX/ISMA CONV</t>
  </si>
  <si>
    <t>NOT AVILABLE - SMCI CREATION TEMPLATE</t>
  </si>
  <si>
    <t>RESTR - Restricted- OFAC Countries</t>
  </si>
  <si>
    <t>HREC - Halt - SEC Revocation</t>
  </si>
  <si>
    <t>INFO - Additional Information on DES</t>
  </si>
  <si>
    <t>ACQU - Acquired</t>
  </si>
  <si>
    <t>ACTIV - Active Security</t>
  </si>
  <si>
    <t>ADDIN - Additional Information on DES</t>
  </si>
  <si>
    <t>ATMTC - Automatic</t>
  </si>
  <si>
    <t>AUCTN - Auction</t>
  </si>
  <si>
    <t>CALLD - Security has been fully called at a call</t>
  </si>
  <si>
    <t>CANCL - Cancelled</t>
  </si>
  <si>
    <t>CONV - Converted</t>
  </si>
  <si>
    <t>DEFLT - Security has stopped paying on coupons</t>
  </si>
  <si>
    <t>DELT - Security was Deleted</t>
  </si>
  <si>
    <t>DLSTD - Delisted</t>
  </si>
  <si>
    <t>EXCHD - Security has been exchanged for another</t>
  </si>
  <si>
    <t>EXPRD - Expired</t>
  </si>
  <si>
    <t>FROZN - Frozen</t>
  </si>
  <si>
    <t>FUNGD - Security has been funged (interchanged)</t>
  </si>
  <si>
    <t>HALTD - Halted</t>
  </si>
  <si>
    <t>LQDAT - Liquidated</t>
  </si>
  <si>
    <t>MATRD - Matured Issue</t>
  </si>
  <si>
    <t>MIMBB - Market Imbalance Buy</t>
  </si>
  <si>
    <t>MIMBS - Market Imbalance Sell</t>
  </si>
  <si>
    <t>NEWRE - News and Resumption Times</t>
  </si>
  <si>
    <t>NOOP - No Open / No Resume</t>
  </si>
  <si>
    <t>OPAUC - Opening Auction</t>
  </si>
  <si>
    <t>OPDEL - Opening Delay</t>
  </si>
  <si>
    <t>OPNG - Opening pending new</t>
  </si>
  <si>
    <t>PENDG - Pending</t>
  </si>
  <si>
    <t>POSTD - POSTPONED</t>
  </si>
  <si>
    <t>PRNAV - Price Not Available</t>
  </si>
  <si>
    <t>PUT - Put</t>
  </si>
  <si>
    <t>REPCH - Repurchased</t>
  </si>
  <si>
    <t>RSRVD - Reserved</t>
  </si>
  <si>
    <t>SUSPD - Suspended</t>
  </si>
  <si>
    <t>TKCHG - Ticker Change</t>
  </si>
  <si>
    <t>ULSTD - Unlisted</t>
  </si>
  <si>
    <t>WISSD - When Issued</t>
  </si>
  <si>
    <t>WITHD - Security has been Withdrawn.</t>
  </si>
  <si>
    <t>LOW - LOW</t>
  </si>
  <si>
    <t>WARN - WARNING</t>
  </si>
  <si>
    <t>UP - UP</t>
  </si>
  <si>
    <t>NA - NOT APPLICABLE</t>
  </si>
  <si>
    <t>INACT - INACTIVE</t>
  </si>
  <si>
    <t>ACTV - Active</t>
  </si>
  <si>
    <t>NOREG - NO INSCRITA</t>
  </si>
  <si>
    <t>Product.IssueStatus</t>
  </si>
  <si>
    <t>AK3:AL48</t>
  </si>
  <si>
    <t>EXT</t>
  </si>
  <si>
    <t>MTY</t>
  </si>
  <si>
    <t>PERP</t>
  </si>
  <si>
    <t>REF</t>
  </si>
  <si>
    <t>REXT</t>
  </si>
  <si>
    <t>Redemption.MaturityType</t>
  </si>
  <si>
    <t>EXT - A long-term debt security that permits the owner to extend the maturity such that interest payments continue (but might be adjusted), and the principal repayment is delayed beyond the original date.</t>
  </si>
  <si>
    <t>MTY - Security is redeemable at the date on which the life of a financial instrument ends.</t>
  </si>
  <si>
    <t>PERP - A bond with either no maturity date or a maturity date that is so far in the future that the bond will pay interest indefinitely.</t>
  </si>
  <si>
    <t>REF - A bond may be retired through the sale of a new bond issue.</t>
  </si>
  <si>
    <t>REXT - A bond may be retired through the sale of a new bond issue/or maturity may be extended by the owner such that interest payments continue and the principal repayment is delayed.</t>
  </si>
  <si>
    <t>AN3:AO7</t>
  </si>
  <si>
    <t>ALTA</t>
  </si>
  <si>
    <t>AMB</t>
  </si>
  <si>
    <t>AUT</t>
  </si>
  <si>
    <t>BAL</t>
  </si>
  <si>
    <t>BSN</t>
  </si>
  <si>
    <t>BTS</t>
  </si>
  <si>
    <t>CAG</t>
  </si>
  <si>
    <t>CARE</t>
  </si>
  <si>
    <t>CBO</t>
  </si>
  <si>
    <t>CBS</t>
  </si>
  <si>
    <t>CFR</t>
  </si>
  <si>
    <t>CLK</t>
  </si>
  <si>
    <t>CND</t>
  </si>
  <si>
    <t>COM</t>
  </si>
  <si>
    <t>CON</t>
  </si>
  <si>
    <t>CRD</t>
  </si>
  <si>
    <t>CREF</t>
  </si>
  <si>
    <t>CSA</t>
  </si>
  <si>
    <t>ALTA - Alternative A (Alt-A) Loans (Residential)</t>
  </si>
  <si>
    <t>AMB - Agricultural MBS</t>
  </si>
  <si>
    <t>AUT - Automobile Receivables</t>
  </si>
  <si>
    <t>BAL - CMBS-SMALL BAL</t>
  </si>
  <si>
    <t>BSN - BUSINESS</t>
  </si>
  <si>
    <t>BTS - BOATS</t>
  </si>
  <si>
    <t>CAG - CMBS-AGENCY</t>
  </si>
  <si>
    <t>CARE - Retirement care center</t>
  </si>
  <si>
    <t>CBO - CBO</t>
  </si>
  <si>
    <t>CBS - CMBS-CDO</t>
  </si>
  <si>
    <t>CDO - CDO</t>
  </si>
  <si>
    <t>CFR - CMBS-FRANCHISE LN</t>
  </si>
  <si>
    <t>CLK - CREDIT LINK</t>
  </si>
  <si>
    <t>CLO - CLO</t>
  </si>
  <si>
    <t>CMBS - CMBS</t>
  </si>
  <si>
    <t>CND - CMBS-CONDUIT</t>
  </si>
  <si>
    <t>COM - COMMERCIAL</t>
  </si>
  <si>
    <t>CON - CONSUMERS</t>
  </si>
  <si>
    <t>CRD - CARDS</t>
  </si>
  <si>
    <t>CREF - REFERENCE-NOTE</t>
  </si>
  <si>
    <t>CSA - Single Asset</t>
  </si>
  <si>
    <t>BGR</t>
  </si>
  <si>
    <t>BLL</t>
  </si>
  <si>
    <t>CGT</t>
  </si>
  <si>
    <t>CLD</t>
  </si>
  <si>
    <t>CLT</t>
  </si>
  <si>
    <t>CMP</t>
  </si>
  <si>
    <t>COV</t>
  </si>
  <si>
    <t>CSH</t>
  </si>
  <si>
    <t>CSO</t>
  </si>
  <si>
    <t>CTD</t>
  </si>
  <si>
    <t>CUN</t>
  </si>
  <si>
    <t>CUS</t>
  </si>
  <si>
    <t>DEB</t>
  </si>
  <si>
    <t>DPN</t>
  </si>
  <si>
    <t>DPR</t>
  </si>
  <si>
    <t>EQT</t>
  </si>
  <si>
    <t>FCR</t>
  </si>
  <si>
    <t>FCS</t>
  </si>
  <si>
    <t>FDG</t>
  </si>
  <si>
    <t>FEH</t>
  </si>
  <si>
    <t>FHA</t>
  </si>
  <si>
    <t>FHB</t>
  </si>
  <si>
    <t>FHL</t>
  </si>
  <si>
    <t>FMG</t>
  </si>
  <si>
    <t>FNM</t>
  </si>
  <si>
    <t>FRG</t>
  </si>
  <si>
    <t>FRM</t>
  </si>
  <si>
    <t>FST</t>
  </si>
  <si>
    <t>GGR</t>
  </si>
  <si>
    <t>GNM</t>
  </si>
  <si>
    <t>GRM</t>
  </si>
  <si>
    <t>GVG</t>
  </si>
  <si>
    <t>HUD</t>
  </si>
  <si>
    <t>INS</t>
  </si>
  <si>
    <t>JDB</t>
  </si>
  <si>
    <t>JPF</t>
  </si>
  <si>
    <t>JSB</t>
  </si>
  <si>
    <t>JSD</t>
  </si>
  <si>
    <t>KWA</t>
  </si>
  <si>
    <t>LGG</t>
  </si>
  <si>
    <t>LMG</t>
  </si>
  <si>
    <t>MTG</t>
  </si>
  <si>
    <t>NTS</t>
  </si>
  <si>
    <t>OCS</t>
  </si>
  <si>
    <t>OTH</t>
  </si>
  <si>
    <t>OTR</t>
  </si>
  <si>
    <t>OUS</t>
  </si>
  <si>
    <t>PFA</t>
  </si>
  <si>
    <t>PTL</t>
  </si>
  <si>
    <t>PTS</t>
  </si>
  <si>
    <t>RDO</t>
  </si>
  <si>
    <t>SBA</t>
  </si>
  <si>
    <t>SCD</t>
  </si>
  <si>
    <t>SDN</t>
  </si>
  <si>
    <t>SLA</t>
  </si>
  <si>
    <t>SLG</t>
  </si>
  <si>
    <t>SNT</t>
  </si>
  <si>
    <t>SRN</t>
  </si>
  <si>
    <t>SRS</t>
  </si>
  <si>
    <t>SSB</t>
  </si>
  <si>
    <t>SSD</t>
  </si>
  <si>
    <t>SSN</t>
  </si>
  <si>
    <t>SUD</t>
  </si>
  <si>
    <t>SUN</t>
  </si>
  <si>
    <t>SUS</t>
  </si>
  <si>
    <t>TRO</t>
  </si>
  <si>
    <t>TRS</t>
  </si>
  <si>
    <t>UCS</t>
  </si>
  <si>
    <t>UNN</t>
  </si>
  <si>
    <t>UNS</t>
  </si>
  <si>
    <t>UNT</t>
  </si>
  <si>
    <t>USB</t>
  </si>
  <si>
    <t>USC</t>
  </si>
  <si>
    <t>USG</t>
  </si>
  <si>
    <t>USO</t>
  </si>
  <si>
    <t>USU</t>
  </si>
  <si>
    <t>WRT</t>
  </si>
  <si>
    <t>CollateralType.CMO</t>
  </si>
  <si>
    <t>CollateralType.CORP</t>
  </si>
  <si>
    <t>ABS - A security supported by assets, such as automobile loans, owned by the issuer and usually placed with a trustee.</t>
  </si>
  <si>
    <t>BGR - A security whose payment of principal and interest are guaranteed by a bank.</t>
  </si>
  <si>
    <t>BLL - Government-issued debt securities.</t>
  </si>
  <si>
    <t>BND - A certificate of debt issued by a government or corporation with the promise to pay back the principal amount as well as interest by a specified future date.</t>
  </si>
  <si>
    <t>CGT - A bond whose principal and interest payments are guaranteed by an outside company.</t>
  </si>
  <si>
    <t>CLD - Securities that are secured by an asset of the issuer, frequently a mortgage.</t>
  </si>
  <si>
    <t>CLT - A bond backed by securities owned by the issuing company. A bank or other trustee usually holds the securities for the bond holder. These bonds are most commonly issued by parent companies against t</t>
  </si>
  <si>
    <t>CMP - An unsecured short-term promise to repay a fixed amount on a certain future date. Usually matures from 2 to 270 days.</t>
  </si>
  <si>
    <t>COV - A covered or mortgage bond is an on-balance sheet obligation of the institution. Typically AAA rated, a covered bond receives the legal structure should the issuer fail to make for a highly rated bond</t>
  </si>
  <si>
    <t>CSH - The security is backed by cash.</t>
  </si>
  <si>
    <t>CSO - The security is backed by Cash and Other Collateral, but % of Cash is higher.</t>
  </si>
  <si>
    <t>CTD - Certificate of Deposit</t>
  </si>
  <si>
    <t>CUN - The security is backed by Unknown Collateral and Cash, but % of Cash is higher.</t>
  </si>
  <si>
    <t>CUS - The security is backed by Cash and U.S. Govt Securities, but % of Cash is higher.</t>
  </si>
  <si>
    <t>DEB - A long-term debt instrument that has no collateral other than the issuing company's general credit.</t>
  </si>
  <si>
    <t>DPN - Securities issued by a financial institution using the deposits of the new institiution as collateral. These securities carry the FDIC insurance.</t>
  </si>
  <si>
    <t>DPR - An actual bank receivable. The coupons and principal are secured by this receivable.</t>
  </si>
  <si>
    <t>EQT - A debt certificate issued by a company in order to buy mechanical equipment, with the equipment serving as the debt's collateral.</t>
  </si>
  <si>
    <t>FCR - Federal Agency established in 1987 to issue bonds in order to bail out the Federal Savings and Loan Insurance Corporation.</t>
  </si>
  <si>
    <t>FCS - Provides credit services to farmers and farm-related enterprises through a network of 12 Farm Credit districts.</t>
  </si>
  <si>
    <t>FDG - A security issued under the FDIC's Temporary Liquidity Guarantee Program.</t>
  </si>
  <si>
    <t>FEH - Federally sponsored agency that insures lenders against loss on residential mortgages.</t>
  </si>
  <si>
    <t>FHA - A unit of the Department of Agriculture which makes loans for community centers, farms and homes in rural areas.</t>
  </si>
  <si>
    <t>FHB - An independent federal agency consisting of 12 district banks and their member banks. The system issues debt securities that provide credit to savings and loan institutions and other mortgage lenders</t>
  </si>
  <si>
    <t>FHL - A system that supplies credit reserves for savings and loans and other mortgage lenders.</t>
  </si>
  <si>
    <t>FMG - A long-term debt instrument with the first mortgage on the issuer's property serving as the bond's collateral.</t>
  </si>
  <si>
    <t>FNM - Publically owned, govt-sponsored corporation chartered to purchase mortgages from lenders and resell them to investors. Mostly packages mortgages backed by the Federal Housing Administration, but a</t>
  </si>
  <si>
    <t>FRG - Foreign government guarantee. A bond whose interest and principal payments are guaranteed by a government other than the U.S.</t>
  </si>
  <si>
    <t>FRM - A security secured by a first lien on all of the principal properties and franchises owned by the company.</t>
  </si>
  <si>
    <t>FST - Bonds that can be subdivided into a seres of zero-coupon bonds and issued by Federal Agency established in 1987 to issue bonds in order to bail out the Federal Savings and Loan Insurance Corporation.</t>
  </si>
  <si>
    <t>GGR - Guaranteed by the local government.</t>
  </si>
  <si>
    <t>GNM - A Govt corporation which supports the housing market. GNMA buys Veterans Administration, Farmer's Home Administration and Federal Housing Administration mortgages, then issues bonds on pools of the m</t>
  </si>
  <si>
    <t>GRM - General refinanced mortgage. A mortgage loan that is refinanced with another loan.</t>
  </si>
  <si>
    <t>GVG - A security issued outside of the US that is guaranteed as part of a liquidity guarantee scheme.</t>
  </si>
  <si>
    <t>HUD - Department of Housing and Urban Development.</t>
  </si>
  <si>
    <t>INS - The insurance or assurance companies that insure the payment of principal and interest on securities. An insurance policy is used for coverage.</t>
  </si>
  <si>
    <t>JDB - Junior debentures - subordinated in priority to other securities when dividends are paid or assets are distributed in liquidation or bankruptcy.</t>
  </si>
  <si>
    <t>JPF - Has a larger issue size.</t>
  </si>
  <si>
    <t>JSB - Junior subordinated. Ranks lower in priority than other securities when dividends are paid or assets are distributed in liquidation or bankruptcy.</t>
  </si>
  <si>
    <t>JSD - Junior subordinated debentures. Ranks lower in priority than other securities when dividends are paid or assets are distributed in liquidation or bankruptcy.</t>
  </si>
  <si>
    <t>KWA - A contract between two companies in which the first company agrees to ensure that its subsidiary maintains minimum financial standards to protect a future deal between the subsidiary and the second co</t>
  </si>
  <si>
    <t>LGG - Local government guaranty. A bond whose principal and interest payments are guaranteed by a local government, such as a province, city, or town.</t>
  </si>
  <si>
    <t>LMG - Limited guarantee by the local government.</t>
  </si>
  <si>
    <t>MBS - A security generally issued or guaranteed by a federal agency, that is backed by a pool of mortgages.</t>
  </si>
  <si>
    <t>MTG - A security whose cash flows are generated by the pool of mortgages backing the security.</t>
  </si>
  <si>
    <t>NTS - A legal document that is evidence of a debt and that requires payment within a specific time period.</t>
  </si>
  <si>
    <t>OCS - Other - collateral can not be categorized. The security is backed by other collateral and cash, but % of other collateral is higher.</t>
  </si>
  <si>
    <t>OTH - The security is backed by two different collaterals that can not be categorized.</t>
  </si>
  <si>
    <t>OTR - The security is backed by collateral that can not be categorized.</t>
  </si>
  <si>
    <t>OUS - The security is backed by other collateral and U.S.Govt Securities, but % of other collateral is higher.</t>
  </si>
  <si>
    <t>PFA - A legally protected term for bonds issued by German banks which are subject to special Pfandbriefe legislation. There are two types of Pfandbriefe (Oeffentliche and Hypotheken) collateralized by loan</t>
  </si>
  <si>
    <t>PTL - A collateral type used for preferreds that were issued both before and after the Securities Act of 1931. (Partial)</t>
  </si>
  <si>
    <t>PTS - A debt instrument that reflects an interest in a mortgage pool. Monthly payments of principal and interest are passed from debtor to investor through an intermediary.</t>
  </si>
  <si>
    <t>RDO - The federal agency responsible for issuing up to $40 billion of long-term debt required to finance activities of the Resolution Trust Corporation . The principal of REFCORP debt is backed by zero-cou</t>
  </si>
  <si>
    <t>RFS - Bonds that can be subdivided into a series of zero-coupon bonds and issued by the federal agency responsible for issuing up to $40 billion of long-term debt required to finance activities of the Resol</t>
  </si>
  <si>
    <t>SBA - A govt agency that provides management advice and govt-guaranteed loans to small businesses. SBA securities are exempt from state and local taxes, but not from federal taxes.</t>
  </si>
  <si>
    <t>SCD - A bond for which the issuer has set aside assets as collateral to ensure timely interest and principal payments.</t>
  </si>
  <si>
    <t>SDN - Senior discount notes. A note offered below face value that has priority over other notes in claiming assets and dividends.</t>
  </si>
  <si>
    <t>SLA - A publicly traded stock company that guarantees securites backed by pools of student loans traded in secondary markets. SLMA's guarantee carries the full faith and credit of the U.S. government.</t>
  </si>
  <si>
    <t>SLG - Non-marketable US Treasury securities sold to state and local governments</t>
  </si>
  <si>
    <t>SMG - A bond backed by a mortgage. First mortgage bonds take priority over second mortgage bonds.</t>
  </si>
  <si>
    <t>SNT - A note with a lower priority than other securities when dividends are paid or assets are distributed in liquidation or bankruptcy.</t>
  </si>
  <si>
    <t>SRN - A security that has priority over other securities in claiming assets and dividends.</t>
  </si>
  <si>
    <t>SRS - The Senior Secured, a bond for which the issuer has set aside assets or collateral to ensure timely interest and principal payments. Senior Secured has priority over other secured debt of the issuer.</t>
  </si>
  <si>
    <t>SSB - Senior subordinated. Ranks lower in priority than senior debt when dividends are paid or assets are distributed in liquidation or bankruptcy, but ranks higher than junior subordinated debt.</t>
  </si>
  <si>
    <t>SSD - Senior subordinated debentures. Ranks lower in priority than senior debt when dividends are paid or assets are distributed in liquidation or bankruptcy, but ranks higher than junior subordinated debt</t>
  </si>
  <si>
    <t>SSN - Senior subordinated notes. Ranks lower in priority than senior debt when dividends are paid or assets are distributed in liquidation or bankruptcy, but ranks higher than junior subordinated debt.</t>
  </si>
  <si>
    <t>SUB - A security with a lower priority than other securities when dividends are paid or assets are distributed in liquidation or bankruptcy.</t>
  </si>
  <si>
    <t>SUD - A security with a lower priority than other securities when dividends are paid or assets are distributed in liquidation or bankruptcy.</t>
  </si>
  <si>
    <t>SUN - Senior Unsecured - loans or debt securities that have claim prior to junior obligations and Equity on a corporation's assets in the event of liquidation or bankruptcy not guaranteed by the pledge of a</t>
  </si>
  <si>
    <t>SUS - Senior unsubordinated. A security that has priority over other bonds in claiming assets and dividends.</t>
  </si>
  <si>
    <t>TRO - Zero-coupon Treasury bonds that mature in three months to 29 years and are backed by the full faith and credit of the U.S. Government.</t>
  </si>
  <si>
    <t>TRS - Treasury bond that can be subdivided into a series of zero-coupon bonds.</t>
  </si>
  <si>
    <t>UCS - The security is backed by Unknown Collateral and Cash, but % of Uknown Collateral is higher.</t>
  </si>
  <si>
    <t>UNN - The security is backed by unknown type of collateral.</t>
  </si>
  <si>
    <t>UNS - A debt obligation with no collateral, and backed only by the debtor's creditworthiness.</t>
  </si>
  <si>
    <t>UNT - A bond with an attachment to buy shares, bonds, or other types of securities at a specific price before a predetermined date.</t>
  </si>
  <si>
    <t>USB - A security that does not rank lower in priority than other securities when dividends are paid or assets are distributed in liquidation or bankruptcy.</t>
  </si>
  <si>
    <t>USC - US Govt Securities - all bonds issued by the U.S. Treasury or other agencies of the U.S. government. The bond is backed by U.S. Govt Securities and Cash, but % of govt. securities is higher.</t>
  </si>
  <si>
    <t>USG - A bond whose interest and principal payments are guaranteed by the U.S. government.</t>
  </si>
  <si>
    <t>USO - The security is backed by U.S.Govt Securities and other collateral, but % of U.S. Govt Securities is higher.</t>
  </si>
  <si>
    <t>USS - US Govt Securities - all bonds issued by the U.S. Treasury or other agencies of the U.S. government.</t>
  </si>
  <si>
    <t>USU - The Security is backed by U.S. Govt Securities and Unknown Collateral, but % of U.S. Govt Securities is higher.</t>
  </si>
  <si>
    <t>WRT - A certificate that represents an option to buy a certain number of stock shares at specific price before a predetermined date.</t>
  </si>
  <si>
    <t>CollateralType.GOVT</t>
  </si>
  <si>
    <t>CAN - Canadian Mortgages</t>
  </si>
  <si>
    <t>FG - FHLMC Gold</t>
  </si>
  <si>
    <t>FGBI - Freddie Gold Bi-Weekly</t>
  </si>
  <si>
    <t>FGCI - FHLMC Gold 15yr fixed</t>
  </si>
  <si>
    <t>FGCO - Freddie Gold Conventional</t>
  </si>
  <si>
    <t>FGFB - FHLMC Gold 30/5 balloon</t>
  </si>
  <si>
    <t>FGG8 - Freddie Gold 30 year Giants</t>
  </si>
  <si>
    <t>FGG9 - Freddie Gold 15 year Giants</t>
  </si>
  <si>
    <t>FGHL - FHLMC Gold</t>
  </si>
  <si>
    <t>FGIO - FHLMC Gold IO Fixed / full amortisation</t>
  </si>
  <si>
    <t>FGJM - FHLMC Gold</t>
  </si>
  <si>
    <t>FGK3 - FHLMC Gold</t>
  </si>
  <si>
    <t>FGLM - FHLMC Gold 30yr fixed</t>
  </si>
  <si>
    <t>FGP5 - Freddie Gold Prepay Premium Protection</t>
  </si>
  <si>
    <t>FGP6 - Freddie Gold Prepay Premium Protection</t>
  </si>
  <si>
    <t>FGRE - FHLMC Gold relocation</t>
  </si>
  <si>
    <t>FGRI - Freddie GOLD 15yr Reloc</t>
  </si>
  <si>
    <t>FGSB - FHLMC Gold 30/7 balloon</t>
  </si>
  <si>
    <t>FGTW - FHLMC Gold 20yr fixed</t>
  </si>
  <si>
    <t>FGVA - FHLMC Gold veteran administration loans</t>
  </si>
  <si>
    <t>FH - FHLMC 75Day</t>
  </si>
  <si>
    <t>FH14 - Freddie Non-Gold 30 Year fixed FHA/VA Loans</t>
  </si>
  <si>
    <t>FH23 - Freddie Non-Gold 30 year fixed Mulifamily Fully Amoritizing Loans</t>
  </si>
  <si>
    <t>FHAR - FHLMC 75Day - ARM</t>
  </si>
  <si>
    <t>FHBI - Freddie Non-Gold Bi-weekly 30 year loans</t>
  </si>
  <si>
    <t>FHCO - 30 Year Coop</t>
  </si>
  <si>
    <t>FHLM - Federal Home Loan Mortgage Corporation</t>
  </si>
  <si>
    <t>FHRL - Freddie Non-Gold 30 Year Relocation</t>
  </si>
  <si>
    <t>FHTP - FHLMC 75Day tiered payment</t>
  </si>
  <si>
    <t>FN - Fannie</t>
  </si>
  <si>
    <t>FN2I - Fannie Mae (2I) Second Mortgage Level Pay Type</t>
  </si>
  <si>
    <t>FNAR - Fannie Mae ARMs</t>
  </si>
  <si>
    <t>FNCA - Fannie Mae, Conventional, 30 Year Term, Level Payment, Fixed Rate, Single Family, Assumable</t>
  </si>
  <si>
    <t>FNCI - Fannie 15yr fixed</t>
  </si>
  <si>
    <t>FNCL - Fannie 30 yr fixed</t>
  </si>
  <si>
    <t>FNCN - Fannie 10yr fixed</t>
  </si>
  <si>
    <t>FNCT - Fannie 20yr fixed</t>
  </si>
  <si>
    <t>FNCX - Fannie 30/7 balloon</t>
  </si>
  <si>
    <t>FNCZ - Fannie</t>
  </si>
  <si>
    <t>FNGL - Fannie veterns administration loans</t>
  </si>
  <si>
    <t>FNGN - Ginnie Backed Mega</t>
  </si>
  <si>
    <t>FNHL - Fannie</t>
  </si>
  <si>
    <t>FNIO - Fannie &lt;30 level fixed single family IO</t>
  </si>
  <si>
    <t>FNJL - Fannie Mae Conventional, greater then 15 year term, Level Payment, Fixed Rate, Single Family, Greater then 15% Special Loans</t>
  </si>
  <si>
    <t>FNJM - Fannie</t>
  </si>
  <si>
    <t>FNKI - Fannie Mae Conventional, less then 15 year term, Level Payment, Fixed Rate, Single Family, Prepayment Penalty</t>
  </si>
  <si>
    <t>FNKL - Fannie Mae 30 Year Conventional with prepay penalties</t>
  </si>
  <si>
    <t>FNLA - Fannie Mae 30 Year Conventioanl, Level Payment, Adjustable Rate, SingleFamily, 5/1 Hybrid 1 Year Libor</t>
  </si>
  <si>
    <t>FNMA - Federal National Mortgage Association</t>
  </si>
  <si>
    <t>FNMX - Fannie Multi family</t>
  </si>
  <si>
    <t>FNPI - Fannie Mae, Conventional Loan, less then 15 year term, Level Payment, Fixed rate, Coop Share &gt; 10%</t>
  </si>
  <si>
    <t>FNPL - Fannie Mae, Conventional Loan, 30 year term, Level Payment, Fixed rate, Coop Share &gt; 10%</t>
  </si>
  <si>
    <t>FNRE - Fannie relocation</t>
  </si>
  <si>
    <t>FNRI - Fannie Mae Conventional, less then 15 year Term, Level Payment, Fixed Rate, Singlefamily, Relocation</t>
  </si>
  <si>
    <t>FNTQ - Fannie Mae Govt, 5-10 Year Term, Level Payment, FHA Title I Rehab</t>
  </si>
  <si>
    <t>FNTT - Fannie Mae Govt, 15-20 Year Term, Level Payment, FHA Title I Rehab</t>
  </si>
  <si>
    <t>FNTW - Fannie Mae, Conventional, 20 Year Term, Level Payment, Fixed Rate</t>
  </si>
  <si>
    <t>FNVL - Fannie Mae, Conventional, 40 Year Term, Level Payment, Single Family, California</t>
  </si>
  <si>
    <t>G2 - GNMA II</t>
  </si>
  <si>
    <t>G2AF - Ginnie Mae II Single Family 5/1 Hybrid (1%/5%caps), 30 Year Term Level Payment, Adjustable Rates</t>
  </si>
  <si>
    <t>G2AQ - Ginnie Mae II Single Family Adjustable Rate with Missed cutoff dates, Level Pay, 30 Year Terms</t>
  </si>
  <si>
    <t>G2AR - GNMA II - ARM</t>
  </si>
  <si>
    <t>G2AS - Ginnie Mae II Single Famiy Adjustable Rate, Level Pay 30 Year Term, 7/1 Hybrid (2%/6%caps)</t>
  </si>
  <si>
    <t>G2AT - Ginnie Mae II Single Family 3/1 Hybrid (1%/5%caps), 30 Year Term Level Payment, Adjustable Rates</t>
  </si>
  <si>
    <t>G2AX - Ginnie Mae II Single Famiy Adjustable Rate, Level Pay 30 Year Term, 10/1 Hybrid (2%/6%caps)</t>
  </si>
  <si>
    <t>G2BD - Ginnie Mae II Buy Down</t>
  </si>
  <si>
    <t>G2FT - Ginnie Mae II Single Famiy Adjustable Rate, Level Pay 30 Year Term, 5/1 Hybrid (2%/6%caps)</t>
  </si>
  <si>
    <t>G2GP - Ginne Mae II Graduated Payment</t>
  </si>
  <si>
    <t>G2JM - GNMA II</t>
  </si>
  <si>
    <t>G2JO - GNMA II 15yr fixed</t>
  </si>
  <si>
    <t>G2MH - Ginnie Mae Mobil Home</t>
  </si>
  <si>
    <t>G2SF - GNMA II 30yr fixed</t>
  </si>
  <si>
    <t>G2TW - Ginnie Mae II Single Family 20 Year</t>
  </si>
  <si>
    <t>GN - GNMA I</t>
  </si>
  <si>
    <t>GNBD - GNMA I buy down</t>
  </si>
  <si>
    <t>GNCL - Ginnie Mae 40 Year Level Pay, Fixed Coupon, Multifamily, Construction Loan</t>
  </si>
  <si>
    <t>GNCS - Ginnie Mae MultiFamily, Construction Loan, Split Interest</t>
  </si>
  <si>
    <t>GNGP - GNMA I gradual payment</t>
  </si>
  <si>
    <t>GNJO - GNMA I 15yr fixed</t>
  </si>
  <si>
    <t>GNMH - Ginnie Mae, 15 Year, Level Payment, Fixed Rate, Single Family, Manufatured Housing</t>
  </si>
  <si>
    <t>GNPL - GNMA I multi family project loan</t>
  </si>
  <si>
    <t>GNPN - Ginnie Mae, 40 Year, Non-Level Payment, Fixed rate, Multifamily, Project Loans</t>
  </si>
  <si>
    <t>GNSF - GNMA I 30yr fixed</t>
  </si>
  <si>
    <t>CAN</t>
  </si>
  <si>
    <t>FG</t>
  </si>
  <si>
    <t>FGBI</t>
  </si>
  <si>
    <t>FGCI</t>
  </si>
  <si>
    <t>FGCO</t>
  </si>
  <si>
    <t>FGFB</t>
  </si>
  <si>
    <t>FGG8</t>
  </si>
  <si>
    <t>FGG9</t>
  </si>
  <si>
    <t>FGHL</t>
  </si>
  <si>
    <t>FGIO</t>
  </si>
  <si>
    <t>FGJM</t>
  </si>
  <si>
    <t>FGK3</t>
  </si>
  <si>
    <t>FGLM</t>
  </si>
  <si>
    <t>FGP5</t>
  </si>
  <si>
    <t>FGP6</t>
  </si>
  <si>
    <t>FGRE</t>
  </si>
  <si>
    <t>FGRI</t>
  </si>
  <si>
    <t>FGSB</t>
  </si>
  <si>
    <t>FGTW</t>
  </si>
  <si>
    <t>FGVA</t>
  </si>
  <si>
    <t>FH</t>
  </si>
  <si>
    <t>FH14</t>
  </si>
  <si>
    <t>FH23</t>
  </si>
  <si>
    <t>FHAR</t>
  </si>
  <si>
    <t>FHBI</t>
  </si>
  <si>
    <t>FHCO</t>
  </si>
  <si>
    <t>FHLM</t>
  </si>
  <si>
    <t>FHRL</t>
  </si>
  <si>
    <t>FHTP</t>
  </si>
  <si>
    <t>FN</t>
  </si>
  <si>
    <t>FN2I</t>
  </si>
  <si>
    <t>FNAR</t>
  </si>
  <si>
    <t>FNCA</t>
  </si>
  <si>
    <t>FNCI</t>
  </si>
  <si>
    <t>FNCL</t>
  </si>
  <si>
    <t>FNCN</t>
  </si>
  <si>
    <t>FNCT</t>
  </si>
  <si>
    <t>FNCX</t>
  </si>
  <si>
    <t>FNCZ</t>
  </si>
  <si>
    <t>FNGL</t>
  </si>
  <si>
    <t>FNGN</t>
  </si>
  <si>
    <t>FNHL</t>
  </si>
  <si>
    <t>FNIO</t>
  </si>
  <si>
    <t>FNJL</t>
  </si>
  <si>
    <t>FNJM</t>
  </si>
  <si>
    <t>FNKI</t>
  </si>
  <si>
    <t>FNKL</t>
  </si>
  <si>
    <t>FNLA</t>
  </si>
  <si>
    <t>FNMA</t>
  </si>
  <si>
    <t>FNMX</t>
  </si>
  <si>
    <t>FNPI</t>
  </si>
  <si>
    <t>FNPL</t>
  </si>
  <si>
    <t>FNRE</t>
  </si>
  <si>
    <t>FNRI</t>
  </si>
  <si>
    <t>FNTQ</t>
  </si>
  <si>
    <t>FNTT</t>
  </si>
  <si>
    <t>FNTW</t>
  </si>
  <si>
    <t>FNVL</t>
  </si>
  <si>
    <t>G2</t>
  </si>
  <si>
    <t>G2AF</t>
  </si>
  <si>
    <t>G2AQ</t>
  </si>
  <si>
    <t>G2AR</t>
  </si>
  <si>
    <t>G2AS</t>
  </si>
  <si>
    <t>G2AT</t>
  </si>
  <si>
    <t>G2AX</t>
  </si>
  <si>
    <t>G2BD</t>
  </si>
  <si>
    <t>G2FT</t>
  </si>
  <si>
    <t>G2GP</t>
  </si>
  <si>
    <t>G2JM</t>
  </si>
  <si>
    <t>G2JO</t>
  </si>
  <si>
    <t>G2MH</t>
  </si>
  <si>
    <t>G2SF</t>
  </si>
  <si>
    <t>G2TW</t>
  </si>
  <si>
    <t>GNBD</t>
  </si>
  <si>
    <t>GNCL</t>
  </si>
  <si>
    <t>GNCS</t>
  </si>
  <si>
    <t>GNGP</t>
  </si>
  <si>
    <t>GNJO</t>
  </si>
  <si>
    <t>GNMH</t>
  </si>
  <si>
    <t>GNPL</t>
  </si>
  <si>
    <t>GNPN</t>
  </si>
  <si>
    <t>GNSF</t>
  </si>
  <si>
    <t>GNSN</t>
  </si>
  <si>
    <t>GNTW</t>
  </si>
  <si>
    <t>POOL</t>
  </si>
  <si>
    <t>CollateralType.MBS</t>
  </si>
  <si>
    <t>GNSN - GNMA I</t>
  </si>
  <si>
    <t>GNTW - Ginnie Mae, 20 Year, Single Family</t>
  </si>
  <si>
    <t>LOAN - Loan Security</t>
  </si>
  <si>
    <t>POOL - Mortgage Pool Security</t>
  </si>
  <si>
    <t>CollateralType.PFD</t>
  </si>
  <si>
    <t xml:space="preserve">PTL </t>
  </si>
  <si>
    <t>CURNT-REFUND</t>
  </si>
  <si>
    <t>LAWSUIT-SETL</t>
  </si>
  <si>
    <t>PROPTY-ACQST</t>
  </si>
  <si>
    <t>REPAY-BKLOAN</t>
  </si>
  <si>
    <t>STADM-ARENAS</t>
  </si>
  <si>
    <t>STUDENT-HOUS</t>
  </si>
  <si>
    <t>SWAP-TERMINT</t>
  </si>
  <si>
    <t>CASINOS</t>
  </si>
  <si>
    <t>CRNL-FAC-IMP</t>
  </si>
  <si>
    <t>CRSOVR-REFND</t>
  </si>
  <si>
    <t>CSH-FLOW-MGN</t>
  </si>
  <si>
    <t>ECON-IMPTS</t>
  </si>
  <si>
    <t>ELEC-PWR-IMP</t>
  </si>
  <si>
    <t>HIGHWAY-IMPS</t>
  </si>
  <si>
    <t>HLTH-HOSP-NH</t>
  </si>
  <si>
    <t>HOUSING</t>
  </si>
  <si>
    <t>INDUSTRL-IMP</t>
  </si>
  <si>
    <t>LOCAL-MF-HSG</t>
  </si>
  <si>
    <t>LOCAL-SF-HSG</t>
  </si>
  <si>
    <t>MISC-PURPOSE</t>
  </si>
  <si>
    <t>MULT-ULT-IMP</t>
  </si>
  <si>
    <t>NAT-GAS-UTLY</t>
  </si>
  <si>
    <t>NEW-JOB-TRNG</t>
  </si>
  <si>
    <t>NURSING-HMS</t>
  </si>
  <si>
    <t>PARK-FAC-IMP</t>
  </si>
  <si>
    <t>PENSION-FNDG</t>
  </si>
  <si>
    <t>POLLUTION-CN</t>
  </si>
  <si>
    <t>PRT-APRT-MRN</t>
  </si>
  <si>
    <t>PRVT-PRI-SCH</t>
  </si>
  <si>
    <t>PUBLIC-IMPS</t>
  </si>
  <si>
    <t>PWR-PLNT-NUC</t>
  </si>
  <si>
    <t>PWR-PLNTS-NN</t>
  </si>
  <si>
    <t>REC-FAC-IMPS</t>
  </si>
  <si>
    <t>REFNDG-BONDS</t>
  </si>
  <si>
    <t>REFNDG-NOTES</t>
  </si>
  <si>
    <t>RETIRMNT-FAC</t>
  </si>
  <si>
    <t>RSRCE-RECVRY</t>
  </si>
  <si>
    <t>SCHOOL-IMPS</t>
  </si>
  <si>
    <t>SEWER-IMPS</t>
  </si>
  <si>
    <t>STATE-MF-HSG</t>
  </si>
  <si>
    <t>STATE-SF-HSG</t>
  </si>
  <si>
    <t>STUDENT-LOAN</t>
  </si>
  <si>
    <t>TELECOM-IMPS</t>
  </si>
  <si>
    <t>TRANSIT-IMPS</t>
  </si>
  <si>
    <t>UNEMP-WELFR</t>
  </si>
  <si>
    <t>UNIV-IMPS</t>
  </si>
  <si>
    <t>UNKNOWN</t>
  </si>
  <si>
    <t>WATER-UTILTY</t>
  </si>
  <si>
    <t xml:space="preserve">Muni.ProceedsUse </t>
  </si>
  <si>
    <t>BG3:BH50</t>
  </si>
  <si>
    <t>CURNT-REFUND - current refunding</t>
  </si>
  <si>
    <t>LAWSUIT-SETL - lawsuit/settlement</t>
  </si>
  <si>
    <t>PROPTY-ACQST - property acquisition</t>
  </si>
  <si>
    <t>REPAY-BKLOAN - repayment of bank loan</t>
  </si>
  <si>
    <t>STADM-ARENAS - stadiums/arenas</t>
  </si>
  <si>
    <t>STUDENT-HOUS - student housing</t>
  </si>
  <si>
    <t>SWAP-TERMINT - swap termination</t>
  </si>
  <si>
    <t>CASINOS - casinos</t>
  </si>
  <si>
    <t>CRNL-FAC-IMP - correctional fac. imps.</t>
  </si>
  <si>
    <t>CRSOVR-REFND - crossover refunding</t>
  </si>
  <si>
    <t>CSH-FLOW-MGN - cash flow management</t>
  </si>
  <si>
    <t>ECON-IMPTS - economic impts.</t>
  </si>
  <si>
    <t>ELEC-PWR-IMP - elec. lt. &amp; pwr. impts.</t>
  </si>
  <si>
    <t>HIGHWAY-IMPS - highway imps.</t>
  </si>
  <si>
    <t>HLTH-HOSP-NH - "hlth</t>
  </si>
  <si>
    <t>HOUSING - housing</t>
  </si>
  <si>
    <t>INDUSTRL-IMP - industrial imps.</t>
  </si>
  <si>
    <t>LOCAL-MF-HSG - local mf hsg</t>
  </si>
  <si>
    <t>LOCAL-SF-HSG - local sf hsg</t>
  </si>
  <si>
    <t>MISC-PURPOSE - misc. purposes</t>
  </si>
  <si>
    <t>MULT-ULT-IMP - mult. utility imps.</t>
  </si>
  <si>
    <t>NAT-GAS-UTLY - nat. gas utility imps.</t>
  </si>
  <si>
    <t>NEW-JOB-TRNG - new jobs training</t>
  </si>
  <si>
    <t>NURSING-HMS - nursing homes</t>
  </si>
  <si>
    <t>PARK-FAC-IMP - parking facility imps.</t>
  </si>
  <si>
    <t>PENSION-FNDG - pension funding</t>
  </si>
  <si>
    <t>POLLUTION-CN - pollution control</t>
  </si>
  <si>
    <t>PRT-APRT-MRN - "prt</t>
  </si>
  <si>
    <t>PRVT-PRI-SCH - private primary schools</t>
  </si>
  <si>
    <t>PUBLIC-IMPS - public imps.</t>
  </si>
  <si>
    <t>PWR-PLNT-NUC - power plants(nuclear)</t>
  </si>
  <si>
    <t>PWR-PLNTS-NN - power plants(non nuclear)</t>
  </si>
  <si>
    <t>REC-FAC-IMPS - recreational fac. imps.</t>
  </si>
  <si>
    <t>REFNDG-BONDS - refunding bonds</t>
  </si>
  <si>
    <t>REFNDG-NOTES - refunding notes</t>
  </si>
  <si>
    <t>RETIRMNT-FAC - retirement facilities</t>
  </si>
  <si>
    <t>RSRCE-RECVRY - resource recovery imps.</t>
  </si>
  <si>
    <t>SCHOOL-IMPS - school imps.</t>
  </si>
  <si>
    <t>SEWER-IMPS - sewer imps.</t>
  </si>
  <si>
    <t>STATE-MF-HSG - state mf hsg</t>
  </si>
  <si>
    <t>STATE-SF-HSG - state sf hsg</t>
  </si>
  <si>
    <t>STUDENT-LOAN - student loans</t>
  </si>
  <si>
    <t>TELECOM-IMPS - telecommunications imps.</t>
  </si>
  <si>
    <t>TRANSIT-IMPS - transit imps.</t>
  </si>
  <si>
    <t>UNEMP-WELFR - unemp./welfare fndg.</t>
  </si>
  <si>
    <t>UNIV-IMPS - univ. &amp; college imps.</t>
  </si>
  <si>
    <t>UNKNOWN - Unknown</t>
  </si>
  <si>
    <t>WATER-UTILTY - water utility imps.</t>
  </si>
  <si>
    <t>Applicable only for 'MUNI' Market Sector</t>
  </si>
  <si>
    <t>ABS - Asset Backed Market Sector</t>
  </si>
  <si>
    <t>CORP - Corporate Market Sector</t>
  </si>
  <si>
    <t>EQUITY - Equity Market Sector.</t>
  </si>
  <si>
    <t>FUTURE - FUTURE Market Sector.</t>
  </si>
  <si>
    <t>GOVT - Government Market Sector</t>
  </si>
  <si>
    <t>MONEY-MKT - Money Market Sector</t>
  </si>
  <si>
    <t>MUNI - Municipal Market Sector</t>
  </si>
  <si>
    <t>OPTION - Option Market Sector.</t>
  </si>
  <si>
    <t>PFD - Preferred Market Sector</t>
  </si>
  <si>
    <t>STRUCTURED-FIN-INDEX - Structured finance index (ABX, CMBX, PRIMEX )</t>
  </si>
  <si>
    <t>WARRANT - WARRANT Market Sector.</t>
  </si>
  <si>
    <t>IssueClassification.RiskSecTypeLevel1</t>
  </si>
  <si>
    <t>BJ3:BK13</t>
  </si>
  <si>
    <t>ASSET-BACKED-CORP - Asset backed security backed by cash flows of assets issued by a corporation.</t>
  </si>
  <si>
    <t>ASSET-BACKED-CORP</t>
  </si>
  <si>
    <t>MBS - Mortgage Backed Security</t>
  </si>
  <si>
    <t>BOND - Debt security issued by a corporation with maturity of 10 to 30 years.</t>
  </si>
  <si>
    <t>DEBENTURE - Debt issued by a large corporation with medium to long term maturity.</t>
  </si>
  <si>
    <t>DEBENTURE</t>
  </si>
  <si>
    <t>MEDIUM-TERM-NOTE - Debt security issued by a corporation with maturity of 2 to 10 years.</t>
  </si>
  <si>
    <t>OTHER-BOND - Other non classified debt.</t>
  </si>
  <si>
    <t>OTHER-BOND</t>
  </si>
  <si>
    <t>COMMON-STOCK - Common Stock</t>
  </si>
  <si>
    <t>LISTED-NOTE - Listed Note</t>
  </si>
  <si>
    <t>MUTUAL-FUND - Mutual Fund</t>
  </si>
  <si>
    <t>PARTNERSHIP - Partnership</t>
  </si>
  <si>
    <t>PREFERENCE - Preference shares</t>
  </si>
  <si>
    <t>PRIV-PLACEMENT - An issue in any currency issued on a private basis.</t>
  </si>
  <si>
    <t>SUB-FUND - A subsidiary fund that holds assets of a parent fund.</t>
  </si>
  <si>
    <t>TRUST - Trust</t>
  </si>
  <si>
    <t>UNIT - Units</t>
  </si>
  <si>
    <t>BOND-FUTURE - Future Contract on a bond</t>
  </si>
  <si>
    <t>COMMODITY-FUTURE - Future on a commodity.</t>
  </si>
  <si>
    <t>CURRENCY-FUTURE - Future on a currency exchange rate.</t>
  </si>
  <si>
    <t>INDEX-FUTURE - Future on a financial index.</t>
  </si>
  <si>
    <t>INTEREST-RATE-FUTURE - Future on an interest rate / Bond.</t>
  </si>
  <si>
    <t>OTHER-FUTURE - Future on Other</t>
  </si>
  <si>
    <t>STOCK-FUTURE - Future on a stock</t>
  </si>
  <si>
    <t>CA-GOVT-AGENCY - Debt issued by a Canadian government agency.</t>
  </si>
  <si>
    <t>CA-GOVT-AGENCY</t>
  </si>
  <si>
    <t>OTHER-GOVT-AGENCY - Debt issued by a non US or Canadian government agency</t>
  </si>
  <si>
    <t>OTHER-GOVT-AGENCY</t>
  </si>
  <si>
    <t>SOVEREIGN-DEBT - Debt issued by a sovereign government.</t>
  </si>
  <si>
    <t>SOVEREIGN-DEBT</t>
  </si>
  <si>
    <t>US-GOVERNMENT - Debt issued by US Government.</t>
  </si>
  <si>
    <t>US-GOVT-AGENCY - Debt issued by US Government Agency.</t>
  </si>
  <si>
    <t>US-GOVT-AGENCY</t>
  </si>
  <si>
    <t>BANK-NOTE - A negotiable promissory note</t>
  </si>
  <si>
    <t>BANKERS-ACCEPTANCE - A short-term debt instrument issued by a firm that is guaranteed by a commercial bank</t>
  </si>
  <si>
    <t>CERT-OF-DEPOSIT - A savings certificate entitling the bearer to receive interest.</t>
  </si>
  <si>
    <t>COMM-PAPER - An unsecured, short-term debt instrument issued by a corporation, typically for the financing of accounts receivable, inventories and meeting short-term liabilities.</t>
  </si>
  <si>
    <t>COMM-PAPER(CORP) - An unsecured, short-term debt instrument issued by a corporation, typically for the financing of accounts receivable, inventories and meeting short-term liabilities.</t>
  </si>
  <si>
    <t>COMM-PAPER(MUNI) - An unsecured, short-term debt instrument issued by a corporation, typically for the financing of accounts receivable, inventories and meeting short-term liabilities.</t>
  </si>
  <si>
    <t>COMM-PAPER(PFD) - An unsecured, short-term debt instrument issued by a corporation, typically for the financing of accounts receivable, inventories and meeting short-term liabilities.</t>
  </si>
  <si>
    <t>DISCOUNT-NOTE - A short-term debt obligation issued at a discount to par.</t>
  </si>
  <si>
    <t>MONEY-MARKET - A money market is a segment of the financial market in which financial instruments with high liquidity and very short maturities are traded.</t>
  </si>
  <si>
    <t>REPO - A repurchase agreement (repo) is a form of short-term borrowing for dealers in government securities.</t>
  </si>
  <si>
    <t>VRDO (CORP) - A variable rate debt obligation (VRDO) is a tax-exempt short-term investment instrument based on long-term municipal bonds.</t>
  </si>
  <si>
    <t>NON-SOVEREIGN - Municipal debt issued by a non sovereign municipality.</t>
  </si>
  <si>
    <t>NON-SOVEREIGN</t>
  </si>
  <si>
    <t>SOVEREIGN - Municipal debt issued by a sovereign municipality.</t>
  </si>
  <si>
    <t>SOVEREIGN</t>
  </si>
  <si>
    <t>COMMODITY-OPTION - Right to buy or sell a commodity for an agreed upon sum for a specific time. If the option is not exercised it expires, and the buyer forfiets the money.</t>
  </si>
  <si>
    <t>CURRENCY-OPTION - Option on currencies</t>
  </si>
  <si>
    <t>INDEX-OPTION - Option on an underlying index</t>
  </si>
  <si>
    <t>INTEREST-RATE-OPTION - Option on an interest rate.</t>
  </si>
  <si>
    <t>OPTION-FUTURE - Options on a Future</t>
  </si>
  <si>
    <t>OTHER-OPTION - Option on Other</t>
  </si>
  <si>
    <t>STOCK-OPTION - Derivative linked to a underlying Equity</t>
  </si>
  <si>
    <t>PRIVATE-PREFERRED - Preferred that is not listed on an exchange.</t>
  </si>
  <si>
    <t>PUBLIC-PREFERRED - Preferred that is listed on an exchange.</t>
  </si>
  <si>
    <t>TRUST-PREFERRED - Trust preferred security.</t>
  </si>
  <si>
    <t>TRUST-PREFERRED</t>
  </si>
  <si>
    <t>ABX - The Markit ABX.HE index is a synthetic tradeable index referencing a basket of subprime mortgage-backed securities.</t>
  </si>
  <si>
    <t>CMBX - The Markit CMBX index is a synthetic tradeable index referencing a basket of commercial mortgage-backed securities.</t>
  </si>
  <si>
    <t>PRIMEX - The Markit PrimeX is a synthetic CDS index referencing a basket of prime mortgage-backed securities</t>
  </si>
  <si>
    <t>TABX - The Markit TABX.HE indices are tranched versions of the Markit ABX.HE</t>
  </si>
  <si>
    <t>TABX</t>
  </si>
  <si>
    <t>BASKET-CERT - Certificate that has a basket of shares as underlying.</t>
  </si>
  <si>
    <t>BASKET-CERT</t>
  </si>
  <si>
    <t>BASKET-WRNT - Warrant that has a basket of shares as underlying.</t>
  </si>
  <si>
    <t>CMDTY-INDEX-CERT - COMODITY INDEX CERTIFICATE</t>
  </si>
  <si>
    <t>CMDTY-INDEX-CERT</t>
  </si>
  <si>
    <t>COMDTY-FUT-WRNT - Warrant that has a commodity future as the underlying.</t>
  </si>
  <si>
    <t>COMDTY-INDEX-WRNT - Warrant that has a commodity index as the underlying.</t>
  </si>
  <si>
    <t>CORP-BOND-WRNT - Warrant that has a corporate bond as the underlying.</t>
  </si>
  <si>
    <t>CRNCY-CERT - CURRENCY CERTIFICATE</t>
  </si>
  <si>
    <t>CRNCY-CERT</t>
  </si>
  <si>
    <t>CURRENCY-WARRANT - Warrant that has a currency rate as the underlying.</t>
  </si>
  <si>
    <t>EQUITY-CERT - EQUITY CERTIFICATE</t>
  </si>
  <si>
    <t>EQUITY-CERT</t>
  </si>
  <si>
    <t>EQUITY-WRNT - Warrant on a stock a firm issues that permits an owner to buy from the firm a certain number of shares of common stock at a specified price.</t>
  </si>
  <si>
    <t>FUND-CERT - Certificate with underlying as Fund.</t>
  </si>
  <si>
    <t>FUND-CERT</t>
  </si>
  <si>
    <t>HEDGE-FUND-WRNT - Warrant that has a hedge fund as the underlying</t>
  </si>
  <si>
    <t>HYBRID-CERT - Certificate with underlying as Hybrid Security e.g. Security with both Equity and Fixed Income Features.</t>
  </si>
  <si>
    <t>HYBRID-CERT</t>
  </si>
  <si>
    <t>INDEX-CERT - INDEX WARRANTS</t>
  </si>
  <si>
    <t>INDEX-CERT</t>
  </si>
  <si>
    <t>INDEX-FUT-WRNT - Warrant that has an Index future as the underlying</t>
  </si>
  <si>
    <t>INDEX-WRNT - Warrant that has an Index as the underlying</t>
  </si>
  <si>
    <t>INT-RATE-CERT - Certificate that has an interest rate as underlying.</t>
  </si>
  <si>
    <t>INT-RATE-CERT</t>
  </si>
  <si>
    <t>INT-RATE-FUT-WRNT - Warrant that has an interest rate future as underlying.</t>
  </si>
  <si>
    <t>INT-RATE-SWAP-WRNT - Warrant that has an interest rate swap as underlying.</t>
  </si>
  <si>
    <t>INT-RATE-WRNT - Warrant that has an interest rate as underlying.</t>
  </si>
  <si>
    <t>PFD-WRNT - Warrant that has a preferred stock as the underlying.</t>
  </si>
  <si>
    <t>IssueClassification.RiskSecTypeLevel2</t>
  </si>
  <si>
    <t>IssueClassification.RiskSecTypeLevel3</t>
  </si>
  <si>
    <t>ASSET-BACKED - Security backed by an asset.</t>
  </si>
  <si>
    <t>ASSET-BACKED</t>
  </si>
  <si>
    <t>RMBS - Residential Mortage Backed Securities</t>
  </si>
  <si>
    <t>RMBS</t>
  </si>
  <si>
    <t>ABS-CASHFLOW - Bonds or notes issued by a corporation(gov or pvt), backed by CASHFLOW</t>
  </si>
  <si>
    <t>ABS-HYBRID - Bonds or notes issued by a corporation(gov or pvt), backed by a variety of assets.</t>
  </si>
  <si>
    <t>ABS-MARKET-VALUE - Bonds or notes issued by a corporation(gov or pvt), backed by assets valued at market value.</t>
  </si>
  <si>
    <t>ABS-OTHER - Other Asset Backed security.</t>
  </si>
  <si>
    <t>ABS-SYN - Bonds or notes issued by a corporation(gov or pvt), backed by Synthetic Debt.</t>
  </si>
  <si>
    <t>CDO - Collateralized Debt Obligation</t>
  </si>
  <si>
    <t>BONUS - Bonus Certificate</t>
  </si>
  <si>
    <t>BONUS</t>
  </si>
  <si>
    <t>CAPBONUS - Cap Bonus Certificate</t>
  </si>
  <si>
    <t>CAPBONUS</t>
  </si>
  <si>
    <t>CAPPED - Capped Certificate</t>
  </si>
  <si>
    <t>CAPPED</t>
  </si>
  <si>
    <t>DISCPLUS - Discount Plus Certificate</t>
  </si>
  <si>
    <t>DISCPLUS</t>
  </si>
  <si>
    <t>KNOCK-OUT/LEVERAGE - Knock-out / Leveraged Certificate</t>
  </si>
  <si>
    <t>KNOCK-OUT/LEVERAGE</t>
  </si>
  <si>
    <t>OE STOP LOSS BEAR - Open Ended Stop Loss Bear Certificate</t>
  </si>
  <si>
    <t>OE STOP LOSS BEAR</t>
  </si>
  <si>
    <t>OE STOP LOSS BULL - Open Ended Stop Loss Bull Certificate</t>
  </si>
  <si>
    <t>OE STOP LOSS BULL</t>
  </si>
  <si>
    <t>OE TRACKER - Open Ended Tracker Certificate</t>
  </si>
  <si>
    <t>OE TRACKER</t>
  </si>
  <si>
    <t>OE TURBO BEAR - Open Ended Turbo Bear Certificate</t>
  </si>
  <si>
    <t>OE TURBO BEAR</t>
  </si>
  <si>
    <t>OE TURBO BULL - Open Ended Turbo Bull Certificate</t>
  </si>
  <si>
    <t>OE TURBO BULL</t>
  </si>
  <si>
    <t>OUTPERF - Outperformance Certificates</t>
  </si>
  <si>
    <t>OUTPERF</t>
  </si>
  <si>
    <t>REVBONUS - Reverse Bonus Certificate</t>
  </si>
  <si>
    <t>REVBONUS</t>
  </si>
  <si>
    <t>SPRINTER - Sprint Certificate</t>
  </si>
  <si>
    <t>SPRINTER</t>
  </si>
  <si>
    <t>STOP LOSS BEAR - Stop Loss Bear Certificate</t>
  </si>
  <si>
    <t>STOP LOSS BEAR</t>
  </si>
  <si>
    <t>STOP LOSS BULL - Stop Loss Bull Certificate</t>
  </si>
  <si>
    <t>STOP LOSS BULL</t>
  </si>
  <si>
    <t>TURBO BEAR - Turbo Bear Certificate</t>
  </si>
  <si>
    <t>TURBO BEAR</t>
  </si>
  <si>
    <t>TURBO BULL - Turbo Bull Certificate</t>
  </si>
  <si>
    <t>TURBO BULL</t>
  </si>
  <si>
    <t>BRADY - US Dollar denominated bonds issued by an emerging market, particularly those in Latin America.</t>
  </si>
  <si>
    <t>BRADY</t>
  </si>
  <si>
    <t>CATASTROPHE - High yielding security that is usually insurance linked and is meant to raise capital in case of a catastrophe such as a earthquake.</t>
  </si>
  <si>
    <t>CATASTROPHE</t>
  </si>
  <si>
    <t>CREDIT-LINKED - Security usually with a embedded CDS allowing issuer to transfer a specific credit risk to the buyer.</t>
  </si>
  <si>
    <t>CREDIT-LINKED</t>
  </si>
  <si>
    <t>DUAL-CURRENCY - Bond denominated in one currency and paying interest in another currency.</t>
  </si>
  <si>
    <t>DUAL-CURRENCY</t>
  </si>
  <si>
    <t>HYBRID - Broad group of securities that combine elements of equities and bonds.</t>
  </si>
  <si>
    <t>HYBRID</t>
  </si>
  <si>
    <t>INFLATION-LINKED - Security where principle is indexed to inflation.</t>
  </si>
  <si>
    <t>INFLATION-LINKED</t>
  </si>
  <si>
    <t>LN-PARTICIPATION-NT - Debt instrument that allows investors to buy portions of an outstanding loan or a bundle of loans.</t>
  </si>
  <si>
    <t>LN-PARTICIPATION-NT</t>
  </si>
  <si>
    <t>OTHER-DEBT-SEC - Other debt security.</t>
  </si>
  <si>
    <t>OTHER-DEBT-SEC</t>
  </si>
  <si>
    <t>PIK - Type of arrangement where there is no cash flow between the drawdown date and the maturity.</t>
  </si>
  <si>
    <t>TOGGLE - debt instrument that allows issuer to make interest payments in cash or with additional bonds.</t>
  </si>
  <si>
    <t>TOGGLE</t>
  </si>
  <si>
    <t>AGENCY-BOND - Debt issued by sovereign government or a corporation that has maturity of 10 to 30 years.</t>
  </si>
  <si>
    <t>AGENCY-BOND</t>
  </si>
  <si>
    <t>MED-TERM-NOTE - Debt issued by sovereign government or a corporation that has maturity of 2 to 10 years.</t>
  </si>
  <si>
    <t>MED-TERM-NOTE</t>
  </si>
  <si>
    <t>BCD - A certificate of deposit (CD) that is purchased through a brokerage firm, or from a sales representative other than a bank.</t>
  </si>
  <si>
    <t>BCD</t>
  </si>
  <si>
    <t>INSTITUTIONAL-CD - An institutional certificate od deposit (CD)</t>
  </si>
  <si>
    <t>INSTITUTIONAL-CD</t>
  </si>
  <si>
    <t>US-CD - An US certificate od deposit (CD)</t>
  </si>
  <si>
    <t>US-CD</t>
  </si>
  <si>
    <t>YANKEE-CD - A Yankee CD is a foreign certificate of deposit denominated in U.S. dollars</t>
  </si>
  <si>
    <t>YANKEE-CD</t>
  </si>
  <si>
    <t>CMBS - Commercial Mortage Backed Securities</t>
  </si>
  <si>
    <t>PASSTHROUGH - A pool of fixed-income securities backed by a package of assets.</t>
  </si>
  <si>
    <t>PASSTHROUGH</t>
  </si>
  <si>
    <t>DISC-CALL-CP - A discount call commercial paper</t>
  </si>
  <si>
    <t>DISC-CALL-CP</t>
  </si>
  <si>
    <t>FLOATING-RATE-CP - A commercial paper with a floating rate</t>
  </si>
  <si>
    <t>FLOATING-RATE-CP</t>
  </si>
  <si>
    <t>LIQUIDITY-NOTE-CP - A commercial paper with liquidity note</t>
  </si>
  <si>
    <t>LIQUIDITY-NOTE-CP</t>
  </si>
  <si>
    <t>US-CP - A US commercial paper</t>
  </si>
  <si>
    <t>US-CP</t>
  </si>
  <si>
    <t>TAX-EXEMPT - A security in which the income produced is free from federal, state and local taxes.</t>
  </si>
  <si>
    <t>TAX-EXEMPT</t>
  </si>
  <si>
    <t>TAX-EXEMPT-VRDO - A variable rate debt obligation (VRDO) is a tax-exempt short-term investment instrument based on long-term municipal bonds.</t>
  </si>
  <si>
    <t>TAX-EXEMPT-VRDO</t>
  </si>
  <si>
    <t>TAXABLE - A security with interest or dividends subject to taxation.</t>
  </si>
  <si>
    <t>TAXABLE</t>
  </si>
  <si>
    <t>ADC - ADC</t>
  </si>
  <si>
    <t>ADC</t>
  </si>
  <si>
    <t>ADR - ADR</t>
  </si>
  <si>
    <t>ADR</t>
  </si>
  <si>
    <t>B-CT - B-CT</t>
  </si>
  <si>
    <t>B-CT</t>
  </si>
  <si>
    <t>CEDEAR - CEDEAR</t>
  </si>
  <si>
    <t>CEDEAR</t>
  </si>
  <si>
    <t>CERTIFICATE - CERTIFICATE</t>
  </si>
  <si>
    <t>CERTIFICATE</t>
  </si>
  <si>
    <t>CHESS-DEP-INTERESTS - CHESS-DEP-INTERESTS</t>
  </si>
  <si>
    <t>CHESS-DEP-INTERESTS</t>
  </si>
  <si>
    <t>CLOSED-END-FUND - CLOSED-END-FUND</t>
  </si>
  <si>
    <t>CUMULATIVE-PREF - CUMULATIVE-PREF</t>
  </si>
  <si>
    <t>CUMULATIVE-PREF</t>
  </si>
  <si>
    <t>DEFERRED-SHARES - DEFERRED-SHARES</t>
  </si>
  <si>
    <t>DEFERRED-SHARES</t>
  </si>
  <si>
    <t>ETF - ETF</t>
  </si>
  <si>
    <t>FULLY-PAID - FULLY-PAID</t>
  </si>
  <si>
    <t>FULLY-PAID</t>
  </si>
  <si>
    <t>FUND-OF-FUNDS - FUND-OF-FUNDS</t>
  </si>
  <si>
    <t>FUND-OF-FUNDS</t>
  </si>
  <si>
    <t>G-CT - G-CT</t>
  </si>
  <si>
    <t>G-CT</t>
  </si>
  <si>
    <t>GDR - GDR</t>
  </si>
  <si>
    <t>GDR</t>
  </si>
  <si>
    <t>INDEX-LINKED-NOTE - INDEX-LINKED-NOTE</t>
  </si>
  <si>
    <t>INDEX-LINKED-NOTE</t>
  </si>
  <si>
    <t>IRREDEEMABLE-PREF - IRREDEEMABLE-PREF</t>
  </si>
  <si>
    <t>IRREDEEMABLE-PREF</t>
  </si>
  <si>
    <t>LIMITED-PARTNERSHIP - LIMITED-PARTNERSHIP</t>
  </si>
  <si>
    <t>LIMITED-PARTNERSHIP</t>
  </si>
  <si>
    <t>NVDR - NVDR</t>
  </si>
  <si>
    <t>NVDR</t>
  </si>
  <si>
    <t>OPEN-END-FUND - OPEN-END-FUND</t>
  </si>
  <si>
    <t>PART-PAID-SHARES - PART-PAID-SHARES</t>
  </si>
  <si>
    <t>PART-PAID-SHARES</t>
  </si>
  <si>
    <t>PERU-INV-SHARES - PERU-INV-SHARES</t>
  </si>
  <si>
    <t>PERU-INV-SHARES</t>
  </si>
  <si>
    <t>REIT - REIT</t>
  </si>
  <si>
    <t>REIT</t>
  </si>
  <si>
    <t>SAVING-PREF - SAVING-PREF</t>
  </si>
  <si>
    <t>SAVING-PREF</t>
  </si>
  <si>
    <t>STAPLED-UNIT - STAPLED-UNIT</t>
  </si>
  <si>
    <t>STAPLED-UNIT</t>
  </si>
  <si>
    <t>STOCK-DIV-SHARES - STOCK-DIV-SHARES</t>
  </si>
  <si>
    <t>STOCK-DIV-SHARES</t>
  </si>
  <si>
    <t>TRACKING-STOCK - TRACKING-STOCK</t>
  </si>
  <si>
    <t>TRACKING-STOCK</t>
  </si>
  <si>
    <t>BDR - BDR</t>
  </si>
  <si>
    <t>BDR</t>
  </si>
  <si>
    <t>BRAZILIAN-PREF - BRAZILIAN-PREF</t>
  </si>
  <si>
    <t>BRAZILIAN-PREF</t>
  </si>
  <si>
    <t>CDR - CDR</t>
  </si>
  <si>
    <t>CDR</t>
  </si>
  <si>
    <t>EDR - EDR</t>
  </si>
  <si>
    <t>EDR</t>
  </si>
  <si>
    <t>IDR - IDR</t>
  </si>
  <si>
    <t>N-CT - N-CT</t>
  </si>
  <si>
    <t>N-CT</t>
  </si>
  <si>
    <t>NRS - NRS</t>
  </si>
  <si>
    <t>NRS</t>
  </si>
  <si>
    <t>RDC - RDC</t>
  </si>
  <si>
    <t>RDC</t>
  </si>
  <si>
    <t>S-CT - S-CT</t>
  </si>
  <si>
    <t>S-CT</t>
  </si>
  <si>
    <t>CONV-BOND - CONV-BOND</t>
  </si>
  <si>
    <t>CONV-BOND</t>
  </si>
  <si>
    <t>EQUITY-LINKED-NOTE - EQUITY-LINKED-NOTE</t>
  </si>
  <si>
    <t>EQUITY-LINKED-NOTE</t>
  </si>
  <si>
    <t>NOTE - NOTE</t>
  </si>
  <si>
    <t>NOTE</t>
  </si>
  <si>
    <t>CMO - Collateralized Mortgage Obligation</t>
  </si>
  <si>
    <t>WHOLE-LOAN - Larger size loans then the maximum allowed by within GNMA, FNMA and, FHLMC's standards.</t>
  </si>
  <si>
    <t>WHOLE-LOAN</t>
  </si>
  <si>
    <t>MONEY-MARKET-MISC - A money market is a segment of the financial market in which financial instruments with high liquidity and very short maturities are traded.</t>
  </si>
  <si>
    <t>MONEY-MARKET-MISC</t>
  </si>
  <si>
    <t>ETC - ETC</t>
  </si>
  <si>
    <t>FCP - FCP</t>
  </si>
  <si>
    <t>HEDGE-FUND - HEDGE-FUND</t>
  </si>
  <si>
    <t>HEDGE-FUND</t>
  </si>
  <si>
    <t>INVESTMENT-TRUST - INVESTMENT-TRUST</t>
  </si>
  <si>
    <t>OEIC - OEIC</t>
  </si>
  <si>
    <t>PENSION-FUND - PENSION-FUND</t>
  </si>
  <si>
    <t>SICAV - SICAV</t>
  </si>
  <si>
    <t>UNIT-INV-TRUST - UNIT-INV-TRUST</t>
  </si>
  <si>
    <t>UNIT-INV-TRUST</t>
  </si>
  <si>
    <t>UNIT-TRUST - UNIT-TRUST</t>
  </si>
  <si>
    <t>VARIABLE-ANNUITY - VARIABLE-ANNUITY</t>
  </si>
  <si>
    <t>VARIABLE-ANNUITY</t>
  </si>
  <si>
    <t>MUNI BOND - Debt issued by a municipality with maturity of 10 to 30 years.</t>
  </si>
  <si>
    <t>MUNI NOTE - Debt issued by a municipality with maturity of 2 to 10 years.</t>
  </si>
  <si>
    <t>TENDER-OPTION-BONDS - Municipal bond that has been stripped into floater and residual tranches.</t>
  </si>
  <si>
    <t>TENDER-OPTION-BONDS</t>
  </si>
  <si>
    <t>CONV-PREF - CONV-PREF</t>
  </si>
  <si>
    <t>CONV-PREF</t>
  </si>
  <si>
    <t>NON-CUM-PREF - NON-CUM-PREF</t>
  </si>
  <si>
    <t>NON-CUM-PREF</t>
  </si>
  <si>
    <t>PARTICIPATING-PREF - PARTICIPATING-PREF</t>
  </si>
  <si>
    <t>PARTICIPATING-PREF</t>
  </si>
  <si>
    <t>REDEEMABLE-PREF - REDEEMABLE-PREF</t>
  </si>
  <si>
    <t>REDEEMABLE-PREF</t>
  </si>
  <si>
    <t>COLLATERAL-TRUST - Security backed by a financial asset that is held by a trustee.</t>
  </si>
  <si>
    <t>COLLATERAL-TRUST</t>
  </si>
  <si>
    <t>COVERED - Bonds backed by high-quality mortgages or public sector loans. Similar to MBS and ABS with a distinction that loans backing the covered bonds are kept on the balance sheet of the issuer.</t>
  </si>
  <si>
    <t>COVERED</t>
  </si>
  <si>
    <t>EQUIPMENT-TRUST - Bonds issued usually by transportation companies to buy an equipment, title of which is held by a trust until the bond is paid.</t>
  </si>
  <si>
    <t>EQUIPMENT-TRUST</t>
  </si>
  <si>
    <t>JUMBO-PFANDBRIEFE - High face value Pfandbriefe.</t>
  </si>
  <si>
    <t>JUMBO-PFANDBRIEFE</t>
  </si>
  <si>
    <t>MAPLE - Bond denominated in Canadian Dollars and issued in Canadian market by foreign firms.</t>
  </si>
  <si>
    <t>MAPLE</t>
  </si>
  <si>
    <t>PFANDBRIEFE - Bond issued by German mortgage banks that is collateralized by long-term assets. Similar to MBS.</t>
  </si>
  <si>
    <t>PFANDBRIEFE</t>
  </si>
  <si>
    <t>SUKUK/ISLAMIC - Islamic equivalent of a bond that provides proportionate ownership in the Asset backing the security.</t>
  </si>
  <si>
    <t>SUKUK/ISLAMIC</t>
  </si>
  <si>
    <t>URIDASHI - Foreign currency bonds sold directly to Japanese retail investors.</t>
  </si>
  <si>
    <t>URIDASHI</t>
  </si>
  <si>
    <t>CUMULATIVE - Preferred security whose dividends accrue if not paid for a specific pay period.</t>
  </si>
  <si>
    <t>CUMULATIVE</t>
  </si>
  <si>
    <t>NON-CUMULATIVE - Preferred security whose dividends do not accrue if not paid for a specific pay period.</t>
  </si>
  <si>
    <t>NON-CUMULATIVE</t>
  </si>
  <si>
    <t>TRI-PARTY - A tri-party agreement is a business agreement between three separate parties.</t>
  </si>
  <si>
    <t>BILL - Debt issued by sovereign government that has maturity of less then 1 year.</t>
  </si>
  <si>
    <t>BILL</t>
  </si>
  <si>
    <t>GOVERNMENT-BOND - GOVERNMENT-BOND</t>
  </si>
  <si>
    <t>GOVERNMENT-BOND</t>
  </si>
  <si>
    <t>ROYALTY-TRUST - ROYALTY-TRUST</t>
  </si>
  <si>
    <t>ROYALTY-TRUST</t>
  </si>
  <si>
    <t>TIPS-BOND - Treasury medium term security with maturity between 10-20 years. It has fixed interest rate but principal is adjusted semi annually based on CPI index.</t>
  </si>
  <si>
    <t>TIPS-BOND</t>
  </si>
  <si>
    <t>TIPS-NOTE - Treasury medium term security with maturity between 5-10 years. It has fixed interest rate but principal is adjusted semi annually based on CPI index.</t>
  </si>
  <si>
    <t>TIPS-NOTE</t>
  </si>
  <si>
    <t>TREASURY-BILL - Government securities with maturities ranging from a few days to a year.</t>
  </si>
  <si>
    <t>TREASURY-BILL</t>
  </si>
  <si>
    <t>TREASURY-BOND - Government securities with maturity of 30 years and paying interest every six month.</t>
  </si>
  <si>
    <t>TREASURY-BOND</t>
  </si>
  <si>
    <t>TREASURY-NOTE - Government securities with maturities of 2,3,5,7 and 10 years and paying interest every six months.</t>
  </si>
  <si>
    <t>TREASURY-NOTE</t>
  </si>
  <si>
    <t>INT-RATE-CERT    </t>
  </si>
  <si>
    <t>NON-SOVEREIGN </t>
  </si>
  <si>
    <t>IssueClassification.RiskSecTypeLevel4</t>
  </si>
  <si>
    <t>AGENCY-BACKED</t>
  </si>
  <si>
    <t>0</t>
  </si>
  <si>
    <t>FixedIncome.IsPerpetual</t>
  </si>
  <si>
    <t>FixedIncome.IsFixed</t>
  </si>
  <si>
    <t>FixedIncome.CollateralType</t>
  </si>
  <si>
    <t>Muni.InstitutionSubtype</t>
  </si>
  <si>
    <t>Muni.ProceedsUse</t>
  </si>
  <si>
    <t>For Fixed Income, select SECURITY level</t>
  </si>
  <si>
    <t>Redemption.IsConvertible</t>
  </si>
  <si>
    <t>TrancheInformation.IsRule144A</t>
  </si>
  <si>
    <t>TrancheInformation.IsRegS</t>
  </si>
  <si>
    <t>TrancheInformation.IsPrivatePlacement</t>
  </si>
  <si>
    <t>TrancheInformation.IsAgencyBacked</t>
  </si>
  <si>
    <t>IsAgencyBacked</t>
  </si>
  <si>
    <t>IssueClassification.RiskSecTypeLevel5</t>
  </si>
  <si>
    <t>IssueClassification.RiskSecTypeLevel6</t>
  </si>
  <si>
    <t>IssueClassification.RiskSecTypeLevel7</t>
  </si>
  <si>
    <t>BM3:BN84</t>
  </si>
  <si>
    <t>BP3:BQ211</t>
  </si>
  <si>
    <t>ABS-CDS</t>
  </si>
  <si>
    <t>ABS-TRUST-PFD</t>
  </si>
  <si>
    <t>ASSET-BACKED-SEC</t>
  </si>
  <si>
    <t>GOVT-GOVT-SUPPORTED</t>
  </si>
  <si>
    <t>GOVT-PUBLICLY-SUPPORTED</t>
  </si>
  <si>
    <t>ABCP</t>
  </si>
  <si>
    <t>EQUIPMENT</t>
  </si>
  <si>
    <t>EXPORT-IMPORT-BANK-LOAN</t>
  </si>
  <si>
    <t>FRANCHISE</t>
  </si>
  <si>
    <t>MANUFACTURED-HOUSING</t>
  </si>
  <si>
    <t>MARINE-LOANS</t>
  </si>
  <si>
    <t>OTHER-CONSUMER-LOANS</t>
  </si>
  <si>
    <t>OTHER-SECURITIES</t>
  </si>
  <si>
    <t>RECREATIONAL-VEHICLES</t>
  </si>
  <si>
    <t>UTILITY</t>
  </si>
  <si>
    <t>NON-OECD</t>
  </si>
  <si>
    <t>OECD</t>
  </si>
  <si>
    <t>BANK</t>
  </si>
  <si>
    <t>DEPOSITORY-INSTITUTION</t>
  </si>
  <si>
    <t>MULTILATERAL-BANK</t>
  </si>
  <si>
    <t>SECURITY-FIRM</t>
  </si>
  <si>
    <t>CDO-SQUARED</t>
  </si>
  <si>
    <t>CORPORATE</t>
  </si>
  <si>
    <t>NON-AGENCY-BACKED</t>
  </si>
  <si>
    <t>CONVERTIBLE</t>
  </si>
  <si>
    <t>FLOATER</t>
  </si>
  <si>
    <t>INVERSE FLOATER (RESIDUAL)</t>
  </si>
  <si>
    <t>NON-FLOATER</t>
  </si>
  <si>
    <t>WHLN-NON-TRANCHED</t>
  </si>
  <si>
    <t>WHLN-SEC</t>
  </si>
  <si>
    <t>ABS-CDS - Bonds or notes issued by a corporation(gov or pvt), backed by credit default swaps.</t>
  </si>
  <si>
    <t>ABS-TRUST-PFD - Securities backed by payments from trust-preferred securities</t>
  </si>
  <si>
    <t>ASSET-BACKED-SEC - Security backed by an asset.</t>
  </si>
  <si>
    <t>GOVT-GOVT-SUPPORTED - Asset backed security backed by an agency that is government supported.</t>
  </si>
  <si>
    <t>GOVT-PUBLICLY-SUPPORTED - Asset backed security backed by an agency that is publicly supported.</t>
  </si>
  <si>
    <t>ABCP - Asset Backed commercial paper</t>
  </si>
  <si>
    <t>ABS-AUTO - Bonds or notes issued by a corporation(gov or pvt), backed by automobile loans.</t>
  </si>
  <si>
    <t>ABS-CARD - Bonds or notes issued by a corporation(gov or pvt), backed by automobile loans.</t>
  </si>
  <si>
    <t>ABS-HOME - Bonds or notes issued by a corporation(gov or pvt), backed by automobile loans.</t>
  </si>
  <si>
    <t>EQUIPMENT - Asset Backed with cashflows backed by equipment.</t>
  </si>
  <si>
    <t>EXPORT-IMPORT-BANK-LOAN - Asset Backed with cashflows backed by export/import loans.</t>
  </si>
  <si>
    <t>FRANCHISE - Asset Backed security with cashlows backed by a franchise</t>
  </si>
  <si>
    <t>MANUFACTURED-HOUSING - Asset backed security backed by cashflows from manufactured housing.</t>
  </si>
  <si>
    <t>MARINE-LOANS - Asset backed security backed by cashflows from loans on boat vehicles.</t>
  </si>
  <si>
    <t>OTHER-CONSUMER-LOANS - Asset backed security backed by cashflows from other consumer loans.</t>
  </si>
  <si>
    <t>OTHER-SECURITIES - Other securities</t>
  </si>
  <si>
    <t>RECREATIONAL-VEHICLES - Asset backed security backed by cashflows from recreational vehicle loans.</t>
  </si>
  <si>
    <t>STUDENT-LOAN - Asset backed security backed by cashflows from student loans.</t>
  </si>
  <si>
    <t>UTILITY - Asset Backed security with cashlows backed by a utility</t>
  </si>
  <si>
    <t>NON-OECD - Sovereign debt of countries that are not included in Organization for Economic Cooperation and Development.</t>
  </si>
  <si>
    <t>OECD - Sovereign debt of countries that are included in Organization for Economic Cooperation and Development.</t>
  </si>
  <si>
    <t>BANK - CDO securities backed by Bonds or notes issued by a corporation(gov or pvt), backed by bank loan.</t>
  </si>
  <si>
    <t>DEPOSITORY-INSTITUTION - Debt issued by a depository institution.</t>
  </si>
  <si>
    <t>MULTILATERAL-BANK - Debt issued by a financial multinational bank institution e.g. World Bank.</t>
  </si>
  <si>
    <t>SECURITY-FIRM - Debt issued by a security firm.</t>
  </si>
  <si>
    <t>CDO-SQUARED - CDO backed by cash flows from another CDO.</t>
  </si>
  <si>
    <t>CLO - Collateralized Loan Obligation</t>
  </si>
  <si>
    <t>CORPORATE - Asset Backed with cashflows backed by corporate debt.</t>
  </si>
  <si>
    <t>NON-AGENCY-BACKED - Securities backed by payments from trust-preferred securities</t>
  </si>
  <si>
    <t>AGENCY-BACKED - Securities backed by payments from trust-preferred securities</t>
  </si>
  <si>
    <t>CONVERTIBLE - Bond that the holder can convert into issuing company's stocks or cash of equal value, at a predetermined price.</t>
  </si>
  <si>
    <t>GENERAL OBLIGATION - Municipal bond backed by general cashflow of a municipality.</t>
  </si>
  <si>
    <t>REVENUE - Municipal bond backed by cashflow of a municipality coming from a specific revenue stream.</t>
  </si>
  <si>
    <t>FLOATER - Floater tranche of a municipal tender option bond.</t>
  </si>
  <si>
    <t>INVERSE FLOATER (RESIDUAL) - Inverse floater tranche of a municipal tender option bond.</t>
  </si>
  <si>
    <t>NON-FLOATER - Non floater tranche of a municipal tender option bond.</t>
  </si>
  <si>
    <t>WHLN-NON-TRANCHED - Whole Loan CMO, non-tranche</t>
  </si>
  <si>
    <t>WHLN-SEC - Whole Loan CMO</t>
  </si>
  <si>
    <t>CA3:CB110</t>
  </si>
  <si>
    <t>AUTO-RENTAL</t>
  </si>
  <si>
    <t>FLOOR-PLAN</t>
  </si>
  <si>
    <t>HYBRID-OTHER</t>
  </si>
  <si>
    <t>LEASE</t>
  </si>
  <si>
    <t>COMMERCIAL-CARD</t>
  </si>
  <si>
    <t>INSTALLMENT-RETAIL</t>
  </si>
  <si>
    <t>NON-REVOLVER</t>
  </si>
  <si>
    <t>REVOLVING-RETAIL</t>
  </si>
  <si>
    <t>HELOC</t>
  </si>
  <si>
    <t>HOME-EQUITY-LOAN</t>
  </si>
  <si>
    <t>AUTO-LOANS</t>
  </si>
  <si>
    <t>COMMERCIAL-INDUSTRIAL-LOANS</t>
  </si>
  <si>
    <t>COMMERCIAL-MORTGAGES</t>
  </si>
  <si>
    <t>CREDIT-CARDS</t>
  </si>
  <si>
    <t>LEASE-LOANS</t>
  </si>
  <si>
    <t>OTHER-DEBT</t>
  </si>
  <si>
    <t>RESIDENTIAL-MORTGAGES</t>
  </si>
  <si>
    <t>CDO-AUTO-LOANS</t>
  </si>
  <si>
    <t>CDO-BOND</t>
  </si>
  <si>
    <t>CDO-COMMERCIAL-INDUSTRIAL-LOAN</t>
  </si>
  <si>
    <t>CDO-COMMERCIAL-MORTGAGES</t>
  </si>
  <si>
    <t>CDO-CREDIT-CARDS</t>
  </si>
  <si>
    <t>CDO-HELOCS</t>
  </si>
  <si>
    <t>CDO-LEASE-LOANS</t>
  </si>
  <si>
    <t>CDO-LOAN</t>
  </si>
  <si>
    <t>CDO-OTHER</t>
  </si>
  <si>
    <t>CDO-RESIDENTIAL-MORTGAGES</t>
  </si>
  <si>
    <t>COMMERCIAL-WHOLESALE</t>
  </si>
  <si>
    <t>RETAIL</t>
  </si>
  <si>
    <t>SUBORDINATED</t>
  </si>
  <si>
    <t>CDO-BACKED-BOND</t>
  </si>
  <si>
    <t>LOAN (CLO)</t>
  </si>
  <si>
    <t>AIRCRAFT-LEASE</t>
  </si>
  <si>
    <t>CONTAINER</t>
  </si>
  <si>
    <t>GOVERNMENT-GUARANTEED</t>
  </si>
  <si>
    <t>MUNI-STU</t>
  </si>
  <si>
    <t>PRIVATE</t>
  </si>
  <si>
    <t>WHLN-FIXED</t>
  </si>
  <si>
    <t>AUTO-RENTAL - Asset Backed security with cashlows backed by an auto-rental</t>
  </si>
  <si>
    <t>FLOOR-PLAN - Asset backed security backed by cash flows from floor plan loans.</t>
  </si>
  <si>
    <t>HYBRID-OTHER - Asset backed security backed by cash flows from various assets.</t>
  </si>
  <si>
    <t>LEASE - Asset backed security backed by cash flows from leases.</t>
  </si>
  <si>
    <t>LOAN - Loan security.</t>
  </si>
  <si>
    <t>COMMERCIAL-CARD - Asset backed security backed by cash flows from commercial credit cards.</t>
  </si>
  <si>
    <t>INSTALLMENT-RETAIL - Asset backed security backed by cash flows from installment retail credit card recievables.</t>
  </si>
  <si>
    <t>NON-REVOLVER - Asset backed security backed by cash flows from non revolver credit card recievables.</t>
  </si>
  <si>
    <t>REVOLVING-RETAIL - Asset backed security backed by cash flows from revolving retail card recievables.</t>
  </si>
  <si>
    <t>HELOC - CMO backed by cash flows from Home Equity Line of Credit</t>
  </si>
  <si>
    <t>HOME-EQUITY-LOAN - CMO backed by cash flows fromHome Equity Loan</t>
  </si>
  <si>
    <t>CMO-FLOATER - CMO floater Bond whose coupon resets periodically based upon a pre-determined index</t>
  </si>
  <si>
    <t>CMO-INT-ONLY - Interest only CMO Bond that receives some or all of the interest portion of the underlying collateral and little or no principal.</t>
  </si>
  <si>
    <t>CMO-INV-FLOATER - CMO Inverse floater Bond whose coupon resets periodically (similar to floaters) based on a predetermined index, with an optional floor and/or cap</t>
  </si>
  <si>
    <t>CMO-OTHER - CMO whose attributes are other than IO, PO, INV, FLT, or Z</t>
  </si>
  <si>
    <t>CMO-PRIN-ONLY - Principal only CMO Bond that does not receive any interestPrvt</t>
  </si>
  <si>
    <t>CMO-Z-ACCRUAL - Principal only CMO Bond that does not receive any interestPrvt</t>
  </si>
  <si>
    <t>POOL - Mortgage backed security backed by cash flows from pools of mortgages.</t>
  </si>
  <si>
    <t>SBA-POOL - Small Business Administration Pools</t>
  </si>
  <si>
    <t>TBA-POOL - To Be Announced pools.</t>
  </si>
  <si>
    <t>AUTO-LOANS - Bonds or notes issued by a corporation(gov or pvt), backed by automobile loans.</t>
  </si>
  <si>
    <t>COMMERCIAL-INDUSTRIAL-LOANS - Asset backed security backed by cash flows from commercial industrial loans.</t>
  </si>
  <si>
    <t>COMMERCIAL-MORTGAGES - Asset backed security backed by cash flows from commercial mortgages.</t>
  </si>
  <si>
    <t>CREDIT-CARDS - Asset backed security backed by cash flows from credit card recievables.</t>
  </si>
  <si>
    <t>LEASE-LOANS - Asset backed security backed by cash flows from lease loans.</t>
  </si>
  <si>
    <t>OTHER-DEBT - Other debt</t>
  </si>
  <si>
    <t>RESIDENTIAL-MORTGAGES - Asset backed security backed by cash flows from residential mortgages.</t>
  </si>
  <si>
    <t>CDO-AUTO-LOANS - CDO securities backed by Bonds or notes issued by a corporation(gov or pvt), backed by automobile loans.</t>
  </si>
  <si>
    <t>CDO-BOND - CDO securities backed by Bonds or notes issued by a corporation(gov or pvt), backed by other bonds.</t>
  </si>
  <si>
    <t>CDO-COMMERCIAL-INDUSTRIAL-LOAN - CDO securities backed by Bonds or notes issued by a corporation(gov or pvt), backed by commercial industrial loans.</t>
  </si>
  <si>
    <t>CDO-COMMERCIAL-MORTGAGES - CDO securities backed by Bonds or notes issued by a corporation(gov or pvt), backed by commercial mortgages.</t>
  </si>
  <si>
    <t>CDO-CREDIT-CARDS - CDO securities backed by Bonds or notes issued by a corporation(gov or pvt), backed by credit cards.</t>
  </si>
  <si>
    <t>CDO-HELOCS - CDO securities backed by Bonds or notes issued by a corporation(gov or pvt), backed by home equity line of credit.</t>
  </si>
  <si>
    <t>CDO-LEASE-LOANS - CDO securities backed by Bonds or notes issued by a corporation(gov or pvt), backed by lease loans.</t>
  </si>
  <si>
    <t>CDO-LOAN - CDO securities backed by Bonds or notes issued by a corporation(gov or pvt), backed by loans.</t>
  </si>
  <si>
    <t>CDO-OTHER - CDO securities backed by Bonds or notes issued by a corporation(gov or pvt), backed by other assets.</t>
  </si>
  <si>
    <t>CDO-RESIDENTIAL-MORTGAGES - CDO securities backed by Bonds or notes issued by a corporation(gov or pvt), backed by residential mortgages.</t>
  </si>
  <si>
    <t>COMMERCIAL-WHOLESALE - Asset backed security backed by cash flows from commercial wholesale loans.</t>
  </si>
  <si>
    <t>RETAIL - Collateralized loan obligation backed by retail loan.s</t>
  </si>
  <si>
    <t>SUBORDINATED - Debt that is non senior.</t>
  </si>
  <si>
    <t>CDO-BACKED-BOND - CDO securities backed by Bonds or notes issued by a corporation(gov or pvt), backed by corporate bond.</t>
  </si>
  <si>
    <t>LOAN (CLO) - Collateralized loan obligation.</t>
  </si>
  <si>
    <t>AIRCRAFT-LEASE - Asset Backed security with cashlows backed by an aircraft lease</t>
  </si>
  <si>
    <t>CONTAINER - Asset Backed security with with cashlows backed by a container</t>
  </si>
  <si>
    <t>GOVERNMENT-GUARANTEED - Debt that is guaranteed by full faith and credit of the government.</t>
  </si>
  <si>
    <t>MUNI-STU - Municipal student loans</t>
  </si>
  <si>
    <t>PRIVATE - Asset backed security backed by cash flows from student loans which are not government guaranteed.</t>
  </si>
  <si>
    <t>WHLN-FIXED - Whole Loan CMO with a fixed rate coupon.</t>
  </si>
  <si>
    <t>WHLN-FLOATER - Whole Loan CMO floater Bond whose coupon resets periodically based upon a pre-determined index</t>
  </si>
  <si>
    <t>WHLN-INV-FLOATER - Whole Loan CMO Inverse floater Bond whose coupon resets periodically (similar to floaters) based on a predetermined index, with an optional floor and/or cap</t>
  </si>
  <si>
    <t>WHLN-OTHER - Whole Loan CMO whose attributes are other than IO, PO, INV, FLT, or Z</t>
  </si>
  <si>
    <t>WHLN-INT-ONLY - Whole Loan CMO floater Bond whose coupon resets periodically based upon a pre-determined index</t>
  </si>
  <si>
    <t>WHLN-PRIN-ONLY - Principal only Whole Loan CMO Bond that does not receive any interestPrvt</t>
  </si>
  <si>
    <t>WHLN-Z-ACCRUAL - Whole Loan CMO Accrual bond Bond that accretes interest which is added to the outstanding principal balance</t>
  </si>
  <si>
    <t>CD3:CE73</t>
  </si>
  <si>
    <t>COMMERCIAL-MORT</t>
  </si>
  <si>
    <t>RESIDENTIAL-MORT</t>
  </si>
  <si>
    <t>COMMERCIAL</t>
  </si>
  <si>
    <t>RESIDENTIAL</t>
  </si>
  <si>
    <t>COMMERCIAL-MORT - Collateralized Mortgage Obligation backed by commercial mortgages.</t>
  </si>
  <si>
    <t>RESIDENTIAL-MORT - Collateralized Mortgage Obligation backed by residential mortgages.</t>
  </si>
  <si>
    <t>COMMERCIAL - Asset backed security backed by cash flows from commercial whole loans</t>
  </si>
  <si>
    <t>RESIDENTIAL - Collateralized Mortgage Obligation backed by residential mortgages.</t>
  </si>
  <si>
    <t>GOVT-SUPPORTED</t>
  </si>
  <si>
    <t>MORT-INT-ONLY</t>
  </si>
  <si>
    <t>MORT-PRIN-ONLY</t>
  </si>
  <si>
    <t>PUBLICLY-SUPPORTED</t>
  </si>
  <si>
    <t>RE-REMIC</t>
  </si>
  <si>
    <t>REMIC</t>
  </si>
  <si>
    <t>REMIC-RESIDUAL</t>
  </si>
  <si>
    <t>GOVT-SUPPORTED - GOVT-SUPPORTED</t>
  </si>
  <si>
    <t>MORT-INT-ONLY - Mortgage Backed Interest Only</t>
  </si>
  <si>
    <t>MORT-PRIN-ONLY - Mortgage Backed Principle Only</t>
  </si>
  <si>
    <t>PUBLICLY-SUPPORTED - PUBLICLY-SUPPORTED</t>
  </si>
  <si>
    <t>RE-REMIC - RE-REMIC</t>
  </si>
  <si>
    <t>REMIC - REMIC</t>
  </si>
  <si>
    <t>REMIC-RESIDUAL - REMIC-RESIDUAL</t>
  </si>
  <si>
    <t>CG3:CH33</t>
  </si>
  <si>
    <t>BJ20:BK33</t>
  </si>
  <si>
    <t>Product.IssuerSMCI</t>
  </si>
  <si>
    <t>AQ3:AR280</t>
  </si>
  <si>
    <t>ProceedsUse</t>
  </si>
  <si>
    <t>InstitutionSubType</t>
  </si>
  <si>
    <t>DEPOSITORY-RECEIPT - A depositary receipt (DR) is a type of negotiable (transferable) financial security that is traded on a local stock exchange but represents a security[...]</t>
  </si>
  <si>
    <t>s7</t>
  </si>
  <si>
    <t>old</t>
  </si>
  <si>
    <t>Currently used</t>
  </si>
  <si>
    <t>--- - NO CURRENCY CODE AVAILABLE</t>
  </si>
  <si>
    <t>ABC - Eurozone Test Currency</t>
  </si>
  <si>
    <t>ADP - ANDORRAN PESETA</t>
  </si>
  <si>
    <t>AED - UNITED ARAB EMIRATES DIRHAM</t>
  </si>
  <si>
    <t>AEd - UNITED ARAB EMIRATES FILS</t>
  </si>
  <si>
    <t>AEd</t>
  </si>
  <si>
    <t>AEf - UNITED ARAB EMIRATES DIRHAM</t>
  </si>
  <si>
    <t>AEf</t>
  </si>
  <si>
    <t>AFA - AFGHANISTAN AFGHANI</t>
  </si>
  <si>
    <t>AFA</t>
  </si>
  <si>
    <t>AFN - AFGHANISTAN AFGHANI</t>
  </si>
  <si>
    <t>AFn - AFGHANISTAN AFGHANI</t>
  </si>
  <si>
    <t>AFn</t>
  </si>
  <si>
    <t>AFS - ANDORRA FRANC (*)</t>
  </si>
  <si>
    <t>AJS - AZERBAIJAN MANAT COMM (*)</t>
  </si>
  <si>
    <t>AJS</t>
  </si>
  <si>
    <t>AJs - AZERBAIJAN MANAT COMM (*)</t>
  </si>
  <si>
    <t>AJs</t>
  </si>
  <si>
    <t>ALL - ALBANIAN LEK</t>
  </si>
  <si>
    <t>ALl - ALBANIAN LEK</t>
  </si>
  <si>
    <t>ALl</t>
  </si>
  <si>
    <t>AMD - ARMENIAN DRAM</t>
  </si>
  <si>
    <t>AMd - ARMENIAN DRAM</t>
  </si>
  <si>
    <t>AMd</t>
  </si>
  <si>
    <t>ANG - NETHERLANDS ANTILLIAN GUILDER</t>
  </si>
  <si>
    <t>ANg - NETHERLANDS ANTILLIAN GUILDER</t>
  </si>
  <si>
    <t>ANg</t>
  </si>
  <si>
    <t>AOA - ANGOLAN KWANZA</t>
  </si>
  <si>
    <t>AOa - ANGOLAN KWANZA</t>
  </si>
  <si>
    <t>AOa</t>
  </si>
  <si>
    <t>AON - NEW ANGOLA KWANZA</t>
  </si>
  <si>
    <t>AOR - AOR Desc</t>
  </si>
  <si>
    <t>ARP - ARGENTINE PESO (*)</t>
  </si>
  <si>
    <t>ARP</t>
  </si>
  <si>
    <t>ARS - ARGENTINE PESO</t>
  </si>
  <si>
    <t>ARs - ARGENTINE PESO</t>
  </si>
  <si>
    <t>ARs</t>
  </si>
  <si>
    <t>ATS - AUSTRIAN SCHILLING</t>
  </si>
  <si>
    <t>AUc - AUSTRALIAN CENTS</t>
  </si>
  <si>
    <t>AUc</t>
  </si>
  <si>
    <t>AUD - AUSTRALIAN DOLLAR</t>
  </si>
  <si>
    <t>AWG - ARUBAN FLORIN</t>
  </si>
  <si>
    <t>AWg - ARUBAN FLORIN</t>
  </si>
  <si>
    <t>AWg</t>
  </si>
  <si>
    <t>AZM - AZERBAIJANIAN MANAT</t>
  </si>
  <si>
    <t>AZM</t>
  </si>
  <si>
    <t>AZN - Azerbaijanian Manat</t>
  </si>
  <si>
    <t>BAM - BOSNIA-HERZE CONV MARKS</t>
  </si>
  <si>
    <t>BAm - BOSNIA-HERZE CONV MARKS</t>
  </si>
  <si>
    <t>BAm</t>
  </si>
  <si>
    <t>BBD - BARBADOS DOLLAR</t>
  </si>
  <si>
    <t>BBd - BARBADOS DOLLAR</t>
  </si>
  <si>
    <t>BBd</t>
  </si>
  <si>
    <t>BDT - BANGLADESHI TAKA</t>
  </si>
  <si>
    <t>BDt - BANGLADESHI TAKA</t>
  </si>
  <si>
    <t>BDt</t>
  </si>
  <si>
    <t>BEF - BELGIAN FRANC</t>
  </si>
  <si>
    <t>BGl - BULGARIAN LEV</t>
  </si>
  <si>
    <t>BGl</t>
  </si>
  <si>
    <t>BGL - BULGARIAN LEV</t>
  </si>
  <si>
    <t>BGL</t>
  </si>
  <si>
    <t>BGN - BULGARIAN LEV</t>
  </si>
  <si>
    <t>BGn - BULGARIAN LEV</t>
  </si>
  <si>
    <t>BGn</t>
  </si>
  <si>
    <t>BHD - BAHRAINI DINAR</t>
  </si>
  <si>
    <t>BHd - BAHRAINI FILS</t>
  </si>
  <si>
    <t>BHd</t>
  </si>
  <si>
    <t>BIF - BURUNDI FRANC</t>
  </si>
  <si>
    <t>BIf - BURUNDI FRANC</t>
  </si>
  <si>
    <t>BIf</t>
  </si>
  <si>
    <t>BIS - BOUVET IS KRONE (*)</t>
  </si>
  <si>
    <t>BMD - BERMUDIAN DOLLAR</t>
  </si>
  <si>
    <t>BMd - BERMUDIAN DOLLAR</t>
  </si>
  <si>
    <t>BMd</t>
  </si>
  <si>
    <t>BND - BRUNEI DOLLAR</t>
  </si>
  <si>
    <t>BNd - BRUNEI DOLLAR</t>
  </si>
  <si>
    <t>BNd</t>
  </si>
  <si>
    <t>BOB - BOLIVIAN BOLIVIANO</t>
  </si>
  <si>
    <t>BOb - BOLIVIAN BOLIVIANO</t>
  </si>
  <si>
    <t>BOb</t>
  </si>
  <si>
    <t>BOF - Bolivian UF</t>
  </si>
  <si>
    <t>BOV - BOLIVIA MVDOL</t>
  </si>
  <si>
    <t>BRC - BRAZILIAN CRUZAD</t>
  </si>
  <si>
    <t>BRF - BRAZILIAN REAL OFFSHORE</t>
  </si>
  <si>
    <t>BRF</t>
  </si>
  <si>
    <t>BRL - BRAZILIAN REAL</t>
  </si>
  <si>
    <t>BRl - BRAZILIAN CENTAVOS</t>
  </si>
  <si>
    <t>BRl</t>
  </si>
  <si>
    <t>BRS - BRAZILIAN LOCAL BENCHMARK</t>
  </si>
  <si>
    <t>BSD - BAHAMIAN DOLLAR</t>
  </si>
  <si>
    <t>BSd - BAHAMIAN DOLLAR</t>
  </si>
  <si>
    <t>BSd</t>
  </si>
  <si>
    <t>BTN - BHUTAN NGULTRUM</t>
  </si>
  <si>
    <t>BTn - BHUTAN NGULTRUM</t>
  </si>
  <si>
    <t>BTn</t>
  </si>
  <si>
    <t>BWP - BOTSWANIAN PULA</t>
  </si>
  <si>
    <t>BWp - BOTSWANA THEBE</t>
  </si>
  <si>
    <t>BWp</t>
  </si>
  <si>
    <t>BYB - BELARUS RUBLE</t>
  </si>
  <si>
    <t>BYB</t>
  </si>
  <si>
    <t>BYN - BELARUS RUBLE</t>
  </si>
  <si>
    <t>BYN</t>
  </si>
  <si>
    <t>BYn - BELARUS RUBLE</t>
  </si>
  <si>
    <t>BYn</t>
  </si>
  <si>
    <t>BYR - BELARUS RUBLE</t>
  </si>
  <si>
    <t>BYr - BELARUS RUBEL</t>
  </si>
  <si>
    <t>BYr</t>
  </si>
  <si>
    <t>BZD - BELIZE DOLLAR</t>
  </si>
  <si>
    <t>BZd - BELIZE DOLLAR</t>
  </si>
  <si>
    <t>BZd</t>
  </si>
  <si>
    <t>CAD - CANADIAN DOLLAR</t>
  </si>
  <si>
    <t>CAd - CANADIAN CENTS</t>
  </si>
  <si>
    <t>CAd</t>
  </si>
  <si>
    <t>CDF - CONGOLESE FRANC</t>
  </si>
  <si>
    <t>CDf - CONGOLESE FRANC</t>
  </si>
  <si>
    <t>CDf</t>
  </si>
  <si>
    <t>CER - ARGENTINA CER SPOT</t>
  </si>
  <si>
    <t>CHE - WIR EURO</t>
  </si>
  <si>
    <t>CHF - SWISS FRANC</t>
  </si>
  <si>
    <t>CHf - SWISS FRANC</t>
  </si>
  <si>
    <t>CHf</t>
  </si>
  <si>
    <t>CHW - WIR FRANC</t>
  </si>
  <si>
    <t>CLF - CHILEAN UNIDADES DE FOMENTO</t>
  </si>
  <si>
    <t>CLP - CHILEAN PESO</t>
  </si>
  <si>
    <t>CLp - CHILEAN PESO</t>
  </si>
  <si>
    <t>CLp</t>
  </si>
  <si>
    <t>CNB - YUAN (CHINESE) RENMINBI ONSHORE</t>
  </si>
  <si>
    <t>CNB</t>
  </si>
  <si>
    <t>CNF - YUAN (CHINESE) RENMINBI OFFSHORE</t>
  </si>
  <si>
    <t>CNF</t>
  </si>
  <si>
    <t>CNH - CHINA RENMINBI (YUAN)</t>
  </si>
  <si>
    <t>CNS - YUAN (CHINESE) RENMINBI OFFSHORE</t>
  </si>
  <si>
    <t>CNS</t>
  </si>
  <si>
    <t>CNY - YUAN (CHINESE) RENMINBI</t>
  </si>
  <si>
    <t>CNy - YUAN (CHINESE) RENMINBI</t>
  </si>
  <si>
    <t>CNy</t>
  </si>
  <si>
    <t>COP - COLOMBIAN PESO</t>
  </si>
  <si>
    <t>COp - COLOMBIAN PESO</t>
  </si>
  <si>
    <t>COp</t>
  </si>
  <si>
    <t>COU - Colombian Govt UVR</t>
  </si>
  <si>
    <t>CRC - COSTA RICAN COLON</t>
  </si>
  <si>
    <t>CRc - COSTA RICAN COLON</t>
  </si>
  <si>
    <t>CRc</t>
  </si>
  <si>
    <t>CSD - SERBIAN DINAR (REPLACES YUM)</t>
  </si>
  <si>
    <t>CSK - SLOVAKIAN KORUNA</t>
  </si>
  <si>
    <t>CUC - Peso Convertible</t>
  </si>
  <si>
    <t>CUP - CUBAN PESO</t>
  </si>
  <si>
    <t>CUp - CUBAN PESO</t>
  </si>
  <si>
    <t>CUp</t>
  </si>
  <si>
    <t>CUV - COLOMBIAN UVR</t>
  </si>
  <si>
    <t>CVE - CAPE VERDE ESCUDO</t>
  </si>
  <si>
    <t>CVe - CAPE VERDE ESCUDO</t>
  </si>
  <si>
    <t>CVe</t>
  </si>
  <si>
    <t>CYP - CYPRIOT POUND (B)</t>
  </si>
  <si>
    <t>CZK - CZECH KORUNA</t>
  </si>
  <si>
    <t>CZk - CZECH KORUNA</t>
  </si>
  <si>
    <t>CZk</t>
  </si>
  <si>
    <t>DEM - DEUTSCHE MARK</t>
  </si>
  <si>
    <t>DJF - DJIBOUTI FRANC</t>
  </si>
  <si>
    <t>DJf - DJIBOUTI FRANC</t>
  </si>
  <si>
    <t>DJf</t>
  </si>
  <si>
    <t>DKK - DANISH KRONE</t>
  </si>
  <si>
    <t>DKk - DANISH KRONE</t>
  </si>
  <si>
    <t>DKk</t>
  </si>
  <si>
    <t>DOP - DOMINICAN PESO</t>
  </si>
  <si>
    <t>DOp - DOMINICAN PESO</t>
  </si>
  <si>
    <t>DOp</t>
  </si>
  <si>
    <t>DZD - ALGERIAN DINAR</t>
  </si>
  <si>
    <t>DZd - ALGERIAN DINAR</t>
  </si>
  <si>
    <t>DZd</t>
  </si>
  <si>
    <t>EAS - EURO(ATS) (B)</t>
  </si>
  <si>
    <t>EBF - EURO(BEF) (B)</t>
  </si>
  <si>
    <t>ECP - EURO(CYP) (B)</t>
  </si>
  <si>
    <t>ECS - ECUADOR SUCRE</t>
  </si>
  <si>
    <t>ECU - EUROPEAN CURRENCY UNIT</t>
  </si>
  <si>
    <t>EDG - EURO(NLG) (B)</t>
  </si>
  <si>
    <t>EDM - EURO(DEM) (B)</t>
  </si>
  <si>
    <t>EEC - EURO(XEU) (B)</t>
  </si>
  <si>
    <t>EEE - EURO(EEK) (B)</t>
  </si>
  <si>
    <t>EEK - ESTONIAN KROON</t>
  </si>
  <si>
    <t>EES - EURO(ESP) (B)</t>
  </si>
  <si>
    <t>EFM - EURO(FIM) (B)</t>
  </si>
  <si>
    <t>EFR - EURO(FRF) (B)</t>
  </si>
  <si>
    <t>EGD - EURO(GRD) (B)</t>
  </si>
  <si>
    <t>EGP - EGYPTIAN POUND</t>
  </si>
  <si>
    <t>EGp - EGYPTIAN POUND</t>
  </si>
  <si>
    <t>EGp</t>
  </si>
  <si>
    <t>EIL - EURO(ITL) (B)</t>
  </si>
  <si>
    <t>EIP - EURO(IEP) (B)</t>
  </si>
  <si>
    <t>ELF - EURO(LUF) (B)</t>
  </si>
  <si>
    <t>EML - EURO(MTL) (B)</t>
  </si>
  <si>
    <t>EPE - EURO(PTE) (B)</t>
  </si>
  <si>
    <t>ERN - ERITREA NAKFA</t>
  </si>
  <si>
    <t>ERn - ERITREA NAKFA</t>
  </si>
  <si>
    <t>ERn</t>
  </si>
  <si>
    <t>ESK - EURO(SKK) (B)</t>
  </si>
  <si>
    <t>ESP - SPANISH PESETA</t>
  </si>
  <si>
    <t>EST - EURO(SIT) (B)</t>
  </si>
  <si>
    <t>ETB - ETHIOPIAN BIRR</t>
  </si>
  <si>
    <t>ETb - ETHIOPIAN BIRR</t>
  </si>
  <si>
    <t>ETb</t>
  </si>
  <si>
    <t>EUc - EURO CENT</t>
  </si>
  <si>
    <t>EUD - EURO(DEM)</t>
  </si>
  <si>
    <t>EUR - EURO</t>
  </si>
  <si>
    <t>FGS - FR. GUIANA FRAANC (*)</t>
  </si>
  <si>
    <t>FIM - FINNISH MARKKA</t>
  </si>
  <si>
    <t>FIS - FAEROE IS. KRONE (*)</t>
  </si>
  <si>
    <t>FJD - FIJI DOLLAR</t>
  </si>
  <si>
    <t>FJd - FIJI DOLLAR</t>
  </si>
  <si>
    <t>FJd</t>
  </si>
  <si>
    <t>FKP - FALKLAND ISLANDS POUND</t>
  </si>
  <si>
    <t>FKp - FALKLAND ISLANDS POUND</t>
  </si>
  <si>
    <t>FKp</t>
  </si>
  <si>
    <t>FRF - FRENCH FRANC</t>
  </si>
  <si>
    <t>GBP - BRITISH POUND</t>
  </si>
  <si>
    <t>GBp - BRITISH PENCE</t>
  </si>
  <si>
    <t>GBp</t>
  </si>
  <si>
    <t>GBS - Guinea Bissau Peso (*)</t>
  </si>
  <si>
    <t>GCS - GHANA CEDI SPOT</t>
  </si>
  <si>
    <t>GEK - GEORGIA COUPON</t>
  </si>
  <si>
    <t>GEL - GEORGIA LARI</t>
  </si>
  <si>
    <t>GEl - GEORGIA LARI</t>
  </si>
  <si>
    <t>GEl</t>
  </si>
  <si>
    <t>GFS - GUADELOUPE FRANC (*)</t>
  </si>
  <si>
    <t>GGP - GUERNSEY (*)</t>
  </si>
  <si>
    <t>GHC - GHANAIAN CEDI</t>
  </si>
  <si>
    <t>GHS - GHANA CEDI</t>
  </si>
  <si>
    <t>GHs - GHANA CEDI</t>
  </si>
  <si>
    <t>GHs</t>
  </si>
  <si>
    <t>GIP - GIBRALTAR POUND</t>
  </si>
  <si>
    <t>GIp - GIBRALTAR POUND</t>
  </si>
  <si>
    <t>GIp</t>
  </si>
  <si>
    <t>GKS - GREENLAND KRONE (*)</t>
  </si>
  <si>
    <t>GMD - GAMBIAN DALASI</t>
  </si>
  <si>
    <t>GMd - GAMBIAN DALASI</t>
  </si>
  <si>
    <t>GMd</t>
  </si>
  <si>
    <t>GNF - GUINEA FRANC</t>
  </si>
  <si>
    <t>GNf - GUINEA FRANC</t>
  </si>
  <si>
    <t>GNf</t>
  </si>
  <si>
    <t>GQE - GUINEA-EQUATOR EKWELE</t>
  </si>
  <si>
    <t>GRD - GREEK DRACHMA</t>
  </si>
  <si>
    <t>GRN - GRN Test Currency</t>
  </si>
  <si>
    <t>GTQ - GUATEMALAN QUETZAL</t>
  </si>
  <si>
    <t>GTq - GUATEMALAN QUETZAL</t>
  </si>
  <si>
    <t>GTq</t>
  </si>
  <si>
    <t>GWP - GUINEA BISSAU PESO</t>
  </si>
  <si>
    <t>GYD - GUYANAN DOLLAR</t>
  </si>
  <si>
    <t>GYd - GUYANAN DOLLAR</t>
  </si>
  <si>
    <t>GYd</t>
  </si>
  <si>
    <t>HKD - HONG KONG DOLLAR</t>
  </si>
  <si>
    <t>HKd - HONG KONG CENTS</t>
  </si>
  <si>
    <t>HKd</t>
  </si>
  <si>
    <t>HNL - HONDURAN LEMPIRA</t>
  </si>
  <si>
    <t>HNl - HONDURAN LEMPIRA</t>
  </si>
  <si>
    <t>HNl</t>
  </si>
  <si>
    <t>HRD - OLD CROATIAN DINAR</t>
  </si>
  <si>
    <t>HRK - CROATIAN KUNA</t>
  </si>
  <si>
    <t>HRk - CROATIAN KUNA</t>
  </si>
  <si>
    <t>HRk</t>
  </si>
  <si>
    <t>HTG - HAITIAN GOURDE</t>
  </si>
  <si>
    <t>HTg - HAITIAN GOURDE</t>
  </si>
  <si>
    <t>HTg</t>
  </si>
  <si>
    <t>HUF - HUNGARIAN FORINT</t>
  </si>
  <si>
    <t>HUf - HUNGARIAN FORINT</t>
  </si>
  <si>
    <t>HUf</t>
  </si>
  <si>
    <t>ICE - ICELAND KRONA</t>
  </si>
  <si>
    <t>ICE</t>
  </si>
  <si>
    <t>IDF - INDONESIAN RUPIAH OFFSHORE</t>
  </si>
  <si>
    <t>IDF</t>
  </si>
  <si>
    <t>IDN - INDONESIAN RUPIAH ONSHORE</t>
  </si>
  <si>
    <t>IDN</t>
  </si>
  <si>
    <t>IDR - INDONESIAN RUPIAH</t>
  </si>
  <si>
    <t>IDr - INDONESIAN RUPIAH</t>
  </si>
  <si>
    <t>IDr</t>
  </si>
  <si>
    <t>IDX - IDX Desc</t>
  </si>
  <si>
    <t>IEp - IRISH PENCE</t>
  </si>
  <si>
    <t>IEp</t>
  </si>
  <si>
    <t>IEP - IRISH PUNT</t>
  </si>
  <si>
    <t>ILS - ISRAELI SHEKEL</t>
  </si>
  <si>
    <t>ILs - ISRAELI AGOROTS</t>
  </si>
  <si>
    <t>ILs</t>
  </si>
  <si>
    <t>IMP - ISLE OF MAN (B)</t>
  </si>
  <si>
    <t>IND - INDIAN RUPEE ONSHORE</t>
  </si>
  <si>
    <t>IND</t>
  </si>
  <si>
    <t>INF - INDIAN RUPEE OFFSHORE</t>
  </si>
  <si>
    <t>INF</t>
  </si>
  <si>
    <t>INL - INDIAN RUPEE ONSHORE</t>
  </si>
  <si>
    <t>INL</t>
  </si>
  <si>
    <t>INR - INDIAN RUPEE</t>
  </si>
  <si>
    <t>INr - INDIAN RUPEE</t>
  </si>
  <si>
    <t>INr</t>
  </si>
  <si>
    <t>IQD - IRAQI DINAR</t>
  </si>
  <si>
    <t>IQd - Iraqi Dinar(minor)</t>
  </si>
  <si>
    <t>IQd</t>
  </si>
  <si>
    <t>IRR - IRANIAN RIAL</t>
  </si>
  <si>
    <t>IRr - IRANIAN RIAL</t>
  </si>
  <si>
    <t>IRr</t>
  </si>
  <si>
    <t>ISK - ICELAND KRONA</t>
  </si>
  <si>
    <t>ISk - ICELAND KRONA</t>
  </si>
  <si>
    <t>ISk</t>
  </si>
  <si>
    <t>ITL - ITALIAN LIRA</t>
  </si>
  <si>
    <t>JEP - JERSEY POUND (*)</t>
  </si>
  <si>
    <t>JMD - JAMAICAN DOLLAR</t>
  </si>
  <si>
    <t>JMd - JAMAICAN DOLLAR</t>
  </si>
  <si>
    <t>JMd</t>
  </si>
  <si>
    <t>JOD - JORDANIAN DINAR</t>
  </si>
  <si>
    <t>JOd - Jordanian Dinar(minor)</t>
  </si>
  <si>
    <t>JOd</t>
  </si>
  <si>
    <t>JPY - JAPANESE YEN</t>
  </si>
  <si>
    <t>JPy - JAPANESE YEN</t>
  </si>
  <si>
    <t>JPy</t>
  </si>
  <si>
    <t>KBS - KIRIBATI DOLLAR (*)</t>
  </si>
  <si>
    <t>KES - KENYAN SCHILLING</t>
  </si>
  <si>
    <t>KEs - KENYAN SCHILLING</t>
  </si>
  <si>
    <t>KEs</t>
  </si>
  <si>
    <t>KGS - KYRGYZSTAN SOM</t>
  </si>
  <si>
    <t>KGs - KYRGYZSTAN SOM</t>
  </si>
  <si>
    <t>KGs</t>
  </si>
  <si>
    <t>KHR - KAMPUCHEAN (CAMBODIAN) RIEL</t>
  </si>
  <si>
    <t>KHr - KAMPUCHEAN (CAMBODIAN) RIEL</t>
  </si>
  <si>
    <t>KHr</t>
  </si>
  <si>
    <t>KMF - COMOROS FRANC</t>
  </si>
  <si>
    <t>KMf - COMOROS FRANC</t>
  </si>
  <si>
    <t>KMf</t>
  </si>
  <si>
    <t>KPW - NORTH KOREAN WON</t>
  </si>
  <si>
    <t>KPw - NORTH KOREAN WON</t>
  </si>
  <si>
    <t>KPw</t>
  </si>
  <si>
    <t>KRF - (SOUTH) KOREAN WON OFFSHORE</t>
  </si>
  <si>
    <t>KRF</t>
  </si>
  <si>
    <t>KRN - (SOUTH) KOREAN WON ONSHORE</t>
  </si>
  <si>
    <t>KRN</t>
  </si>
  <si>
    <t>KRW - (SOUTH) KOREAN WON</t>
  </si>
  <si>
    <t>KRw - (SOUTH) KOREAN WON</t>
  </si>
  <si>
    <t>KRw</t>
  </si>
  <si>
    <t>KWD - KUWAITI DINAR</t>
  </si>
  <si>
    <t>KWd - KUWAITI SUBCURRENCY</t>
  </si>
  <si>
    <t>KWd</t>
  </si>
  <si>
    <t>KYD - CAYMAN ISLANDS DOLLAR</t>
  </si>
  <si>
    <t>KYd - CAYMAN ISLANDS DOLLAR</t>
  </si>
  <si>
    <t>KYd</t>
  </si>
  <si>
    <t>KZT - KAZAKHSTAN TENGE</t>
  </si>
  <si>
    <t>KZt - KAZAKHSTAN TENGE</t>
  </si>
  <si>
    <t>KZt</t>
  </si>
  <si>
    <t>LAK - LAOS KIP</t>
  </si>
  <si>
    <t>LAk - LAOS KIP</t>
  </si>
  <si>
    <t>LAk</t>
  </si>
  <si>
    <t>LBP - LEBANESE POUND</t>
  </si>
  <si>
    <t>LBp - LEBANESE POUND</t>
  </si>
  <si>
    <t>LBp</t>
  </si>
  <si>
    <t>LKR - SRI LANKA RUPEE</t>
  </si>
  <si>
    <t>LKr - SRI LANKA RUPEE</t>
  </si>
  <si>
    <t>LKr</t>
  </si>
  <si>
    <t>LRD - LIBERIAN DOLLAR</t>
  </si>
  <si>
    <t>LRd - LIBERIAN DOLLAR</t>
  </si>
  <si>
    <t>LRd</t>
  </si>
  <si>
    <t>LSL - LESOTHO LOTI</t>
  </si>
  <si>
    <t>LSl - LESOTHO LOTI</t>
  </si>
  <si>
    <t>LSl</t>
  </si>
  <si>
    <t>LTL - LITHUANIAN LITAS</t>
  </si>
  <si>
    <t>LTl - LITHUANIAN LITAS</t>
  </si>
  <si>
    <t>LTl</t>
  </si>
  <si>
    <t>LUF - LUXEMBOURG FRANC</t>
  </si>
  <si>
    <t>LVL - LATVIAN LATS</t>
  </si>
  <si>
    <t>LVl - LATVIAN LATS</t>
  </si>
  <si>
    <t>LVl</t>
  </si>
  <si>
    <t>LVR - LATVIAN LATS SPOT</t>
  </si>
  <si>
    <t>LYD - LIBYAN DINAR</t>
  </si>
  <si>
    <t>LYd - Lybian Dirham</t>
  </si>
  <si>
    <t>LYd</t>
  </si>
  <si>
    <t>MAD - MOROCCAN DIRHAM</t>
  </si>
  <si>
    <t>MAd - MOROCCAN DIRHAM</t>
  </si>
  <si>
    <t>MAd</t>
  </si>
  <si>
    <t>MDL - MOLDOVAN LEI</t>
  </si>
  <si>
    <t>MDl - MOLDOVAN LEI</t>
  </si>
  <si>
    <t>MDl</t>
  </si>
  <si>
    <t>MFS - MARTINIQUE FRANC (*)</t>
  </si>
  <si>
    <t>MGA - MADAGASCAR ARIARY</t>
  </si>
  <si>
    <t>MGa - MADAGASCAR ARIARY</t>
  </si>
  <si>
    <t>MGa</t>
  </si>
  <si>
    <t>MGF - MADAGASCAR FRANC</t>
  </si>
  <si>
    <t>MKD - MACEDONIA DENAR</t>
  </si>
  <si>
    <t>MKd - MACEDONIA DENAR</t>
  </si>
  <si>
    <t>MKd</t>
  </si>
  <si>
    <t>MLF - Mali Republic Franc</t>
  </si>
  <si>
    <t>MMK - MYANMAR KYAT</t>
  </si>
  <si>
    <t>MMk - MYANMAR KYAT</t>
  </si>
  <si>
    <t>MMk</t>
  </si>
  <si>
    <t>MNT - MONGOLIAN TUGRIK</t>
  </si>
  <si>
    <t>MNt - MONGOLIAN TUGRIK</t>
  </si>
  <si>
    <t>MNt</t>
  </si>
  <si>
    <t>MOP - MACAU PATACA</t>
  </si>
  <si>
    <t>MOp - MACAU PATACA</t>
  </si>
  <si>
    <t>MOp</t>
  </si>
  <si>
    <t>MRO - MAURITANIAN OUGUIYA</t>
  </si>
  <si>
    <t>MRo - MAURITANIAN OUGUIYA</t>
  </si>
  <si>
    <t>MRo</t>
  </si>
  <si>
    <t>MTL - MALTESE LIRA</t>
  </si>
  <si>
    <t>MTP - Maltese Lira (B)</t>
  </si>
  <si>
    <t>MUR - MAURITIUS RUPEE</t>
  </si>
  <si>
    <t>MUr - MAURITIUS CENTS</t>
  </si>
  <si>
    <t>MUr</t>
  </si>
  <si>
    <t>MUY - MXN UDIDADES</t>
  </si>
  <si>
    <t>MVR - MALDIVE RUFIYAA</t>
  </si>
  <si>
    <t>MVr - MALDIVE RUFIYAA</t>
  </si>
  <si>
    <t>MVr</t>
  </si>
  <si>
    <t>MWK - MALAWI KWACHA</t>
  </si>
  <si>
    <t>MWk - MALAWI TAMBALA</t>
  </si>
  <si>
    <t>MWk</t>
  </si>
  <si>
    <t>MXN - MEXICAN PESO</t>
  </si>
  <si>
    <t>MXn - MEXICAN PESO</t>
  </si>
  <si>
    <t>MXn</t>
  </si>
  <si>
    <t>MXO - MEXICAN OVERNIGHT</t>
  </si>
  <si>
    <t>MXP - MEXICAN PESO ONSHORE</t>
  </si>
  <si>
    <t>MXP</t>
  </si>
  <si>
    <t>MXV - MEXICAN UNIDAD DE INVERSION (UDI)</t>
  </si>
  <si>
    <t>MYc - MALAYSIAN SEN</t>
  </si>
  <si>
    <t>MYF - MALAYSIAN RINGGIT OFFSHORE</t>
  </si>
  <si>
    <t>MYF</t>
  </si>
  <si>
    <t>MYK - MALAYSIAN RINGGIT ONSHORE</t>
  </si>
  <si>
    <t>MYK</t>
  </si>
  <si>
    <t>MYN - MALAYSIAN RINGGIT ONSHORE</t>
  </si>
  <si>
    <t>MYN</t>
  </si>
  <si>
    <t>MYR - MALAYSIAN RINGGIT</t>
  </si>
  <si>
    <t>MYr - MALAYSIAN RINGGIT</t>
  </si>
  <si>
    <t>MYr</t>
  </si>
  <si>
    <t>MZM - MOZAMBIQUE METICAL</t>
  </si>
  <si>
    <t>MZM</t>
  </si>
  <si>
    <t>MZN - Mozambique Metical</t>
  </si>
  <si>
    <t>MZn - Mozambique Metical</t>
  </si>
  <si>
    <t>MZn</t>
  </si>
  <si>
    <t>NAD - NAMIBIA DOLLAR</t>
  </si>
  <si>
    <t>NAd - NAMIBIAN CENT</t>
  </si>
  <si>
    <t>NAd</t>
  </si>
  <si>
    <t>NGN - NIGERIAN NAIRA</t>
  </si>
  <si>
    <t>NGn - NIGERIAN NAIRA</t>
  </si>
  <si>
    <t>NGn</t>
  </si>
  <si>
    <t>NIC - Nicaragua Cordoba</t>
  </si>
  <si>
    <t>NIC</t>
  </si>
  <si>
    <t>NID - NEW IRAQI DINAR</t>
  </si>
  <si>
    <t>NIO - NICARAGUA CORDOBA</t>
  </si>
  <si>
    <t>NIo - NICARAGUA CORDOBA</t>
  </si>
  <si>
    <t>NIo</t>
  </si>
  <si>
    <t>NIS - NAURU IS. DOLLAR (*)</t>
  </si>
  <si>
    <t>NLG - DUTCH GUILDER</t>
  </si>
  <si>
    <t>NOK - NORWEGIAN KRONE</t>
  </si>
  <si>
    <t>NOk - NORWEGIAN KRONE</t>
  </si>
  <si>
    <t>NOk</t>
  </si>
  <si>
    <t>NPR - NEPALESE RUPEE</t>
  </si>
  <si>
    <t>NPr - NEPALESE RUPEE</t>
  </si>
  <si>
    <t>NPr</t>
  </si>
  <si>
    <t>NZc - NEW ZEALAND CENTS</t>
  </si>
  <si>
    <t>NZD - NEW ZEALAND DOLLAR</t>
  </si>
  <si>
    <t>OMR - OMANI RIAL</t>
  </si>
  <si>
    <t>OMr - BAIZA OMANI</t>
  </si>
  <si>
    <t>OMr</t>
  </si>
  <si>
    <t>PAB - PANAMANIAN BALBOA</t>
  </si>
  <si>
    <t>PAb - PANAMANIAN BALBOA</t>
  </si>
  <si>
    <t>PAb</t>
  </si>
  <si>
    <t>PEI - PERUVIAN SOLES</t>
  </si>
  <si>
    <t>PEN - NUEVO SOL</t>
  </si>
  <si>
    <t>PEn - NUEVO SOL</t>
  </si>
  <si>
    <t>PEn</t>
  </si>
  <si>
    <t>PGK - PAPUA NEW GUINEA KINA</t>
  </si>
  <si>
    <t>PGk - PAPUA NEW GUINEA KINA</t>
  </si>
  <si>
    <t>PGk</t>
  </si>
  <si>
    <t>PHN - PHILIPPINE PESO ONSHORE</t>
  </si>
  <si>
    <t>PHN</t>
  </si>
  <si>
    <t>PHP - PHILIPPINE PESO</t>
  </si>
  <si>
    <t>PHp - PHILIPPINE PESO</t>
  </si>
  <si>
    <t>PHp</t>
  </si>
  <si>
    <t>PIS - PITCAIRN IS DOLLAR (*)</t>
  </si>
  <si>
    <t>PKR - PAKISTAN RUPEE</t>
  </si>
  <si>
    <t>PKr - PAKISTAN RUPEE</t>
  </si>
  <si>
    <t>PKr</t>
  </si>
  <si>
    <t>PLN - Polish Zloty (NEW)</t>
  </si>
  <si>
    <t>PLn - Polish Zloty (NEW)</t>
  </si>
  <si>
    <t>PLn</t>
  </si>
  <si>
    <t>PLZ - POLISH ZLOTY SPOT (*)</t>
  </si>
  <si>
    <t>PTE - PORTUGUESE ESCUDO</t>
  </si>
  <si>
    <t>PYG - PARAGUAY GUARANI</t>
  </si>
  <si>
    <t>PYg - PARAGUAY GUARANI</t>
  </si>
  <si>
    <t>PYg</t>
  </si>
  <si>
    <t>QAR - QATARI RIAL</t>
  </si>
  <si>
    <t>QAr - QATARI DIRHAM</t>
  </si>
  <si>
    <t>QAr</t>
  </si>
  <si>
    <t>RFS - REUNION FRANC (*)</t>
  </si>
  <si>
    <t>RLS - ROMANIAN LEU SPOT</t>
  </si>
  <si>
    <t>ROb - ROMANIAN BAN</t>
  </si>
  <si>
    <t>ROL - ROMANIAN LEU</t>
  </si>
  <si>
    <t>ROL</t>
  </si>
  <si>
    <t>RON - ROMANIAN LEU</t>
  </si>
  <si>
    <t>ROn - ROMANIAN LEU (NEW)</t>
  </si>
  <si>
    <t>ROn</t>
  </si>
  <si>
    <t>RSD - SERBIAN DINAR</t>
  </si>
  <si>
    <t>RSd - SERBIAN DINAR</t>
  </si>
  <si>
    <t>RSd</t>
  </si>
  <si>
    <t>RUB - RUSSIAN RUBLE (NEW)</t>
  </si>
  <si>
    <t>RUb - RUSSIAN RUBLE (NEW)</t>
  </si>
  <si>
    <t>RUb</t>
  </si>
  <si>
    <t>RUR - RUSSIAN RUBLE (OLD)</t>
  </si>
  <si>
    <t>RWF - RWANDA FRANC</t>
  </si>
  <si>
    <t>RWf - RWANDA FRANC</t>
  </si>
  <si>
    <t>RWf</t>
  </si>
  <si>
    <t>SAR - SAUDI ARABIAN RIYAL</t>
  </si>
  <si>
    <t>SAr - SAUDI ARABIAN HALALAH</t>
  </si>
  <si>
    <t>SAr</t>
  </si>
  <si>
    <t>SBD - SOLOMON ISLANDS DOLLAR</t>
  </si>
  <si>
    <t>SBd - SOLOMON ISLANDS DOLLAR</t>
  </si>
  <si>
    <t>SBd</t>
  </si>
  <si>
    <t>SCR - SEYCHELLES RUPEE</t>
  </si>
  <si>
    <t>SCr - SEYCHELLES RUPEE</t>
  </si>
  <si>
    <t>SCr</t>
  </si>
  <si>
    <t>SDD - SUDANESE DINAR</t>
  </si>
  <si>
    <t>SDG - SUDANESE POUND</t>
  </si>
  <si>
    <t>SDg - SUDANESE POUND SPOT</t>
  </si>
  <si>
    <t>SDg</t>
  </si>
  <si>
    <t>SDP - SUDANESE POUND</t>
  </si>
  <si>
    <t>SDP</t>
  </si>
  <si>
    <t>SDR - Special Drawing Righ (B)</t>
  </si>
  <si>
    <t>SEK - SWEDISH KRONA</t>
  </si>
  <si>
    <t>SEk - SWEDISH KRONA</t>
  </si>
  <si>
    <t>SEk</t>
  </si>
  <si>
    <t>SGc - SINGAPORE CENTS</t>
  </si>
  <si>
    <t>SGD - SINGAPORE DOLLAR</t>
  </si>
  <si>
    <t>SHP - ST. HELENA POUND</t>
  </si>
  <si>
    <t>SHp - ST. HELENA POUND</t>
  </si>
  <si>
    <t>SHp</t>
  </si>
  <si>
    <t>SIT - SLOVENIA TOLAR</t>
  </si>
  <si>
    <t>SKK - SLOVAK KORUNA</t>
  </si>
  <si>
    <t>SLL - SIERRA LEONE LEONE</t>
  </si>
  <si>
    <t>SLl - SIERRA LEONE LEONE</t>
  </si>
  <si>
    <t>SLl</t>
  </si>
  <si>
    <t>SMG - Salario Minimo General</t>
  </si>
  <si>
    <t>SMS - SAN MARINO LIRA (*)</t>
  </si>
  <si>
    <t>SOS - SOMALI SCHILLING</t>
  </si>
  <si>
    <t>SOs - SOMALI SCHILLING</t>
  </si>
  <si>
    <t>SOs</t>
  </si>
  <si>
    <t>SPL - SEBORGA LUIGINI</t>
  </si>
  <si>
    <t>SRD - SURINAME DOLLAR</t>
  </si>
  <si>
    <t>SRd - SURINAME DOLLAR</t>
  </si>
  <si>
    <t>SRd</t>
  </si>
  <si>
    <t>SRG - SURINAME GUILDER</t>
  </si>
  <si>
    <t>SSl - SIERRA LEONE LEONE</t>
  </si>
  <si>
    <t>SSl</t>
  </si>
  <si>
    <t>SSP - SOUTH SUDAN POUND</t>
  </si>
  <si>
    <t>STD - SAO TOME AND PRINCIPE DOBRA</t>
  </si>
  <si>
    <t>STd - SAO TOME AND PRINCIPE DOBRA</t>
  </si>
  <si>
    <t>STd</t>
  </si>
  <si>
    <t>SVC - EL SALVADOR COLON</t>
  </si>
  <si>
    <t>SVc - EL SALVADOR COLON</t>
  </si>
  <si>
    <t>SVc</t>
  </si>
  <si>
    <t>SYP - SYRIAN POUND</t>
  </si>
  <si>
    <t>SYp - SYRIAN POUND</t>
  </si>
  <si>
    <t>SYp</t>
  </si>
  <si>
    <t>SZL - SWAZILAND LILANGENI</t>
  </si>
  <si>
    <t>SZl - SWAZILAND CENTS</t>
  </si>
  <si>
    <t>SZl</t>
  </si>
  <si>
    <t>SZS - SWAZILAND LILANGENI (*)</t>
  </si>
  <si>
    <t>THB - THAI BHAT</t>
  </si>
  <si>
    <t>THb - THAI BHAT</t>
  </si>
  <si>
    <t>THb</t>
  </si>
  <si>
    <t>THF - THAI BHAT OFFSHORE</t>
  </si>
  <si>
    <t>THF</t>
  </si>
  <si>
    <t>THO - THAI BAHT ONSHORE RATE</t>
  </si>
  <si>
    <t>TJR - TAJIKISTAN RUBLE</t>
  </si>
  <si>
    <t>TJS - TAJIKISTAN SOMONI</t>
  </si>
  <si>
    <t>TJs - TAJIKISTAN SOMONI</t>
  </si>
  <si>
    <t>TJs</t>
  </si>
  <si>
    <t>TLS - TURKISH LIRA SPOT</t>
  </si>
  <si>
    <t>TMM - TURKMENISTAN MANAT</t>
  </si>
  <si>
    <t>TMS - New Turkmenistan Manat</t>
  </si>
  <si>
    <t>TMT - NEW MANAT</t>
  </si>
  <si>
    <t>TMt - NEW TURKMENISTAN MAN</t>
  </si>
  <si>
    <t>TMt</t>
  </si>
  <si>
    <t>TND - TUNISIAN DINAR</t>
  </si>
  <si>
    <t>TNd - Tunisian Dinar (minor)</t>
  </si>
  <si>
    <t>TNd</t>
  </si>
  <si>
    <t>TOP - TONGAN PA ANGA</t>
  </si>
  <si>
    <t>TOp - TONGAN PA ANGA</t>
  </si>
  <si>
    <t>TOp</t>
  </si>
  <si>
    <t>TPE - EAST TIMOR ESCUDO</t>
  </si>
  <si>
    <t>TRL - TURKISH LIRA</t>
  </si>
  <si>
    <t>TRY - NEW TURKISH LIRA</t>
  </si>
  <si>
    <t>TRy - NEW TURKISH LIRA</t>
  </si>
  <si>
    <t>TRy</t>
  </si>
  <si>
    <t>TSS - THAI BAHT ONSHORE SPOT</t>
  </si>
  <si>
    <t>TTD - TRINIDAD AND TOBAGO DOLLAR</t>
  </si>
  <si>
    <t>TTd - TRINIDAD AND TOBAGO DOLLAR</t>
  </si>
  <si>
    <t>TTd</t>
  </si>
  <si>
    <t>TVD - TUVALU</t>
  </si>
  <si>
    <t>TVS - TUVALU DOLLAR (*)</t>
  </si>
  <si>
    <t>TWD - TAIWAN DOLLAR</t>
  </si>
  <si>
    <t>TWd - TAIWAN DOLLAR</t>
  </si>
  <si>
    <t>TWd</t>
  </si>
  <si>
    <t>TWN - TAIWAN DOLLAR OFFSHORE</t>
  </si>
  <si>
    <t>TWN</t>
  </si>
  <si>
    <t>TZS - TANZANIAN SCHILLING</t>
  </si>
  <si>
    <t>TZs - TANZANIAN SCHILLING</t>
  </si>
  <si>
    <t>TZs</t>
  </si>
  <si>
    <t>UAH - UKRAINE HRYVNA</t>
  </si>
  <si>
    <t>UAh - UKRAINE HRYVNA</t>
  </si>
  <si>
    <t>UAh</t>
  </si>
  <si>
    <t>UAK - UKRAINIAN KARBOVANET</t>
  </si>
  <si>
    <t>UDI - MEXICAN UDIDADES</t>
  </si>
  <si>
    <t>UGX - UGANDA SHILLING</t>
  </si>
  <si>
    <t>UGx - UGANDA SHILLING</t>
  </si>
  <si>
    <t>UGx</t>
  </si>
  <si>
    <t>UIP - Uruguay Local Benchmark</t>
  </si>
  <si>
    <t>USB - UNITED STATES DOLLAR ONSHORE</t>
  </si>
  <si>
    <t>USD - UNITED STATES DOLLAR</t>
  </si>
  <si>
    <t>USd - UNITED STATES CENTS</t>
  </si>
  <si>
    <t>USd</t>
  </si>
  <si>
    <t>USN - US DOLLAR (NEXT DAY)</t>
  </si>
  <si>
    <t>USS - US DOLLAR SAME DAY</t>
  </si>
  <si>
    <t>UUI - Uruguay Currency Index</t>
  </si>
  <si>
    <t>UVR - Columbian Peso Inflation Linked Currency</t>
  </si>
  <si>
    <t>UYI - Uruguayan U.I. (Unidad Indexada)</t>
  </si>
  <si>
    <t>UYP - URUGUAY PESO SPOT</t>
  </si>
  <si>
    <t>UYU - URUGUAY PESO</t>
  </si>
  <si>
    <t>UYu - URUGUAY PESO</t>
  </si>
  <si>
    <t>UYu</t>
  </si>
  <si>
    <t>UZS - UZBEKISTAN SUM</t>
  </si>
  <si>
    <t>Uzs - UZBEKISTAN SUM</t>
  </si>
  <si>
    <t>Uzs</t>
  </si>
  <si>
    <t>VAC - PERUVIAN LOCAL BENCHMARK</t>
  </si>
  <si>
    <t>VBS - Venezuelan bolivar fuerte</t>
  </si>
  <si>
    <t>VCS - VATICAN CITY LIRA (*)</t>
  </si>
  <si>
    <t>VEB - VENEZUALAN BOLIVAR</t>
  </si>
  <si>
    <t>VEE - Venezuela Essential</t>
  </si>
  <si>
    <t>VEF - BOLIVAR FUERTE</t>
  </si>
  <si>
    <t>VEf - BOLIVAR FUERTE</t>
  </si>
  <si>
    <t>VEf</t>
  </si>
  <si>
    <t>VEO - VENEZUELAN LOCAL BENCHMARK</t>
  </si>
  <si>
    <t>VND - VIETNAMESE DONG</t>
  </si>
  <si>
    <t>VNd - VIETNAMESE DONG</t>
  </si>
  <si>
    <t>VNd</t>
  </si>
  <si>
    <t>VUV - VANUATU VATU</t>
  </si>
  <si>
    <t>WST - SAMOAN TALA</t>
  </si>
  <si>
    <t>WSt - SAMOAN TALA</t>
  </si>
  <si>
    <t>WSt</t>
  </si>
  <si>
    <t>XAF - CENTRAL AFRICAN REPUBLIC</t>
  </si>
  <si>
    <t>XAf - CENTRAL AFRICAN REPUBLIC</t>
  </si>
  <si>
    <t>XAf</t>
  </si>
  <si>
    <t>XAG - SILVER</t>
  </si>
  <si>
    <t>XAL - Aluminum (B)</t>
  </si>
  <si>
    <t>XAU - GOLD</t>
  </si>
  <si>
    <t>XBC - EUROPEAN UNIT OF ACCOUNT (ECU-9)</t>
  </si>
  <si>
    <t>XCD - DOMINICA DOLLAR</t>
  </si>
  <si>
    <t>XCd - DOMINICA DOLLAR</t>
  </si>
  <si>
    <t>XCd</t>
  </si>
  <si>
    <t>XCU - Copper (B)</t>
  </si>
  <si>
    <t>XDR - SPECIAL DRAWING RIGH</t>
  </si>
  <si>
    <t>XEU - EUROPEAN CURRENCY UNIT (E.C.U.</t>
  </si>
  <si>
    <t>XGY - SILVER SPOT</t>
  </si>
  <si>
    <t>XMU - MULTIPLE CURRENCIES</t>
  </si>
  <si>
    <t>XNI - Nickel (B)</t>
  </si>
  <si>
    <t>XOF - CFA FRANC BCEAO</t>
  </si>
  <si>
    <t>XOf - CFA FRANC BCEAO</t>
  </si>
  <si>
    <t>XOf</t>
  </si>
  <si>
    <t>XPB - Lead (B)</t>
  </si>
  <si>
    <t>XPD - PALLADIUM (B)</t>
  </si>
  <si>
    <t>XPF - FRENCH PACIFIC ISLAND FRANC</t>
  </si>
  <si>
    <t>XPf - FRENCH PACIFIC ISLAND FRANC</t>
  </si>
  <si>
    <t>XPf</t>
  </si>
  <si>
    <t>XPT - Platinum (B)</t>
  </si>
  <si>
    <t>XPY - PALLADIUM SPOT</t>
  </si>
  <si>
    <t>XRA - Radium (B)</t>
  </si>
  <si>
    <t>XRH - Rhodium (B)</t>
  </si>
  <si>
    <t>XRI - Iridium (B)</t>
  </si>
  <si>
    <t>XRU - Ruthenium (B)</t>
  </si>
  <si>
    <t>XSN - Tin (B)</t>
  </si>
  <si>
    <t>XSU - SUCRE</t>
  </si>
  <si>
    <t>XTY - PLATINUM SPOT</t>
  </si>
  <si>
    <t>XUY - GOLD SPOT</t>
  </si>
  <si>
    <t>XXX - NOT DEFINED</t>
  </si>
  <si>
    <t>XZI - Zinc (B)</t>
  </si>
  <si>
    <t>YER - YEMENI RIAL</t>
  </si>
  <si>
    <t>YEr - YEMENI RIAL</t>
  </si>
  <si>
    <t>YEr</t>
  </si>
  <si>
    <t>YTI - NEW TURKISH KURUS</t>
  </si>
  <si>
    <t>YTL - NEW TURKISH LIRA (THEO)</t>
  </si>
  <si>
    <t>YTl - NEWS TURKISH KURUS</t>
  </si>
  <si>
    <t>YTl</t>
  </si>
  <si>
    <t>YUD - Yugoslav dinars</t>
  </si>
  <si>
    <t>YUM - YUGOSLAVIAN DINAR</t>
  </si>
  <si>
    <t>YUN - YUGOSLAVIAN DINAR (*)</t>
  </si>
  <si>
    <t>YUN</t>
  </si>
  <si>
    <t>ZAL - SOUTH AFRICAN FINANCIAL RAND</t>
  </si>
  <si>
    <t>ZAR - SOUTH AFRICAN RAND</t>
  </si>
  <si>
    <t>ZAr - S. AFRICAN CENTS</t>
  </si>
  <si>
    <t>ZAr</t>
  </si>
  <si>
    <t>ZDS - Zimbabwe dollar</t>
  </si>
  <si>
    <t>ZDS</t>
  </si>
  <si>
    <t>ZMk - ZAMBIAN NGWEE</t>
  </si>
  <si>
    <t>ZMk</t>
  </si>
  <si>
    <t>ZMK - ZAMBIAN KWACHA</t>
  </si>
  <si>
    <t>ZMK</t>
  </si>
  <si>
    <t>ZMW - ZAMBIAN KWACHA</t>
  </si>
  <si>
    <t>ZRN - ZAIRE ZAIRE</t>
  </si>
  <si>
    <t>ZRZ - ZAIRE ZAIRE</t>
  </si>
  <si>
    <t>ZRZ</t>
  </si>
  <si>
    <t>ZWD - ZIMBABWE DOLLAR</t>
  </si>
  <si>
    <t>ZWD</t>
  </si>
  <si>
    <t>ZWd - ZIMBABWE CENTS</t>
  </si>
  <si>
    <t>ZWd</t>
  </si>
  <si>
    <t>ZWF - ZIMBABWE DOLLAR FIXE</t>
  </si>
  <si>
    <t>ZWF</t>
  </si>
  <si>
    <t>ZWL - ZIMBABWE DOLLAR</t>
  </si>
  <si>
    <t>ZWl - ZIMBABWE DOLLAR</t>
  </si>
  <si>
    <t>ZWl</t>
  </si>
  <si>
    <t>ZWN - ZIMBABWE DOLLAR- New Denomination</t>
  </si>
  <si>
    <t>ZWN</t>
  </si>
  <si>
    <t>ZWR - ZIMBABWER DOLLAR</t>
  </si>
  <si>
    <t>ZWR</t>
  </si>
  <si>
    <t>E3:F518</t>
  </si>
  <si>
    <t>30/360 - 30/360 - 30 day month/360 day year.</t>
  </si>
  <si>
    <t>30/360 N-EOM - 30/360 NON-EOM - 30 day month/360 day year, non End Of Month convention. Used when the pay date falls on the last day in one month, but not in another (ex. the bond pays March 30 and September 30).</t>
  </si>
  <si>
    <t>30/365 - 30/365 - 30 day month/365 day year.</t>
  </si>
  <si>
    <t>30/365 N-EOM - 30/365 NON-EOM - 30 day month/365 day year, non End Of Month convention. Used when the pay date falls on the last day in one month, but not in another (ex. the bond pays March 30 and September 30).</t>
  </si>
  <si>
    <t>30/ACT - 30/ACT - 30 day month/Actual day year.</t>
  </si>
  <si>
    <t>30/ACT N-EOM - 30/ACT NON-EOM - 30 day month/Actual day year, non End Of Month convention. Used when the pay date falls on the last day in one month, but not in another (ex. the bond pays March 30 and September 30).</t>
  </si>
  <si>
    <t>30E/360 - 30E/360 - Applicable for European Securities that recognize Leap Year</t>
  </si>
  <si>
    <t>30S/360 - 30S/360 - Applicable for German Securities that recognize Leap Year</t>
  </si>
  <si>
    <t>ACT/360(102) - ACT/360 - Actual day month/360 day year, adjusted for next business day.</t>
  </si>
  <si>
    <t>ACT/360 - ACT/360 - Actual day month/360 day year.</t>
  </si>
  <si>
    <t>ACT/360 NOM - ACT/360 NOM - Actual day month/360 day year. For nominal(NOM), pay date is not ajusted for business day when accrued interest is calculated.</t>
  </si>
  <si>
    <t>ACT/360 N-EOM - ACT/360 NON-EOM - Actual day month/360 day year, non End Of Month convention. Used when the pay date falls on the last day in one month, but not in another (ex. the bond pays March 30 and September 30).</t>
  </si>
  <si>
    <t>ACT/364 - ACT/364 - Actual day month/364 day year</t>
  </si>
  <si>
    <t>30 - ACT/364 NON-EOM</t>
  </si>
  <si>
    <t>ACT/365(103) - ACT/365 - Actual day month/365 day year, adjusted for next business day.</t>
  </si>
  <si>
    <t>ACT/365 - ACT/365 - Actual day month/365 day year.</t>
  </si>
  <si>
    <t>ACT/365 NOM - ACT/365 - Actual number of days, 365 days a year. For Nominal, pay date is not adjusted for business day when accrued interest is calculated.</t>
  </si>
  <si>
    <t>ACT/365 N-EOM - ACT/365 NON-EOM - Actual day month/365 day year, non End Of Month convention. Used when the pay date falls on the last day in one month, but not in another (ex. the bond pays March 30 and September 30).</t>
  </si>
  <si>
    <t>ACT/365L - ACT/365L - The number of days/year used depends on the coupon frequency and whether a leap year is involved</t>
  </si>
  <si>
    <t>ACT/ACT(101) - ACT/ACT - Actual day month/Actual day year, adjusted for next business day.</t>
  </si>
  <si>
    <t>ACT/ACT - ACT/ACT - Actual day month/Actual day year.</t>
  </si>
  <si>
    <t>ACT/ACT NOM - ACT/ACT NOM - Actual day month/Actual day year. For nominal(NOM), pay date is not ajusted for business day when accrued interest is calculated.</t>
  </si>
  <si>
    <t>ACT/ACT N-EOM - ACT/ACT NON-EOM - Actual day month/Actual day year, non End Of Month convention - used when the pay date falls on the last day in one month, but not in another (ex. the bond pays March 30 and September 30).</t>
  </si>
  <si>
    <t>ACT/366 - ACTUAL DAYS /366 DTC WILL TRANSLATE ACTUAL DATE WHEN DATED DATE FALSL ON LEAP YEAR</t>
  </si>
  <si>
    <t>AFB ACT/ACT - AFB or "euro" method uses only one denominator (either 365 or 366), depending on whether February 29 is included or not in the reference period.</t>
  </si>
  <si>
    <t>AFB ACT/ACT NOM - AFB or "euro" method uses only one denominator (either 365 or 366), depending on whether February 29 is included or not in the reference period.For Nominal day count, pay date is not adjusted for business day when accrued interest is calculated</t>
  </si>
  <si>
    <t>BUS DAYS/252 - BUS DAYS/252</t>
  </si>
  <si>
    <t>BUS DAYS/252 N-EOM - BUS DAYS/252 N-EOM</t>
  </si>
  <si>
    <t>BUS/252 - BUS/252 - Working Days/252</t>
  </si>
  <si>
    <t>DTC/IAM/CP - DTC INCOME AT MATURITY COMM PAPER FORMULA</t>
  </si>
  <si>
    <t>GERMAN 30/360 - GERMAN 30/360</t>
  </si>
  <si>
    <t>GER: 30/360 NON-EOM - GERMAN 30/360 NON-EOM</t>
  </si>
  <si>
    <t>ISDA ACT/ACT - ISDA or "historical" method divides the period in question in two parts, effectively making interest accrued in a single day in the 365-day year worthier than the same in the 366-day year.</t>
  </si>
  <si>
    <t>ISDA ACT/ACT NOM - ISDA or "historical" method divides the period in question in two parts, effectively making interest accrued in a single day in the 365-day year worthier than the same in the 366-day year. For nominal(NOM), pay date is not adjusted for business day w</t>
  </si>
  <si>
    <t>ISMA ACT/ACT - ISMA (International Securities Market Association) treats the 31st day of a month the same as the 30th.</t>
  </si>
  <si>
    <t>ISMA ACT/ACT NOM - ISMA (International Securities Market Association) treats the 31st day of a month the same as the 30th. For Nominal day count, pay date is not adjusted for business day when accrued interest is calculated.</t>
  </si>
  <si>
    <t>ISMA-30/360 - ISMA-30/360 - 30 day month/360 day year, follows the International Securities Marketing Association Standards, treats the 31st of the month as the 30th.</t>
  </si>
  <si>
    <t>ISMA-30/360 N-EOM - ISMA-30/360 NON-EOM - 30 day month/360 day year, follows the Intl Securities Marketing Association Standards, treats the 31st of the month as the 30th, non End Of Month (used when the pay date falls on the last day in one month, but not in another).</t>
  </si>
  <si>
    <t>ISMA-30/365 - ISMA-30/365 - 30 day month/365 day year, follows the International Securities Marketing Association Standards, treats the 31st of the month as the 30th</t>
  </si>
  <si>
    <t>ISMA-30/365 N-EOM - ISMA-30/365 NON-EOM - 30 day month/365 day year, follows the Intl Securities Marketing Association Standards, treats the 31st of the month as the 30th, non End Of Month (used when the pay date falls on the last day in one month, but not in another).</t>
  </si>
  <si>
    <t>ISMA-30/ACT - ISMA-30/ACT - 30 day month/Actual day year, follows the International Securities Marketing Association Standards, treats the 31st of the month as the 30th.</t>
  </si>
  <si>
    <t>ISMA-30/ACT N-EOM - ISMA-30/ACT NON-EOM - 30 day month/Act day year, follows the Intl Securities Marketing Association Standards, treats the 31st of the month as the 30th, non End Of Month (used when the pay date falls on the last day in one month, but not in another).</t>
  </si>
  <si>
    <t>NL/360 - NL/360 - Actual day month /360 day year - no leap convention (in leap years, February 29th is not counted in the numerator).</t>
  </si>
  <si>
    <t>NL/360 N-EOM - NL/360 NON-EOM - Actual day month /360 day year - no leap (in leap years, February 29th is not counted in the numerator), non End Of Month (used when the pay date falls on the last day in one month, but not in another).</t>
  </si>
  <si>
    <t>NL/365 - NL/365 - Actual day month /365 day year - no leap convention (in leap years, February 29th is not counted in the numerator).</t>
  </si>
  <si>
    <t>NL/365 N-EOM - NL/365 NON-EOM - Actual day month /365 day year - no leap (in leap years, February 29th is not counted in the numerator), non End Of Month (used when the pay date falls on the last day in one month, but not in another).</t>
  </si>
  <si>
    <t>NL/ACT - NL/ACT - Actual day month /Act day year - no leap convention (in leap years, February 29th is not counted in the numerator).</t>
  </si>
  <si>
    <t>NL/ACT N-EOM - NL/ACT NON-EOM - Actual day month/Actual day year - no leap (in leap years, February 29th is not counted in the numerator), non End Of Month (used when the pay date falls on the last day in one month, but not in another).</t>
  </si>
  <si>
    <t>NLA/360 - NLA/360 - No Leap/360</t>
  </si>
  <si>
    <t>NOT/AVL - NOT/AVL - Not available</t>
  </si>
  <si>
    <t>RBABB - RBABB - Reserve Bank of Australia Basis</t>
  </si>
  <si>
    <t>US MUNI: 30/360 - US MUNI: 30/360</t>
  </si>
  <si>
    <t>US MUNI:30/360 N-EOM - US MUNI: 30/360 NON-EOM</t>
  </si>
  <si>
    <t>T-BILL - Used for T-Bills by the Citi Indices</t>
  </si>
  <si>
    <t>H3:I56</t>
  </si>
  <si>
    <t>IsAgencyBacked is applicable only for AssetClass:
 'MBS','CMO','CORP where SecTypeLevel 1= ABS'</t>
  </si>
  <si>
    <t>Float Pay Day</t>
  </si>
  <si>
    <t>Stepup / down coupon /date schedule</t>
  </si>
  <si>
    <t>StepDate / StepRate</t>
  </si>
  <si>
    <t xml:space="preserve">Stepup Date/Coupon rate </t>
  </si>
  <si>
    <t xml:space="preserve">Spot Days of the bond </t>
  </si>
  <si>
    <t>StaticDaysToSettle</t>
  </si>
  <si>
    <t>Spot</t>
  </si>
  <si>
    <t xml:space="preserve">S&amp;P Rating </t>
  </si>
  <si>
    <t xml:space="preserve">SMCP Code </t>
  </si>
  <si>
    <t>SMCP Code</t>
  </si>
  <si>
    <t xml:space="preserve">Dates on which the outstanding notional will be reduced by the amount </t>
  </si>
  <si>
    <t>SinkDate</t>
  </si>
  <si>
    <t>SinkDates</t>
  </si>
  <si>
    <t>Amounts by which the outstanding notional will be reduced on the dates above</t>
  </si>
  <si>
    <t>SinkAmount</t>
  </si>
  <si>
    <t>SinkAmounts</t>
  </si>
  <si>
    <t>A description of the type of security level 1</t>
  </si>
  <si>
    <t>Security Type Level 1</t>
  </si>
  <si>
    <r>
      <t>Description of Risk Security Type Level 7</t>
    </r>
    <r>
      <rPr>
        <sz val="11"/>
        <rFont val="Calibri"/>
        <family val="2"/>
      </rPr>
      <t>. 
Consult Basel II schema. N/A if not applicable</t>
    </r>
  </si>
  <si>
    <t>Risk Sec Type Level 7</t>
  </si>
  <si>
    <r>
      <t>Description of Risk Security Type Level 6</t>
    </r>
    <r>
      <rPr>
        <sz val="11"/>
        <rFont val="Calibri"/>
        <family val="2"/>
      </rPr>
      <t>. 
Consult Basel II schema. N/A if not applicable</t>
    </r>
  </si>
  <si>
    <t>Risk Sec Type Level 6</t>
  </si>
  <si>
    <r>
      <t xml:space="preserve">Description of Risk Security Type Level </t>
    </r>
    <r>
      <rPr>
        <sz val="11"/>
        <rFont val="Calibri"/>
        <family val="2"/>
      </rPr>
      <t>5. 
Consult Basel II schema. N/A if not applicable</t>
    </r>
  </si>
  <si>
    <t>Risk Sec Type Level 5</t>
  </si>
  <si>
    <r>
      <t xml:space="preserve">Description of Risk Security Type Level </t>
    </r>
    <r>
      <rPr>
        <sz val="11"/>
        <rFont val="Calibri"/>
        <family val="2"/>
      </rPr>
      <t>4. 
Consult Basel II schema. N/A if not applicable</t>
    </r>
  </si>
  <si>
    <t>Risk Sec Type Level 4</t>
  </si>
  <si>
    <r>
      <t xml:space="preserve">Description of Risk Security Type Level </t>
    </r>
    <r>
      <rPr>
        <sz val="11"/>
        <rFont val="Calibri"/>
        <family val="2"/>
      </rPr>
      <t xml:space="preserve">3
Consult Basel II schema. </t>
    </r>
  </si>
  <si>
    <t>Risk Sec Type Level 3</t>
  </si>
  <si>
    <r>
      <t xml:space="preserve">Description of Risk Security Type Level </t>
    </r>
    <r>
      <rPr>
        <sz val="11"/>
        <rFont val="Calibri"/>
        <family val="2"/>
      </rPr>
      <t xml:space="preserve">2
Consult Basel II schema. </t>
    </r>
  </si>
  <si>
    <t>Risk Sec Type Level 2</t>
  </si>
  <si>
    <t xml:space="preserve">Description of Risk Security Type Level 1
Consult Basel II schema. </t>
  </si>
  <si>
    <t>Risk Sec Type Level 1</t>
  </si>
  <si>
    <t>Applicable only for Avg Couopn FRN. This will be used in Mexico</t>
  </si>
  <si>
    <t>ResetFreqencyCode</t>
  </si>
  <si>
    <t>ResetFrequency</t>
  </si>
  <si>
    <t>F-Following/Mf-Modified Following/P-Preceeding/MP-ModifiedPreeceding</t>
  </si>
  <si>
    <t>ResetCouponConvention</t>
  </si>
  <si>
    <t>Sched.BusDay (eD- Bus. Day)</t>
  </si>
  <si>
    <t>Inflation Curve Name (Outside Banamex)</t>
  </si>
  <si>
    <t>ReferenceIndex</t>
  </si>
  <si>
    <t xml:space="preserve">IL Curve </t>
  </si>
  <si>
    <t>ProceedsUse
(Applicable only for 'MUNI')</t>
  </si>
  <si>
    <t>Outstanding Amount of the Bond</t>
  </si>
  <si>
    <t>PrincipalAmountOutstanding</t>
  </si>
  <si>
    <t>Outstanding Amount</t>
  </si>
  <si>
    <t>PrincipalAmountIssued</t>
  </si>
  <si>
    <t xml:space="preserve">Issue Size </t>
  </si>
  <si>
    <t>Issue Price of the security</t>
  </si>
  <si>
    <t>PriceAtIssuance</t>
  </si>
  <si>
    <t xml:space="preserve">Issue Price </t>
  </si>
  <si>
    <t xml:space="preserve">Face Value of the bond </t>
  </si>
  <si>
    <t>ParValue</t>
  </si>
  <si>
    <t xml:space="preserve">Piece Size </t>
  </si>
  <si>
    <t xml:space="preserve">Moody Rating </t>
  </si>
  <si>
    <t>Number of days/Bdays/weeks/etc. between option expiry/notification and its effective date</t>
  </si>
  <si>
    <t>MinimumPutDaysNotice / MinimumCallDaysNotice</t>
  </si>
  <si>
    <t>NotifyLength</t>
  </si>
  <si>
    <t>Displays security's structure (ex. putable, callable, sinkable, extendable etc.).</t>
  </si>
  <si>
    <t>Maturity Type</t>
  </si>
  <si>
    <t>The classification of securities by market of issue characteristics such as government, corporate, money market, equity etc.</t>
  </si>
  <si>
    <t>Market Sector Description</t>
  </si>
  <si>
    <t xml:space="preserve">Issue Date </t>
  </si>
  <si>
    <t>IssueDate</t>
  </si>
  <si>
    <t>Dated</t>
  </si>
  <si>
    <t>Bond CCY</t>
  </si>
  <si>
    <t>IssueCurrency</t>
  </si>
  <si>
    <t xml:space="preserve">Currency </t>
  </si>
  <si>
    <t>Identifies current market status of the security (active, defaulted etc.)</t>
  </si>
  <si>
    <t>To Identify Stepup /Stepdown bond</t>
  </si>
  <si>
    <t>IsStep</t>
  </si>
  <si>
    <t>Indicates if this security was issued under a SEC rule that permits large institutions to trade these positions among themselves</t>
  </si>
  <si>
    <t>IsRule144A</t>
  </si>
  <si>
    <t>Indicates if this bond is issued under Regulation S. If so, these may not be offered, sold or delivered within the U.S. except under special exceptions</t>
  </si>
  <si>
    <t>IsRegS</t>
  </si>
  <si>
    <t>OnDate, OnAndAfterDate, OnAndAfterLastDate, OnAndBeforeDate</t>
  </si>
  <si>
    <t>Indicates whether the product is a private placement security</t>
  </si>
  <si>
    <t>IsPrivatePlacement</t>
  </si>
  <si>
    <t>Nonredeemable bond with no maturity date that pays regular interest rates indefinitely</t>
  </si>
  <si>
    <t>IsPerpetual</t>
  </si>
  <si>
    <t>Market ISIN</t>
  </si>
  <si>
    <t>ISN</t>
  </si>
  <si>
    <t xml:space="preserve">Alternate ISIN </t>
  </si>
  <si>
    <t xml:space="preserve">To Identify Inflation Bond </t>
  </si>
  <si>
    <t>IsInflationLinked</t>
  </si>
  <si>
    <t>IsInflation</t>
  </si>
  <si>
    <t>To Identify Floater</t>
  </si>
  <si>
    <t>IsFloater</t>
  </si>
  <si>
    <t>IsFRN</t>
  </si>
  <si>
    <t>Indicates if coupon type is Fixed. Returns Y or N</t>
  </si>
  <si>
    <t>IsFixed</t>
  </si>
  <si>
    <t xml:space="preserve">To Identify Dual Ccy Bond </t>
  </si>
  <si>
    <t>IsDualCurrency</t>
  </si>
  <si>
    <t>IsDualCCY</t>
  </si>
  <si>
    <t>Indicates if the security is a convertible bond</t>
  </si>
  <si>
    <t>IsConvertible</t>
  </si>
  <si>
    <t>Type of Option - Call/Put</t>
  </si>
  <si>
    <t>IsCallable / IsPutable</t>
  </si>
  <si>
    <t>Security is backed by an Agency, which is affiliated with, but separate from, the government. It can be various securities issued by government-sponsored and government-owned corporations that--strictly speaking--are not actually a part of the U.S. government</t>
  </si>
  <si>
    <t xml:space="preserve">IsAgencyBacked 
(Applicable only for AssetClass: 'MBS','CMO','CORP where SecTypeLevel 1= ABS') </t>
  </si>
  <si>
    <t>Institution Sub-type, State (ST), Local (LOC)</t>
  </si>
  <si>
    <t>InstitutionSubType
(Applicable only for 'MUNI')</t>
  </si>
  <si>
    <t>Specific Date on which coupon date is falling</t>
  </si>
  <si>
    <t>FloatPayDay</t>
  </si>
  <si>
    <t>Sched.Roll (eD- Date Rule)</t>
  </si>
  <si>
    <t>Floater Coupon Fixing Lag</t>
  </si>
  <si>
    <t>FloatDaysPrior</t>
  </si>
  <si>
    <t>Fixing Lag</t>
  </si>
  <si>
    <t>FITCH Agency Rating</t>
  </si>
  <si>
    <t xml:space="preserve">Fitch Rating </t>
  </si>
  <si>
    <t xml:space="preserve">First Coupon Date </t>
  </si>
  <si>
    <t>FirstPayDate</t>
  </si>
  <si>
    <t>FstCouponDate</t>
  </si>
  <si>
    <t>Ex-Divident Period</t>
  </si>
  <si>
    <t>ExDividendDays</t>
  </si>
  <si>
    <t>ExDiv</t>
  </si>
  <si>
    <t>Bond Description</t>
  </si>
  <si>
    <t xml:space="preserve">Bond Name </t>
  </si>
  <si>
    <t>The date from which accrued interest is calculated on new security and other debt instruments</t>
  </si>
  <si>
    <t>Dated Date</t>
  </si>
  <si>
    <t>Issue Spread</t>
  </si>
  <si>
    <t>CurrentPeriodSpread</t>
  </si>
  <si>
    <t>Spread (BP)</t>
  </si>
  <si>
    <t xml:space="preserve">Maturity Date </t>
  </si>
  <si>
    <t>CurrentMaturityDate</t>
  </si>
  <si>
    <t>Maturity</t>
  </si>
  <si>
    <t xml:space="preserve">Coupon Rate Multiplier </t>
  </si>
  <si>
    <t>CurrentFormulaMultiplier</t>
  </si>
  <si>
    <t>FloaterGearing</t>
  </si>
  <si>
    <t xml:space="preserve">FRN - Reset Curve Name </t>
  </si>
  <si>
    <t>CurrentBaseIndex</t>
  </si>
  <si>
    <t>FRN Index</t>
  </si>
  <si>
    <t>Market Cusip</t>
  </si>
  <si>
    <t>CUSIP</t>
  </si>
  <si>
    <t>Annual Coupon rate</t>
  </si>
  <si>
    <t>CouponDividendRate</t>
  </si>
  <si>
    <t xml:space="preserve">Coupon </t>
  </si>
  <si>
    <t>Coupon Frequency</t>
  </si>
  <si>
    <t>CouponDividendFrequency</t>
  </si>
  <si>
    <t>Period</t>
  </si>
  <si>
    <t xml:space="preserve">Deliverable CCY for Dual CCY Bond. Indicator to identify Dual CCY Bond  </t>
  </si>
  <si>
    <t xml:space="preserve">Other CCY </t>
  </si>
  <si>
    <t xml:space="preserve">Full Country Name </t>
  </si>
  <si>
    <t>Country</t>
  </si>
  <si>
    <t xml:space="preserve">Country </t>
  </si>
  <si>
    <t>Coded value for the nature of what underlies or backs the liability the security represents</t>
  </si>
  <si>
    <t>CollateralType</t>
  </si>
  <si>
    <t xml:space="preserve">Option Start Date </t>
  </si>
  <si>
    <t>CallStartDate / PutStartDate</t>
  </si>
  <si>
    <t>Start</t>
  </si>
  <si>
    <t>Call/Put Prices</t>
  </si>
  <si>
    <t>CallPrice / PutPrice</t>
  </si>
  <si>
    <t>Prices</t>
  </si>
  <si>
    <t xml:space="preserve">Option End Date </t>
  </si>
  <si>
    <t>CallEndDate / PutEndDate</t>
  </si>
  <si>
    <t>End</t>
  </si>
  <si>
    <t>One of: Days, Bdays, Weeks, Months, Years</t>
  </si>
  <si>
    <t>BusinessDaysIndicator (not available for put)</t>
  </si>
  <si>
    <t>NotifyType</t>
  </si>
  <si>
    <t xml:space="preserve">• Pick up the XrefValue corresponding to XrefCode = “BBT” from SMC
• If this value is blank for “BBT”, we will pick up  XrefValue corresponding to XrefCode = “TCK” from SMC
• If both are blank, we will pick up the first character from SMC field – “Product.Description”
</t>
  </si>
  <si>
    <t>BBT &amp; TCK</t>
  </si>
  <si>
    <t>BondType</t>
  </si>
  <si>
    <t xml:space="preserve">BBG Calc type </t>
  </si>
  <si>
    <t>BBCalcTypeMnemonic</t>
  </si>
  <si>
    <t xml:space="preserve">DP Calc Type </t>
  </si>
  <si>
    <t>Bond Issue date Inflation Index Value</t>
  </si>
  <si>
    <t>BaseCPI</t>
  </si>
  <si>
    <t xml:space="preserve">Issue Index rate </t>
  </si>
  <si>
    <t>Coupon Cash Flow &amp;&amp; Coupon Accrual Rounding</t>
  </si>
  <si>
    <t>AccrualMethod</t>
  </si>
  <si>
    <t>Coupon Calc Dcc</t>
  </si>
  <si>
    <t xml:space="preserve">Description </t>
  </si>
  <si>
    <t xml:space="preserve">SMC Field </t>
  </si>
  <si>
    <t>eDealer Field Name</t>
  </si>
  <si>
    <t>A foreign bond denominated in U.S. dollars and registered with the Securities and Exchange Commission for sale in the United States.</t>
  </si>
  <si>
    <t>Corporate VRDO in CP Mode</t>
  </si>
  <si>
    <t>A U.S. issuer, issuing in anything other than U.S. dollars,in the U.S. capital market.</t>
  </si>
  <si>
    <t>A U.S. issuer, issuing in U.S. dollars, in the U.S. capital market.</t>
  </si>
  <si>
    <t>A yen-denominated debt instrument traded in the Japanese domestic market but issued by a non-Japanese entity.</t>
  </si>
  <si>
    <t>Used to describe an issue that has been created as a result of an exchange or defaulting of domestic issue. Used primarily for emerging market securities.</t>
  </si>
  <si>
    <t>An issue in any currency issued on a private basis.</t>
  </si>
  <si>
    <t>Medium term note</t>
  </si>
  <si>
    <t>Any issuer, issuing in any currency, offered in all markets simultaneously.</t>
  </si>
  <si>
    <t>A bond denominated in euros or one of the 12 in currencies, issued by a public or private entity established and registered in a country belonging to the European Monetary Union. In addition, three issue types</t>
  </si>
  <si>
    <t>An international issue that is issued in a currency other than U.S. dollars.</t>
  </si>
  <si>
    <t>A Eurobond issued under a MTN program.</t>
  </si>
  <si>
    <t>A U.S. dollar denominated issue offered in Europe.</t>
  </si>
  <si>
    <t>Equity linked debt security whose value is linked to the performance of another, unrelated to company's common stock.</t>
  </si>
  <si>
    <t>ELKS</t>
  </si>
  <si>
    <t>Medium Term Note that is issued locally and pays in local currency. For example. issued in US and pays in USD.</t>
  </si>
  <si>
    <t>United States Government Securities. Any debt issued by the U.S.Government such as Treasuries and Series EE and HH savings bonds, as opposed to government agency issues.</t>
  </si>
  <si>
    <t>Municipal VRDO in CP Mode</t>
  </si>
  <si>
    <t>Bond that is issued locally and pays in local currency. For example, issued in US and pays in USD</t>
  </si>
  <si>
    <t>Discount note</t>
  </si>
  <si>
    <t>U.K. government medium and long term securities issued in sterling, in the U.K. domestic market</t>
  </si>
  <si>
    <t>Money Market instrument where term of the deposit is fixed. Penalty is paid if deposit is withdran before the specified term.</t>
  </si>
  <si>
    <t>Whole Loan CMO Accrual bond Bond that accretes interest which is added to the outstanding principal balance</t>
  </si>
  <si>
    <t>Certificate of deposit</t>
  </si>
  <si>
    <t>Repurchase Agreement</t>
  </si>
  <si>
    <t>Principal only Whole Loan CMO Bond that does not receive any interestPrvt</t>
  </si>
  <si>
    <t>Core Capital Deferred Shares</t>
  </si>
  <si>
    <t>Whole Loan CMO whose attributes are other than IO, PO, INV, FLT, or Z</t>
  </si>
  <si>
    <t>A Canadian issuer, issuing in Canadian dollars, in the Canadian domestic market</t>
  </si>
  <si>
    <t>Market for short term debt instruments that have the elements of safety and liquidity.</t>
  </si>
  <si>
    <t>Whole Loan CMO Inverse floater Bond whose coupon resets periodically (similar to floaters) based on a predetermined index, with an optional floor and/or cap</t>
  </si>
  <si>
    <t>A non-U.K. issuer, issuing in sterling in the U.K. domestic market</t>
  </si>
  <si>
    <t>Interest only Whole Loan CMO Bond that receives some or all of the interest portion of the underlying collateral and little or no principal.</t>
  </si>
  <si>
    <t>An Australian issuer, issuing in Australian dollars, in the Australian capital market.</t>
  </si>
  <si>
    <t>Whole Loan CMO floater Bond whose coupon resets periodically based upon a pre-determined index</t>
  </si>
  <si>
    <t>Bonds or notes issued by a corporation(gov or pvt), backed by Synthetic Debt</t>
  </si>
  <si>
    <t>Deposite note</t>
  </si>
  <si>
    <t>CMO Accrual bond Bond that accretes interest which is added to the outstanding principal balance</t>
  </si>
  <si>
    <t>Bonds or notes issued by a corporation(gov or pvt), backed by other debt.</t>
  </si>
  <si>
    <t>Preferred stock in CP mode</t>
  </si>
  <si>
    <t>Principal only CMO Bond that does not receive any interestPrvt</t>
  </si>
  <si>
    <t>Future on a stock or ratio.</t>
  </si>
  <si>
    <t>Muni Commercial paper</t>
  </si>
  <si>
    <t>CMO whose attributes are other than IO, PO, INV, FLT, or Z</t>
  </si>
  <si>
    <t>New corporate commercial paper</t>
  </si>
  <si>
    <t>Issuances for project or enterprise financings where revenues are generated by the operating projects.</t>
  </si>
  <si>
    <t>CMO Inverse floater Bond whose coupon resets periodically (similar to floaters) based on a predetermined index, with an optional floor and/or cap</t>
  </si>
  <si>
    <t>Bonds or notes issued by a corporation(gov or pvt), backed by home loans.</t>
  </si>
  <si>
    <t>US Mortgage Pool</t>
  </si>
  <si>
    <t>Short term obligations ranging from 2-270 days issued by banks, corporations and other borrowers to investors with temporarily idle cash.</t>
  </si>
  <si>
    <t>Municipal Note - borrowings by states, local governments, and special jurisdictions</t>
  </si>
  <si>
    <t>Interest only CMO Bond that receives some or all of the interest portion of the underlying collateral and little or no principal.</t>
  </si>
  <si>
    <t>Bonds or notes issued by a corporation(gov or pvt), backed by CASHFLOW</t>
  </si>
  <si>
    <t>A loan is a type of debt. It is a written agreement between a borrower and a creditor outlines the terms of payment, interest rates if any and the amount loaned and the time frame within which it should be repaid.</t>
  </si>
  <si>
    <t>To Be Announced Mortgage Pool</t>
  </si>
  <si>
    <t>Debt obligation of a state or local government entity, whose issuance must be approved by a referendum or an electoral body.</t>
  </si>
  <si>
    <t>CMO floater Bond whose coupon resets periodically based upon a pre-determined index</t>
  </si>
  <si>
    <t>Bonds or notes issued by a corporation(gov or pvt), backed by credit cards.</t>
  </si>
  <si>
    <t>A loan where a payment of the entire principal of the loan, and sometimes the principal and interest, is due at the end of the loan term. (balloon payment)</t>
  </si>
  <si>
    <t>Small Business Administration Mortgage Pool</t>
  </si>
  <si>
    <t>Bankers acceptance</t>
  </si>
  <si>
    <t>Debt obligation of a state or local government entity, secured by the issuers taxing power.</t>
  </si>
  <si>
    <t>Commercial Mortgage-Backed Securities.</t>
  </si>
  <si>
    <t>Bonds or notes issued by a corporation(gov or pvt), backed by automobile loans.</t>
  </si>
  <si>
    <t>Advised/Line of Credit</t>
  </si>
  <si>
    <t>Canadian Mortgage Pool</t>
  </si>
  <si>
    <t>Bank note</t>
  </si>
  <si>
    <t>A municipal general obligation bond in which the cash flows are pledged by two distinct and different entities.</t>
  </si>
  <si>
    <t>CMO    </t>
  </si>
  <si>
    <t>CORP    </t>
  </si>
  <si>
    <t>GOVT    </t>
  </si>
  <si>
    <t>LOAN    </t>
  </si>
  <si>
    <t>MBS    </t>
  </si>
  <si>
    <t>MONEY-MKT    </t>
  </si>
  <si>
    <t>MUNI    </t>
  </si>
  <si>
    <t>Wholeloan</t>
  </si>
  <si>
    <t>WHOL</t>
  </si>
  <si>
    <t>Wholeloan balloon</t>
  </si>
  <si>
    <t>WHBl</t>
  </si>
  <si>
    <t>Wholeloan -ARM</t>
  </si>
  <si>
    <t>WHAR</t>
  </si>
  <si>
    <t>Wholeloan 7yr balloon</t>
  </si>
  <si>
    <t>WH7B</t>
  </si>
  <si>
    <t>Wholeloan 5yr balloon</t>
  </si>
  <si>
    <t>WH5B</t>
  </si>
  <si>
    <t>Wholeloan 30 year relocation</t>
  </si>
  <si>
    <t>WH3R</t>
  </si>
  <si>
    <t>Wholeloan 30 year</t>
  </si>
  <si>
    <t>WH30</t>
  </si>
  <si>
    <t>Wholeloan 25 year</t>
  </si>
  <si>
    <t>WH25</t>
  </si>
  <si>
    <t>Wholeloan 20 year</t>
  </si>
  <si>
    <t>WH20</t>
  </si>
  <si>
    <t>Wholeloan 15 year relocation</t>
  </si>
  <si>
    <t>WH1R</t>
  </si>
  <si>
    <t>Wholeloan 15 balloon</t>
  </si>
  <si>
    <t>WH1B</t>
  </si>
  <si>
    <t>Wholeloan 15 year</t>
  </si>
  <si>
    <t>WH15</t>
  </si>
  <si>
    <t>Wholeloan 10 year</t>
  </si>
  <si>
    <t>WH10</t>
  </si>
  <si>
    <t>Veterns administration loans</t>
  </si>
  <si>
    <t>UTL</t>
  </si>
  <si>
    <t>Unsecured</t>
  </si>
  <si>
    <t>USE</t>
  </si>
  <si>
    <t>TAX LIENS</t>
  </si>
  <si>
    <t>TXL</t>
  </si>
  <si>
    <t>TRADE</t>
  </si>
  <si>
    <t>TRD</t>
  </si>
  <si>
    <t>SWAP TRUST</t>
  </si>
  <si>
    <t>SWT</t>
  </si>
  <si>
    <t>STUDENTS</t>
  </si>
  <si>
    <t>STU</t>
  </si>
  <si>
    <t>STRIPS</t>
  </si>
  <si>
    <t>STP</t>
  </si>
  <si>
    <t>STRUCT NOTE</t>
  </si>
  <si>
    <t>STN</t>
  </si>
  <si>
    <t>CMBS-SASB</t>
  </si>
  <si>
    <t>SAS</t>
  </si>
  <si>
    <t>CMBS-RTC</t>
  </si>
  <si>
    <t>RTC</t>
  </si>
  <si>
    <t>Non-Comforming Dry</t>
  </si>
  <si>
    <t>RND</t>
  </si>
  <si>
    <t>Residential MBS</t>
  </si>
  <si>
    <t>RMBN</t>
  </si>
  <si>
    <t>RMBM</t>
  </si>
  <si>
    <t>RMBB</t>
  </si>
  <si>
    <t>RAILCARS</t>
  </si>
  <si>
    <t>RLC</t>
  </si>
  <si>
    <t>RV</t>
  </si>
  <si>
    <t>REV</t>
  </si>
  <si>
    <t>re-SEC</t>
  </si>
  <si>
    <t>CMBS-REREMIC</t>
  </si>
  <si>
    <t>RER</t>
  </si>
  <si>
    <t>Reremic</t>
  </si>
  <si>
    <t>REM</t>
  </si>
  <si>
    <t>REDEMPT BNDS</t>
  </si>
  <si>
    <t>RED</t>
  </si>
  <si>
    <t>Retail Property</t>
  </si>
  <si>
    <t>REAL</t>
  </si>
  <si>
    <t>PYMT RIGHTS</t>
  </si>
  <si>
    <t>PRT</t>
  </si>
  <si>
    <t>PLANES</t>
  </si>
  <si>
    <t>CMBS-PORTFOLIO</t>
  </si>
  <si>
    <t>PFL</t>
  </si>
  <si>
    <t>OIL</t>
  </si>
  <si>
    <t>Office Space/Building</t>
  </si>
  <si>
    <t>OFFC</t>
  </si>
  <si>
    <t>Nursing home</t>
  </si>
  <si>
    <t>NURS</t>
  </si>
  <si>
    <t>Multi family</t>
  </si>
  <si>
    <t>Mobile home</t>
  </si>
  <si>
    <t>MOBH</t>
  </si>
  <si>
    <t>Manufactured Housing Loans</t>
  </si>
  <si>
    <t>MHM</t>
  </si>
  <si>
    <t>MUNI CMO</t>
  </si>
  <si>
    <t>MCM</t>
  </si>
  <si>
    <t>MCFO</t>
  </si>
  <si>
    <t>MCF</t>
  </si>
  <si>
    <t>CMBS-LRG/OTHR FLT</t>
  </si>
  <si>
    <t>LRG</t>
  </si>
  <si>
    <t>LPT</t>
  </si>
  <si>
    <t>Japanese Government Housing Loan Corp RMBS</t>
  </si>
  <si>
    <t>KOKO</t>
  </si>
  <si>
    <t>CMBS-JAPAN</t>
  </si>
  <si>
    <t>JAP</t>
  </si>
  <si>
    <t>Industrial Facilities &amp; Warehouses</t>
  </si>
  <si>
    <t>INDS</t>
  </si>
  <si>
    <t>Hotel</t>
  </si>
  <si>
    <t>HOTE</t>
  </si>
  <si>
    <t>Hospital</t>
  </si>
  <si>
    <t>HOSP</t>
  </si>
  <si>
    <t>HLTHCARE</t>
  </si>
  <si>
    <t>HLT</t>
  </si>
  <si>
    <t>HOME IMP</t>
  </si>
  <si>
    <t>HIM</t>
  </si>
  <si>
    <t>A certificate that represents an option to buy a certain number of stock shares at specific price before a predetermined date.</t>
  </si>
  <si>
    <t>HOME EQTY</t>
  </si>
  <si>
    <t>HEQ</t>
  </si>
  <si>
    <t>The Security is backed by U.S. Govt Securities and Unknown Collateral, but % of U.S. Govt Securities is higher.</t>
  </si>
  <si>
    <t>GNMA I</t>
  </si>
  <si>
    <t>US Govt Securities - all bonds issued by the U.S. Treasury or other agencies of the U.S. government.</t>
  </si>
  <si>
    <t>GNMA I 30yr fixed</t>
  </si>
  <si>
    <t>The security is backed by U.S.Govt Securities and other collateral, but % of U.S. Govt Securities is higher.</t>
  </si>
  <si>
    <t>GNMA I multi family project loan</t>
  </si>
  <si>
    <t>A bond whose interest and principal payments are guaranteed by the U.S. government.</t>
  </si>
  <si>
    <t>GNMA I 15yr fixed</t>
  </si>
  <si>
    <t>US Govt Securities - all bonds issued by the U.S. Treasury or other agencies of the U.S. government. The bond is backed by U.S. Govt Securities and Cash, but % of govt. securities is higher.</t>
  </si>
  <si>
    <t>GNMA I gradual payment</t>
  </si>
  <si>
    <t>A security that does not rank lower in priority than other securities when dividends are paid or assets are distributed in liquidation or bankruptcy.</t>
  </si>
  <si>
    <t>GNMA I buy down</t>
  </si>
  <si>
    <t>A bond with an attachment to buy shares, bonds, or other types of securities at a specific price before a predetermined date.</t>
  </si>
  <si>
    <t>A debt obligation with no collateral, and backed only by the debtor's creditworthiness.</t>
  </si>
  <si>
    <t>GNMA II 30yr fixed</t>
  </si>
  <si>
    <t>The security is backed by unknown type of collateral.</t>
  </si>
  <si>
    <t>GNMA II 15yr fixed</t>
  </si>
  <si>
    <t>The security is backed by Unknown Collateral and Cash, but % of Uknown Collateral is higher.</t>
  </si>
  <si>
    <t>GNMA II</t>
  </si>
  <si>
    <t>Treasury bond that can be subdivided into a series of zero-coupon bonds.</t>
  </si>
  <si>
    <t>GNMA II - ARM</t>
  </si>
  <si>
    <t>Zero-coupon Treasury bonds that mature in three months to 29 years and are backed by the full faith and credit of the U.S. Government.</t>
  </si>
  <si>
    <t>Senior unsubordinated. A security that has priority over other bonds in claiming assets and dividends.</t>
  </si>
  <si>
    <t>FOREIGN</t>
  </si>
  <si>
    <t>Senior Unsecured - loans or debt securities that have claim prior to junior obligations and Equity on a corporation's assets in the event of liquidation or bankruptcy not guaranteed by the pledge of a</t>
  </si>
  <si>
    <t>Fannie relocation</t>
  </si>
  <si>
    <t>A security with a lower priority than other securities when dividends are paid or assets are distributed in liquidation or bankruptcy.</t>
  </si>
  <si>
    <t>Fannie prepayment penalty</t>
  </si>
  <si>
    <t>FNPK</t>
  </si>
  <si>
    <t>Fannie Multi family</t>
  </si>
  <si>
    <t>FNMY</t>
  </si>
  <si>
    <t>Senior subordinated notes. Ranks lower in priority than senior debt when dividends are paid or assets are distributed in liquidation or bankruptcy, but ranks higher than junior subordinated debt.</t>
  </si>
  <si>
    <t>Senior subordinated debentures. Ranks lower in priority than senior debt when dividends are paid or assets are distributed in liquidation or bankruptcy, but ranks higher than junior subordinated debt</t>
  </si>
  <si>
    <t>FNML</t>
  </si>
  <si>
    <t>Senior subordinated. Ranks lower in priority than senior debt when dividends are paid or assets are distributed in liquidation or bankruptcy, but ranks higher than junior subordinated debt.</t>
  </si>
  <si>
    <t>FNMI</t>
  </si>
  <si>
    <t>The Senior Secured, a bond for which the issuer has set aside assets or collateral to ensure timely interest and principal payments. Senior Secured has priority over other secured debt of the issuer.</t>
  </si>
  <si>
    <t>FNMF</t>
  </si>
  <si>
    <t>A security that has priority over other securities in claiming assets and dividends.</t>
  </si>
  <si>
    <t>Fannie</t>
  </si>
  <si>
    <t>A note with a lower priority than other securities when dividends are paid or assets are distributed in liquidation or bankruptcy.</t>
  </si>
  <si>
    <t>Fannie &lt;30 level fixed single family IO</t>
  </si>
  <si>
    <t>A bond backed by a mortgage. First mortgage bonds take priority over second mortgage bonds.</t>
  </si>
  <si>
    <t>Non-marketable US Treasury securities sold to state and local governments</t>
  </si>
  <si>
    <t>Fannie veterns administration loans</t>
  </si>
  <si>
    <t>A publicly traded stock company that guarantees securites backed by pools of student loans traded in secondary markets. SLMA's guarantee carries the full faith and credit of the U.S. government.</t>
  </si>
  <si>
    <t>FNGG</t>
  </si>
  <si>
    <t>Senior discount notes. A note offered below face value that has priority over other notes in claiming assets and dividends.</t>
  </si>
  <si>
    <t>A bond for which the issuer has set aside assets as collateral to ensure timely interest and principal payments.</t>
  </si>
  <si>
    <t>Fannie 30/7 balloon</t>
  </si>
  <si>
    <t>A govt agency that provides management advice and govt-guaranteed loans to small businesses. SBA securities are exempt from state and local taxes, but not from federal taxes.</t>
  </si>
  <si>
    <t>Fannie 20yr fixed</t>
  </si>
  <si>
    <t>Bonds that can be subdivided into a series of zero-coupon bonds and issued by the federal agency responsible for issuing up to $40 billion of long-term debt required to finance activities of the Resol</t>
  </si>
  <si>
    <t>Fannie 10yr fixed</t>
  </si>
  <si>
    <t>The federal agency responsible for issuing up to $40 billion of long-term debt required to finance activities of the Resolution Trust Corporation . The principal of REFCORP debt is backed by zero-cou</t>
  </si>
  <si>
    <t>Fannie 30 yr fixed</t>
  </si>
  <si>
    <t>A debt instrument that reflects an interest in a mortgage pool. Monthly payments of principal and interest are passed from debtor to investor through an intermediary.</t>
  </si>
  <si>
    <t>Fannie 15yr fixed</t>
  </si>
  <si>
    <t>A collateral type used for preferreds that were issued both before and after the Securities Act of 1931. (Partial)</t>
  </si>
  <si>
    <t>Fannie -ARM</t>
  </si>
  <si>
    <t>FNA</t>
  </si>
  <si>
    <t>A legally protected term for bonds issued by German banks which are subject to special Pfandbriefe legislation. There are two types of Pfandbriefe (Oeffentliche and Hypotheken) collateralized by loan</t>
  </si>
  <si>
    <t>Fannie 6 month CD</t>
  </si>
  <si>
    <t>FN6C</t>
  </si>
  <si>
    <t>The security is backed by other collateral and U.S.Govt Securities, but % of other collateral is higher.</t>
  </si>
  <si>
    <t>The security is backed by collateral that can not be categorized.</t>
  </si>
  <si>
    <t>FILM</t>
  </si>
  <si>
    <t>FLM</t>
  </si>
  <si>
    <t>The security is backed by two different collaterals that can not be categorized.</t>
  </si>
  <si>
    <t>FHLMC 75Day tiered payment</t>
  </si>
  <si>
    <t>Other - collateral can not be categorized. The security is backed by other collateral and cash, but % of other collateral is higher.</t>
  </si>
  <si>
    <t>FHLMC 75Day multi family</t>
  </si>
  <si>
    <t>FHMF</t>
  </si>
  <si>
    <t>A legal document that is evidence of a debt and that requires payment within a specific time period.</t>
  </si>
  <si>
    <t>Federal Home Loan Mortgage Corporation</t>
  </si>
  <si>
    <t>A security whose cash flows are generated by the pool of mortgages backing the security.</t>
  </si>
  <si>
    <t>FHLMC 75Day 15yr fixed</t>
  </si>
  <si>
    <t>FHCI</t>
  </si>
  <si>
    <t>A security generally issued or guaranteed by a federal agency, that is backed by a pool of mortgages.</t>
  </si>
  <si>
    <t>FHLMC 75Day - ARM</t>
  </si>
  <si>
    <t>Limited guarantee by the local government.</t>
  </si>
  <si>
    <t>FHLMC 75Day</t>
  </si>
  <si>
    <t>Local government guaranty. A bond whose principal and interest payments are guaranteed by a local government, such as a province, city, or town.</t>
  </si>
  <si>
    <t>FHLMC Gold veteran administration loans</t>
  </si>
  <si>
    <t>A contract between two companies in which the first company agrees to ensure that its subsidiary maintains minimum financial standards to protect a future deal between the subsidiary and the second co</t>
  </si>
  <si>
    <t>FHLMC Gold 20yr fixed</t>
  </si>
  <si>
    <t>Junior subordinated debentures. Ranks lower in priority than other securities when dividends are paid or assets are distributed in liquidation or bankruptcy.</t>
  </si>
  <si>
    <t>FHLMC Gold 30/7 balloon</t>
  </si>
  <si>
    <t>Junior subordinated. Ranks lower in priority than other securities when dividends are paid or assets are distributed in liquidation or bankruptcy.</t>
  </si>
  <si>
    <t>FHLMC Gold relocation</t>
  </si>
  <si>
    <t>Has a larger issue size.</t>
  </si>
  <si>
    <t>FHLMC Gold prepayment penalty</t>
  </si>
  <si>
    <t>FGPP</t>
  </si>
  <si>
    <t>Junior debentures - subordinated in priority to other securities when dividends are paid or assets are distributed in liquidation or bankruptcy.</t>
  </si>
  <si>
    <t>FHLMC Gold</t>
  </si>
  <si>
    <t>FGML</t>
  </si>
  <si>
    <t>The insurance or assurance companies that insure the payment of principal and interest on securities. An insurance policy is used for coverage.</t>
  </si>
  <si>
    <t>FGMK</t>
  </si>
  <si>
    <t>Department of Housing and Urban Development.</t>
  </si>
  <si>
    <t>FHLMC Gold 30yr fixed</t>
  </si>
  <si>
    <t>A security issued outside of the US that is guaranteed as part of a liquidity guarantee scheme.</t>
  </si>
  <si>
    <t>General refinanced mortgage. A mortgage loan that is refinanced with another loan.</t>
  </si>
  <si>
    <t>A Govt corporation which supports the housing market. GNMA buys Veterans Administration, Farmer's Home Administration and Federal Housing Administration mortgages, then issues bonds on pools of the m</t>
  </si>
  <si>
    <t>FHLMC Gold IO Fixed / full amortisation</t>
  </si>
  <si>
    <t>Guaranteed by the local government.</t>
  </si>
  <si>
    <t>Bonds that can be subdivided into a seres of zero-coupon bonds and issued by Federal Agency established in 1987 to issue bonds in order to bail out the Federal Savings and Loan Insurance Corporation.</t>
  </si>
  <si>
    <t>FHLMC Gold 30/5 balloon</t>
  </si>
  <si>
    <t>A security secured by a first lien on all of the principal properties and franchises owned by the company.</t>
  </si>
  <si>
    <t>FHLMC Gold 15yr fixed</t>
  </si>
  <si>
    <t>Foreign government guarantee. A bond whose interest and principal payments are guaranteed by a government other than the U.S.</t>
  </si>
  <si>
    <t>Publically owned, govt-sponsored corporation chartered to purchase mortgages from lenders and resell them to investors. Mostly packages mortgages backed by the Federal Housing Administration, but a</t>
  </si>
  <si>
    <t>FACILITIES</t>
  </si>
  <si>
    <t>FAC</t>
  </si>
  <si>
    <t>A long-term debt instrument with the first mortgage on the issuer's property serving as the bond's collateral.</t>
  </si>
  <si>
    <t>CMBS-EURO</t>
  </si>
  <si>
    <t>A system that supplies credit reserves for savings and loans and other mortgage lenders.</t>
  </si>
  <si>
    <t>Default Note</t>
  </si>
  <si>
    <t>DFN</t>
  </si>
  <si>
    <t>An independent federal agency consisting of 12 district banks and their member banks. The system issues debt securities that provide credit to savings and loan institutions and other mortgage lenders</t>
  </si>
  <si>
    <t>CMBS-CTL</t>
  </si>
  <si>
    <t>CTL</t>
  </si>
  <si>
    <t>A unit of the Department of Agriculture which makes loans for community centers, farms and homes in rural areas.</t>
  </si>
  <si>
    <t>Certificate of Deposit</t>
  </si>
  <si>
    <t>Federally sponsored agency that insures lenders against loss on residential mortgages.</t>
  </si>
  <si>
    <t>Single Asset</t>
  </si>
  <si>
    <t>A security issued under the FDIC's Temporary Liquidity Guarantee Program.</t>
  </si>
  <si>
    <t>REFERENCE-NOTE</t>
  </si>
  <si>
    <t>Provides credit services to farmers and farm-related enterprises through a network of 12 Farm Credit districts.</t>
  </si>
  <si>
    <t>CARDS</t>
  </si>
  <si>
    <t>Federal Agency established in 1987 to issue bonds in order to bail out the Federal Savings and Loan Insurance Corporation.</t>
  </si>
  <si>
    <t>CONSUMERS</t>
  </si>
  <si>
    <t>A debt certificate issued by a company in order to buy mechanical equipment, with the equipment serving as the debt's collateral.</t>
  </si>
  <si>
    <t>An actual bank receivable. The coupons and principal are secured by this receivable.</t>
  </si>
  <si>
    <t>CMBS-CONDUIT</t>
  </si>
  <si>
    <t>Securities issued by a financial institution using the deposits of the new institiution as collateral. These securities carry the FDIC insurance.</t>
  </si>
  <si>
    <t>A long-term debt instrument that has no collateral other than the issuing company's general credit.</t>
  </si>
  <si>
    <t>The security is backed by Cash and U.S. Govt Securities, but % of Cash is higher.</t>
  </si>
  <si>
    <t>CREDIT LINK</t>
  </si>
  <si>
    <t>The security is backed by Unknown Collateral and Cash, but % of Cash is higher.</t>
  </si>
  <si>
    <t>CMBS-FRANCHISE LN</t>
  </si>
  <si>
    <t>The security is backed by Cash and Other Collateral, but % of Cash is higher.</t>
  </si>
  <si>
    <t>CMBS-CDO</t>
  </si>
  <si>
    <t>The security is backed by cash.</t>
  </si>
  <si>
    <t>A covered or mortgage bond is an on-balance sheet obligation of the institution. Typically AAA rated, a covered bond receives the legal structure should the issuer fail to make for a highly rated bond</t>
  </si>
  <si>
    <t>Retirement care center</t>
  </si>
  <si>
    <t>An unsecured short-term promise to repay a fixed amount on a certain future date. Usually matures from 2 to 270 days.</t>
  </si>
  <si>
    <t>CMBS-AGENCY</t>
  </si>
  <si>
    <t>A bond backed by securities owned by the issuing company. A bank or other trustee usually holds the securities for the bond holder. These bonds are most commonly issued by parent companies against t</t>
  </si>
  <si>
    <t>BOATS</t>
  </si>
  <si>
    <t>Securities that are secured by an asset of the issuer, frequently a mortgage.</t>
  </si>
  <si>
    <t>BUSINESS</t>
  </si>
  <si>
    <t>A bond whose principal and interest payments are guaranteed by an outside company.</t>
  </si>
  <si>
    <t>CMBS-SMALL BAL</t>
  </si>
  <si>
    <t>A certificate of debt issued by a government or corporation with the promise to pay back the principal amount as well as interest by a specified future date.</t>
  </si>
  <si>
    <t>Automobile Receivables</t>
  </si>
  <si>
    <t>Government-issued debt securities.</t>
  </si>
  <si>
    <t>Agricultural MBS</t>
  </si>
  <si>
    <t>A security whose payment of principal and interest are guaranteed by a bank.</t>
  </si>
  <si>
    <t>Alternative A (Alt-A) Loans (Residential)</t>
  </si>
  <si>
    <t>A security supported by assets, such as automobile loans, owned by the issuer and usually placed with a trustee.</t>
  </si>
  <si>
    <r>
      <t>Par Value*</t>
    </r>
    <r>
      <rPr>
        <sz val="11"/>
        <rFont val="Calibri"/>
        <family val="2"/>
        <scheme val="minor"/>
      </rPr>
      <t>*</t>
    </r>
  </si>
  <si>
    <t>SMCI**</t>
  </si>
  <si>
    <t>Security Type Level 2**</t>
  </si>
  <si>
    <r>
      <t>Issue Status</t>
    </r>
    <r>
      <rPr>
        <sz val="11"/>
        <color rgb="FF0070C0"/>
        <rFont val="Calibri"/>
        <family val="2"/>
        <scheme val="minor"/>
      </rPr>
      <t>***</t>
    </r>
  </si>
  <si>
    <r>
      <t>ExDividend Days (in days)*</t>
    </r>
    <r>
      <rPr>
        <sz val="11"/>
        <rFont val="Calibri"/>
        <family val="2"/>
        <scheme val="minor"/>
      </rPr>
      <t>*</t>
    </r>
  </si>
  <si>
    <t>Is Inflation Linked**</t>
  </si>
  <si>
    <t>Is Dual Currency**</t>
  </si>
  <si>
    <t>Is Floater**</t>
  </si>
  <si>
    <r>
      <t>IsStep</t>
    </r>
    <r>
      <rPr>
        <sz val="11"/>
        <rFont val="Calibri"/>
        <family val="2"/>
        <scheme val="minor"/>
      </rPr>
      <t>**</t>
    </r>
  </si>
  <si>
    <r>
      <t>IsPerpetual</t>
    </r>
    <r>
      <rPr>
        <sz val="11"/>
        <color rgb="FF0070C0"/>
        <rFont val="Calibri"/>
        <family val="2"/>
        <scheme val="minor"/>
      </rPr>
      <t>***</t>
    </r>
  </si>
  <si>
    <r>
      <t>IsFixed</t>
    </r>
    <r>
      <rPr>
        <sz val="11"/>
        <color rgb="FF0070C0"/>
        <rFont val="Calibri"/>
        <family val="2"/>
        <scheme val="minor"/>
      </rPr>
      <t>***</t>
    </r>
  </si>
  <si>
    <r>
      <rPr>
        <sz val="11"/>
        <rFont val="Calibri"/>
        <family val="2"/>
        <scheme val="minor"/>
      </rPr>
      <t>CollateralType</t>
    </r>
    <r>
      <rPr>
        <sz val="11"/>
        <color rgb="FF0070C0"/>
        <rFont val="Calibri"/>
        <family val="2"/>
        <scheme val="minor"/>
      </rPr>
      <t>***</t>
    </r>
  </si>
  <si>
    <r>
      <t>Is Callable*</t>
    </r>
    <r>
      <rPr>
        <sz val="11"/>
        <rFont val="Calibri"/>
        <family val="2"/>
        <scheme val="minor"/>
      </rPr>
      <t>*</t>
    </r>
  </si>
  <si>
    <r>
      <t>Is Putabl</t>
    </r>
    <r>
      <rPr>
        <sz val="11"/>
        <rFont val="Calibri"/>
        <family val="2"/>
        <scheme val="minor"/>
      </rPr>
      <t>e**</t>
    </r>
  </si>
  <si>
    <r>
      <t>IsSinkable</t>
    </r>
    <r>
      <rPr>
        <sz val="11"/>
        <rFont val="Calibri"/>
        <family val="2"/>
        <scheme val="minor"/>
      </rPr>
      <t>**</t>
    </r>
  </si>
  <si>
    <r>
      <t>Maturity Type</t>
    </r>
    <r>
      <rPr>
        <sz val="11"/>
        <color rgb="FF0070C0"/>
        <rFont val="Calibri"/>
        <family val="2"/>
        <scheme val="minor"/>
      </rPr>
      <t>***</t>
    </r>
  </si>
  <si>
    <r>
      <t>IsConvertible</t>
    </r>
    <r>
      <rPr>
        <sz val="11"/>
        <color rgb="FF0070C0"/>
        <rFont val="Calibri"/>
        <family val="2"/>
        <scheme val="minor"/>
      </rPr>
      <t>***</t>
    </r>
  </si>
  <si>
    <r>
      <t>Static Days To Settle (in days</t>
    </r>
    <r>
      <rPr>
        <sz val="11"/>
        <rFont val="Calibri"/>
        <family val="2"/>
        <scheme val="minor"/>
      </rPr>
      <t>)**</t>
    </r>
  </si>
  <si>
    <t>Fitch Rating Agency**</t>
  </si>
  <si>
    <t>Moody's Investor Services**</t>
  </si>
  <si>
    <t>Standard and Poor's Rating Services**</t>
  </si>
  <si>
    <r>
      <t>IsRule144A</t>
    </r>
    <r>
      <rPr>
        <sz val="11"/>
        <color rgb="FF0070C0"/>
        <rFont val="Calibri"/>
        <family val="2"/>
        <scheme val="minor"/>
      </rPr>
      <t>***</t>
    </r>
  </si>
  <si>
    <r>
      <t>IsRegS</t>
    </r>
    <r>
      <rPr>
        <sz val="11"/>
        <color rgb="FF0070C0"/>
        <rFont val="Calibri"/>
        <family val="2"/>
        <scheme val="minor"/>
      </rPr>
      <t>***</t>
    </r>
  </si>
  <si>
    <r>
      <t>IsPrivatePlacement</t>
    </r>
    <r>
      <rPr>
        <sz val="11"/>
        <color rgb="FF0070C0"/>
        <rFont val="Calibri"/>
        <family val="2"/>
        <scheme val="minor"/>
      </rPr>
      <t>***</t>
    </r>
  </si>
  <si>
    <r>
      <t>Risk Sec Type Level 1</t>
    </r>
    <r>
      <rPr>
        <sz val="11"/>
        <color rgb="FF0070C0"/>
        <rFont val="Calibri"/>
        <family val="2"/>
        <scheme val="minor"/>
      </rPr>
      <t>***</t>
    </r>
  </si>
  <si>
    <r>
      <t>Risk Sec Type Level 2</t>
    </r>
    <r>
      <rPr>
        <sz val="11"/>
        <color rgb="FF0070C0"/>
        <rFont val="Calibri"/>
        <family val="2"/>
        <scheme val="minor"/>
      </rPr>
      <t>***</t>
    </r>
  </si>
  <si>
    <r>
      <t>Risk Sec Type Level 3</t>
    </r>
    <r>
      <rPr>
        <sz val="11"/>
        <color rgb="FF0070C0"/>
        <rFont val="Calibri"/>
        <family val="2"/>
        <scheme val="minor"/>
      </rPr>
      <t>***</t>
    </r>
  </si>
  <si>
    <r>
      <t>Risk Sec Type Level 4</t>
    </r>
    <r>
      <rPr>
        <sz val="11"/>
        <color rgb="FF0070C0"/>
        <rFont val="Calibri"/>
        <family val="2"/>
        <scheme val="minor"/>
      </rPr>
      <t>***</t>
    </r>
  </si>
  <si>
    <r>
      <t>Risk Sec Type Level 5</t>
    </r>
    <r>
      <rPr>
        <sz val="11"/>
        <color rgb="FF0070C0"/>
        <rFont val="Calibri"/>
        <family val="2"/>
        <scheme val="minor"/>
      </rPr>
      <t>***</t>
    </r>
  </si>
  <si>
    <r>
      <t>Risk Sec Type Level 6</t>
    </r>
    <r>
      <rPr>
        <sz val="11"/>
        <color rgb="FF0070C0"/>
        <rFont val="Calibri"/>
        <family val="2"/>
        <scheme val="minor"/>
      </rPr>
      <t>***</t>
    </r>
  </si>
  <si>
    <r>
      <t>Risk Sec Type Level 7</t>
    </r>
    <r>
      <rPr>
        <sz val="11"/>
        <color rgb="FF0070C0"/>
        <rFont val="Calibri"/>
        <family val="2"/>
        <scheme val="minor"/>
      </rPr>
      <t>***</t>
    </r>
  </si>
  <si>
    <t>Market_Sektor</t>
  </si>
  <si>
    <t>field</t>
  </si>
  <si>
    <t>Range</t>
  </si>
  <si>
    <t>Value</t>
  </si>
  <si>
    <t>D4</t>
  </si>
  <si>
    <t>Combobox</t>
  </si>
  <si>
    <t>ComboBox1</t>
  </si>
  <si>
    <t>Sec_lvl_1</t>
  </si>
  <si>
    <t>Sec_lvl_2</t>
  </si>
  <si>
    <t>Issue_Currency</t>
  </si>
  <si>
    <t>Issue_Date</t>
  </si>
  <si>
    <t>Is_When_Issued</t>
  </si>
  <si>
    <t>Par_Value</t>
  </si>
  <si>
    <t>Issue_Status</t>
  </si>
  <si>
    <t>Instrument_Listing_Level</t>
  </si>
  <si>
    <t>Coupon_Dividend_Rate</t>
  </si>
  <si>
    <t>Coupon_Dividend_Frequency</t>
  </si>
  <si>
    <t>Accrual_Method</t>
  </si>
  <si>
    <t>First_Pay_Date</t>
  </si>
  <si>
    <t>ExDividend_Days</t>
  </si>
  <si>
    <t>Dated_Date</t>
  </si>
  <si>
    <t>Coupon_Dividend_Type</t>
  </si>
  <si>
    <t>Is_Inflation_Linked</t>
  </si>
  <si>
    <t>Is_Dual_Currency</t>
  </si>
  <si>
    <t>Is_Floater</t>
  </si>
  <si>
    <t>Is_Callable</t>
  </si>
  <si>
    <t>Is_Putable</t>
  </si>
  <si>
    <t>IsSinkable</t>
  </si>
  <si>
    <t>Current_Maturity_Date</t>
  </si>
  <si>
    <t>Maturity_Type</t>
  </si>
  <si>
    <t>Static_Days_To_Settle</t>
  </si>
  <si>
    <t>First_Settlement_Date</t>
  </si>
  <si>
    <t>Fitch_Rating_Agency</t>
  </si>
  <si>
    <t>Moodys_Investor_Services</t>
  </si>
  <si>
    <t>Standard_and_Poors_Rating_Services</t>
  </si>
  <si>
    <t>Risk_Sec_Type_Level_1</t>
  </si>
  <si>
    <t>Risk_Sec_Type_Level_2</t>
  </si>
  <si>
    <t>Risk_Sec_Type_Level_3</t>
  </si>
  <si>
    <t>Risk_Sec_Type_Level_4</t>
  </si>
  <si>
    <t>Risk_Sec_Type_Level_5</t>
  </si>
  <si>
    <t>Risk_Sec_Type_Level_6</t>
  </si>
  <si>
    <t>Risk_Sec_Type_Level_7</t>
  </si>
  <si>
    <t>D14</t>
  </si>
  <si>
    <t>D20</t>
  </si>
  <si>
    <t>D24</t>
  </si>
  <si>
    <t>D38</t>
  </si>
  <si>
    <t>D44</t>
  </si>
  <si>
    <t>D46</t>
  </si>
  <si>
    <t>D48</t>
  </si>
  <si>
    <t>I20</t>
  </si>
  <si>
    <t>I42</t>
  </si>
  <si>
    <t>I44</t>
  </si>
  <si>
    <t>ComboBox60</t>
  </si>
  <si>
    <t>ComboBox4</t>
  </si>
  <si>
    <t>ComboBox3</t>
  </si>
  <si>
    <t>ComboBox7</t>
  </si>
  <si>
    <t>ComboBox5</t>
  </si>
  <si>
    <t>ComboBox38</t>
  </si>
  <si>
    <t>ComboBox6</t>
  </si>
  <si>
    <t>ComboBox10</t>
  </si>
  <si>
    <t>ComboBox9</t>
  </si>
  <si>
    <t>ComboBox24</t>
  </si>
  <si>
    <t>ComboBox26</t>
  </si>
  <si>
    <t>ComboBox27</t>
  </si>
  <si>
    <t>ComboBox29</t>
  </si>
  <si>
    <t>ComboBox31</t>
  </si>
  <si>
    <t>ComboBox40</t>
  </si>
  <si>
    <t>ComboBox42</t>
  </si>
  <si>
    <t>ComboBox43</t>
  </si>
  <si>
    <t>ComboBox12</t>
  </si>
  <si>
    <t>ComboBox28</t>
  </si>
  <si>
    <t>ComboBox35</t>
  </si>
  <si>
    <t>ComboBox39</t>
  </si>
  <si>
    <t>ComboBox41</t>
  </si>
  <si>
    <t>ComboBox30</t>
  </si>
  <si>
    <t>ComboBox32</t>
  </si>
  <si>
    <t>ComboBox34</t>
  </si>
  <si>
    <t>ComboBox16</t>
  </si>
  <si>
    <t>ComboBox18</t>
  </si>
  <si>
    <t>ComboBox45</t>
  </si>
  <si>
    <t>ComboBox37</t>
  </si>
  <si>
    <t>ComboBox47</t>
  </si>
  <si>
    <t>ComboBox48</t>
  </si>
  <si>
    <t>ComboBox49</t>
  </si>
  <si>
    <t>ComboBox50</t>
  </si>
  <si>
    <t>ComboBox51</t>
  </si>
  <si>
    <t>ComboBox52</t>
  </si>
  <si>
    <t>Column1</t>
  </si>
  <si>
    <t>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</si>
</sst>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00_-;\-* #,##0.00_-;_-* &quot;-&quot;??_-;_-@_-"/>
    <numFmt numFmtId="165" formatCode="mmm\-d\-yyyy"/>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rgb="FF444444"/>
      <name val="Arial"/>
      <family val="2"/>
    </font>
    <font>
      <b/>
      <sz val="11"/>
      <color rgb="FFFFFFFF"/>
      <name val="Arial"/>
      <family val="2"/>
    </font>
    <font>
      <b/>
      <sz val="12"/>
      <color theme="1"/>
      <name val="Calibri"/>
      <family val="2"/>
      <scheme val="minor"/>
    </font>
    <font>
      <b/>
      <sz val="12"/>
      <color theme="0"/>
      <name val="Arial"/>
      <family val="2"/>
    </font>
    <font>
      <b/>
      <sz val="12"/>
      <color theme="0"/>
      <name val="Calibri"/>
      <family val="2"/>
      <scheme val="minor"/>
    </font>
    <font>
      <b/>
      <sz val="14"/>
      <color theme="1"/>
      <name val="Calibri"/>
      <family val="2"/>
      <scheme val="minor"/>
    </font>
    <font>
      <sz val="11"/>
      <color theme="1"/>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8"/>
      <color rgb="FFFF0000"/>
      <name val="Calibri"/>
      <family val="2"/>
      <scheme val="minor"/>
    </font>
    <font>
      <u/>
      <sz val="11"/>
      <color theme="10"/>
      <name val="Calibri"/>
      <family val="2"/>
      <scheme val="minor"/>
    </font>
    <font>
      <sz val="10"/>
      <name val="Arial"/>
      <family val="2"/>
    </font>
    <font>
      <sz val="11"/>
      <color rgb="FF0070C0"/>
      <name val="Calibri"/>
      <family val="2"/>
      <scheme val="minor"/>
    </font>
    <font>
      <sz val="1"/>
      <color theme="1"/>
      <name val="Calibri"/>
      <family val="2"/>
      <scheme val="minor"/>
    </font>
    <font>
      <sz val="10"/>
      <color rgb="FF242729"/>
      <name val="Consolas"/>
      <family val="3"/>
    </font>
    <font>
      <sz val="8"/>
      <color rgb="FF000000"/>
      <name val="Tahoma"/>
      <family val="2"/>
    </font>
    <font>
      <sz val="11"/>
      <color rgb="FF000000"/>
      <name val="Calibri"/>
      <family val="2"/>
    </font>
    <font>
      <sz val="11"/>
      <name val="Calibri"/>
      <family val="2"/>
    </font>
    <font>
      <sz val="9"/>
      <color theme="0" tint="-0.499984740745262"/>
      <name val="Calibri"/>
      <family val="2"/>
      <scheme val="minor"/>
    </font>
  </fonts>
  <fills count="39">
    <fill>
      <patternFill patternType="none"/>
    </fill>
    <fill>
      <patternFill patternType="gray125"/>
    </fill>
    <fill>
      <patternFill patternType="solid">
        <fgColor rgb="FF0066CC"/>
        <bgColor indexed="64"/>
      </patternFill>
    </fill>
    <fill>
      <patternFill patternType="solid">
        <fgColor rgb="FF0070C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FF"/>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666666"/>
      </left>
      <right style="medium">
        <color indexed="64"/>
      </right>
      <top style="medium">
        <color indexed="64"/>
      </top>
      <bottom/>
      <diagonal/>
    </border>
    <border>
      <left style="medium">
        <color rgb="FF666666"/>
      </left>
      <right style="medium">
        <color indexed="64"/>
      </right>
      <top/>
      <bottom/>
      <diagonal/>
    </border>
    <border>
      <left style="medium">
        <color rgb="FF666666"/>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666666"/>
      </left>
      <right/>
      <top/>
      <bottom/>
      <diagonal/>
    </border>
    <border>
      <left style="medium">
        <color rgb="FF666666"/>
      </left>
      <right/>
      <top/>
      <bottom style="medium">
        <color rgb="FF666666"/>
      </bottom>
      <diagonal/>
    </border>
    <border>
      <left/>
      <right/>
      <top/>
      <bottom style="medium">
        <color rgb="FF666666"/>
      </bottom>
      <diagonal/>
    </border>
    <border>
      <left/>
      <right style="thin">
        <color indexed="64"/>
      </right>
      <top/>
      <bottom/>
      <diagonal/>
    </border>
    <border>
      <left style="thin">
        <color indexed="64"/>
      </left>
      <right/>
      <top/>
      <bottom/>
      <diagonal/>
    </border>
    <border>
      <left/>
      <right style="thin">
        <color indexed="64"/>
      </right>
      <top/>
      <bottom style="thick">
        <color theme="4" tint="0.499984740745262"/>
      </bottom>
      <diagonal/>
    </border>
    <border>
      <left style="thin">
        <color indexed="64"/>
      </left>
      <right/>
      <top/>
      <bottom style="thick">
        <color theme="4" tint="0.499984740745262"/>
      </bottom>
      <diagonal/>
    </border>
    <border>
      <left/>
      <right style="thin">
        <color indexed="64"/>
      </right>
      <top/>
      <bottom style="thick">
        <color theme="4"/>
      </bottom>
      <diagonal/>
    </border>
    <border>
      <left style="thin">
        <color indexed="64"/>
      </left>
      <right/>
      <top/>
      <bottom style="thick">
        <color theme="4"/>
      </bottom>
      <diagonal/>
    </border>
    <border>
      <left/>
      <right style="thin">
        <color indexed="64"/>
      </right>
      <top style="medium">
        <color theme="4" tint="0.39997558519241921"/>
      </top>
      <bottom/>
      <diagonal/>
    </border>
    <border>
      <left style="thin">
        <color indexed="64"/>
      </left>
      <right/>
      <top style="medium">
        <color theme="4" tint="0.39997558519241921"/>
      </top>
      <bottom/>
      <diagonal/>
    </border>
    <border>
      <left/>
      <right style="thin">
        <color indexed="64"/>
      </right>
      <top/>
      <bottom style="medium">
        <color theme="4" tint="0.39997558519241921"/>
      </bottom>
      <diagonal/>
    </border>
  </borders>
  <cellStyleXfs count="51">
    <xf numFmtId="0" fontId="0" fillId="0" borderId="0"/>
    <xf numFmtId="9" fontId="10" fillId="0" borderId="0" applyFont="0" applyFill="0" applyBorder="0" applyAlignment="0" applyProtection="0"/>
    <xf numFmtId="0" fontId="12" fillId="0" borderId="0" applyNumberFormat="0" applyFill="0" applyBorder="0" applyAlignment="0" applyProtection="0"/>
    <xf numFmtId="0" fontId="13" fillId="0" borderId="35" applyNumberFormat="0" applyFill="0" applyAlignment="0" applyProtection="0"/>
    <xf numFmtId="0" fontId="14" fillId="0" borderId="36" applyNumberFormat="0" applyFill="0" applyAlignment="0" applyProtection="0"/>
    <xf numFmtId="0" fontId="15" fillId="0" borderId="37"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0" applyNumberFormat="0" applyBorder="0" applyAlignment="0" applyProtection="0"/>
    <xf numFmtId="0" fontId="19" fillId="9" borderId="38" applyNumberFormat="0" applyAlignment="0" applyProtection="0"/>
    <xf numFmtId="0" fontId="20" fillId="10" borderId="39" applyNumberFormat="0" applyAlignment="0" applyProtection="0"/>
    <xf numFmtId="0" fontId="21" fillId="10" borderId="38" applyNumberFormat="0" applyAlignment="0" applyProtection="0"/>
    <xf numFmtId="0" fontId="22" fillId="0" borderId="40" applyNumberFormat="0" applyFill="0" applyAlignment="0" applyProtection="0"/>
    <xf numFmtId="0" fontId="1" fillId="11" borderId="41" applyNumberFormat="0" applyAlignment="0" applyProtection="0"/>
    <xf numFmtId="0" fontId="23" fillId="0" borderId="0" applyNumberFormat="0" applyFill="0" applyBorder="0" applyAlignment="0" applyProtection="0"/>
    <xf numFmtId="0" fontId="10" fillId="12" borderId="42" applyNumberFormat="0" applyFont="0" applyAlignment="0" applyProtection="0"/>
    <xf numFmtId="0" fontId="24" fillId="0" borderId="0" applyNumberFormat="0" applyFill="0" applyBorder="0" applyAlignment="0" applyProtection="0"/>
    <xf numFmtId="0" fontId="2" fillId="0" borderId="43" applyNumberFormat="0" applyFill="0" applyAlignment="0" applyProtection="0"/>
    <xf numFmtId="0" fontId="3"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3" fillId="36" borderId="0" applyNumberFormat="0" applyBorder="0" applyAlignment="0" applyProtection="0"/>
    <xf numFmtId="0" fontId="27" fillId="0" borderId="0"/>
    <xf numFmtId="164" fontId="27" fillId="0" borderId="0" applyFont="0" applyFill="0" applyBorder="0" applyAlignment="0" applyProtection="0"/>
    <xf numFmtId="43" fontId="10" fillId="0" borderId="0" applyFont="0" applyFill="0" applyBorder="0" applyAlignment="0" applyProtection="0"/>
    <xf numFmtId="0" fontId="26" fillId="0" borderId="0" applyNumberFormat="0" applyFill="0" applyBorder="0" applyAlignment="0" applyProtection="0"/>
    <xf numFmtId="0" fontId="27" fillId="0" borderId="0"/>
    <xf numFmtId="0" fontId="10" fillId="0" borderId="0"/>
    <xf numFmtId="9" fontId="27" fillId="0" borderId="0" applyFont="0" applyFill="0" applyBorder="0" applyAlignment="0" applyProtection="0"/>
    <xf numFmtId="9" fontId="27" fillId="0" borderId="0" applyFont="0" applyFill="0" applyBorder="0" applyAlignment="0" applyProtection="0"/>
  </cellStyleXfs>
  <cellXfs count="291">
    <xf numFmtId="0" fontId="0" fillId="0" borderId="0" xfId="0"/>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4" xfId="0" applyFont="1" applyBorder="1" applyAlignment="1">
      <alignment vertical="center" wrapText="1"/>
    </xf>
    <xf numFmtId="0" fontId="4" fillId="0" borderId="6" xfId="0" applyFont="1" applyBorder="1" applyAlignment="1">
      <alignment vertical="center" wrapText="1"/>
    </xf>
    <xf numFmtId="0" fontId="4" fillId="0" borderId="8" xfId="0" applyFont="1" applyBorder="1" applyAlignment="1">
      <alignment vertical="center" wrapText="1"/>
    </xf>
    <xf numFmtId="0" fontId="4" fillId="0" borderId="16" xfId="0" applyFont="1" applyBorder="1" applyAlignment="1">
      <alignment vertical="center" wrapText="1"/>
    </xf>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3" xfId="0" applyFont="1" applyBorder="1" applyAlignment="1">
      <alignment vertical="center" wrapText="1"/>
    </xf>
    <xf numFmtId="0" fontId="4" fillId="0" borderId="5" xfId="0" applyFont="1" applyBorder="1" applyAlignment="1">
      <alignment vertical="center" wrapText="1"/>
    </xf>
    <xf numFmtId="0" fontId="4" fillId="0" borderId="7"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0" fontId="7" fillId="3" borderId="19" xfId="0" applyFont="1" applyFill="1" applyBorder="1" applyAlignment="1">
      <alignment horizontal="centerContinuous" vertical="center" wrapText="1"/>
    </xf>
    <xf numFmtId="0" fontId="3" fillId="3" borderId="20" xfId="0" applyFont="1" applyFill="1" applyBorder="1" applyAlignment="1">
      <alignment horizontal="centerContinuous"/>
    </xf>
    <xf numFmtId="0" fontId="6" fillId="3" borderId="20" xfId="0" applyFont="1" applyFill="1" applyBorder="1" applyAlignment="1">
      <alignment horizontal="centerContinuous"/>
    </xf>
    <xf numFmtId="0" fontId="4" fillId="0" borderId="6" xfId="0" applyFont="1" applyBorder="1" applyAlignment="1">
      <alignment vertical="center" wrapText="1"/>
    </xf>
    <xf numFmtId="0" fontId="4" fillId="0" borderId="8" xfId="0" applyFont="1" applyBorder="1" applyAlignment="1">
      <alignment vertical="center" wrapText="1"/>
    </xf>
    <xf numFmtId="0" fontId="4" fillId="0" borderId="16" xfId="0" applyFont="1" applyBorder="1" applyAlignment="1">
      <alignment vertical="center" wrapText="1"/>
    </xf>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1" xfId="0" applyFont="1" applyBorder="1" applyAlignment="1">
      <alignment vertical="center" wrapText="1"/>
    </xf>
    <xf numFmtId="0" fontId="0" fillId="0" borderId="0" xfId="0" applyBorder="1"/>
    <xf numFmtId="0" fontId="4" fillId="0" borderId="12" xfId="0" applyFont="1" applyBorder="1" applyAlignment="1">
      <alignment vertical="center" wrapText="1"/>
    </xf>
    <xf numFmtId="0" fontId="0" fillId="0" borderId="5" xfId="0" applyBorder="1"/>
    <xf numFmtId="0" fontId="0" fillId="0" borderId="6" xfId="0" applyBorder="1"/>
    <xf numFmtId="0" fontId="0" fillId="0" borderId="7" xfId="0" applyBorder="1"/>
    <xf numFmtId="0" fontId="4" fillId="0" borderId="13" xfId="0" applyFont="1" applyBorder="1" applyAlignment="1">
      <alignment vertical="center" wrapText="1"/>
    </xf>
    <xf numFmtId="0" fontId="0" fillId="0" borderId="14" xfId="0" applyBorder="1"/>
    <xf numFmtId="0" fontId="0" fillId="0" borderId="8" xfId="0" applyBorder="1"/>
    <xf numFmtId="0" fontId="4" fillId="0" borderId="2" xfId="0" applyFont="1" applyFill="1" applyBorder="1" applyAlignment="1">
      <alignment vertical="center" wrapText="1"/>
    </xf>
    <xf numFmtId="0" fontId="4" fillId="0" borderId="2" xfId="0" applyFont="1" applyBorder="1" applyAlignment="1">
      <alignment vertical="center" wrapText="1"/>
    </xf>
    <xf numFmtId="0" fontId="4" fillId="0" borderId="26" xfId="0" applyFont="1" applyBorder="1" applyAlignment="1">
      <alignment vertical="center" wrapText="1"/>
    </xf>
    <xf numFmtId="0" fontId="4" fillId="0" borderId="24" xfId="0" applyFont="1" applyBorder="1" applyAlignment="1">
      <alignment vertical="center" wrapText="1"/>
    </xf>
    <xf numFmtId="0" fontId="4" fillId="0" borderId="27" xfId="0" applyFont="1" applyFill="1" applyBorder="1" applyAlignment="1">
      <alignment vertical="center" wrapText="1"/>
    </xf>
    <xf numFmtId="0" fontId="0" fillId="0" borderId="6" xfId="0" applyBorder="1"/>
    <xf numFmtId="0" fontId="0" fillId="0" borderId="8" xfId="0" applyBorder="1"/>
    <xf numFmtId="0" fontId="0" fillId="0" borderId="6" xfId="0" applyBorder="1"/>
    <xf numFmtId="0" fontId="0" fillId="0" borderId="6" xfId="0" applyBorder="1"/>
    <xf numFmtId="0" fontId="0" fillId="0" borderId="8" xfId="0" applyBorder="1"/>
    <xf numFmtId="0" fontId="0" fillId="0" borderId="4" xfId="0" applyBorder="1"/>
    <xf numFmtId="0" fontId="0" fillId="0" borderId="22" xfId="0" applyBorder="1"/>
    <xf numFmtId="0" fontId="2" fillId="0" borderId="20" xfId="0" applyFont="1" applyBorder="1"/>
    <xf numFmtId="0" fontId="0" fillId="0" borderId="16" xfId="0" applyBorder="1"/>
    <xf numFmtId="0" fontId="0" fillId="0" borderId="17" xfId="0" applyBorder="1"/>
    <xf numFmtId="0" fontId="0" fillId="0" borderId="18" xfId="0" applyBorder="1"/>
    <xf numFmtId="0" fontId="8" fillId="3" borderId="19" xfId="0" applyFont="1" applyFill="1" applyBorder="1"/>
    <xf numFmtId="0" fontId="1" fillId="3" borderId="20" xfId="0" applyFont="1" applyFill="1" applyBorder="1"/>
    <xf numFmtId="0" fontId="8" fillId="3" borderId="20" xfId="0" applyFont="1" applyFill="1" applyBorder="1"/>
    <xf numFmtId="0" fontId="1" fillId="3" borderId="19" xfId="0" applyFont="1" applyFill="1" applyBorder="1"/>
    <xf numFmtId="0" fontId="3" fillId="3" borderId="20" xfId="0" applyFont="1" applyFill="1" applyBorder="1"/>
    <xf numFmtId="0" fontId="0" fillId="0" borderId="31" xfId="0" applyBorder="1"/>
    <xf numFmtId="0" fontId="2" fillId="0" borderId="25" xfId="0" applyFont="1" applyBorder="1"/>
    <xf numFmtId="0" fontId="0" fillId="0" borderId="0" xfId="0" applyAlignment="1">
      <alignment vertical="top"/>
    </xf>
    <xf numFmtId="0" fontId="0" fillId="0" borderId="5" xfId="0" applyBorder="1" applyAlignment="1">
      <alignment vertical="top" wrapText="1"/>
    </xf>
    <xf numFmtId="0" fontId="0" fillId="0" borderId="0" xfId="0" applyBorder="1" applyAlignment="1">
      <alignment vertical="top" wrapText="1"/>
    </xf>
    <xf numFmtId="0" fontId="0" fillId="0" borderId="6" xfId="0" applyBorder="1" applyAlignment="1">
      <alignment vertical="top" wrapText="1"/>
    </xf>
    <xf numFmtId="0" fontId="0" fillId="0" borderId="7" xfId="0" applyBorder="1" applyAlignment="1">
      <alignment vertical="top" wrapText="1"/>
    </xf>
    <xf numFmtId="0" fontId="0" fillId="0" borderId="14" xfId="0" applyBorder="1" applyAlignment="1">
      <alignment vertical="top" wrapText="1"/>
    </xf>
    <xf numFmtId="0" fontId="0" fillId="0" borderId="8" xfId="0" applyBorder="1" applyAlignment="1">
      <alignment vertical="top" wrapText="1"/>
    </xf>
    <xf numFmtId="0" fontId="0" fillId="0" borderId="32" xfId="0" applyBorder="1" applyAlignment="1">
      <alignment vertical="top" wrapText="1"/>
    </xf>
    <xf numFmtId="0" fontId="0" fillId="0" borderId="23" xfId="0" applyBorder="1" applyAlignment="1">
      <alignment vertical="top" wrapText="1"/>
    </xf>
    <xf numFmtId="0" fontId="0" fillId="0" borderId="33" xfId="0" applyBorder="1" applyAlignment="1">
      <alignment vertical="top" wrapText="1"/>
    </xf>
    <xf numFmtId="0" fontId="8" fillId="3" borderId="19" xfId="0" applyFont="1" applyFill="1" applyBorder="1" applyAlignment="1">
      <alignment vertical="top"/>
    </xf>
    <xf numFmtId="0" fontId="8" fillId="3" borderId="21" xfId="0" applyFont="1" applyFill="1" applyBorder="1" applyAlignment="1">
      <alignment vertical="top" wrapText="1"/>
    </xf>
    <xf numFmtId="0" fontId="3" fillId="3" borderId="21" xfId="0" applyFont="1" applyFill="1" applyBorder="1" applyAlignment="1">
      <alignment vertical="top" wrapText="1"/>
    </xf>
    <xf numFmtId="0" fontId="3" fillId="3" borderId="20" xfId="0" applyFont="1" applyFill="1" applyBorder="1" applyAlignment="1">
      <alignment vertical="top" wrapText="1"/>
    </xf>
    <xf numFmtId="0" fontId="0" fillId="4" borderId="0" xfId="0" applyFill="1" applyAlignment="1">
      <alignment vertical="center"/>
    </xf>
    <xf numFmtId="0" fontId="0" fillId="4" borderId="0" xfId="0" applyFill="1" applyAlignment="1">
      <alignment horizontal="right" vertical="center"/>
    </xf>
    <xf numFmtId="0" fontId="0" fillId="4" borderId="0" xfId="0" applyFill="1" applyBorder="1" applyAlignment="1">
      <alignment vertical="center"/>
    </xf>
    <xf numFmtId="0" fontId="0" fillId="4" borderId="0" xfId="0" applyFill="1" applyAlignment="1">
      <alignment horizontal="left" vertical="center" indent="1"/>
    </xf>
    <xf numFmtId="0" fontId="0" fillId="0" borderId="20" xfId="0" applyBorder="1"/>
    <xf numFmtId="0" fontId="0" fillId="0" borderId="25" xfId="0" applyBorder="1"/>
    <xf numFmtId="0" fontId="0" fillId="3" borderId="20" xfId="0" applyFill="1" applyBorder="1"/>
    <xf numFmtId="0" fontId="8" fillId="3" borderId="19" xfId="0" applyFont="1" applyFill="1" applyBorder="1" applyAlignment="1">
      <alignment horizontal="centerContinuous"/>
    </xf>
    <xf numFmtId="0" fontId="1" fillId="3" borderId="3" xfId="0" applyFont="1" applyFill="1" applyBorder="1" applyAlignment="1"/>
    <xf numFmtId="0" fontId="1" fillId="3" borderId="15" xfId="0" applyFont="1" applyFill="1" applyBorder="1" applyAlignment="1"/>
    <xf numFmtId="0" fontId="3" fillId="3" borderId="15" xfId="0" applyFont="1" applyFill="1" applyBorder="1" applyAlignment="1">
      <alignment horizontal="distributed"/>
    </xf>
    <xf numFmtId="0" fontId="3" fillId="3" borderId="15" xfId="0" applyFont="1" applyFill="1" applyBorder="1"/>
    <xf numFmtId="0" fontId="3" fillId="3" borderId="4" xfId="0" applyFont="1" applyFill="1" applyBorder="1"/>
    <xf numFmtId="0" fontId="3" fillId="3" borderId="7" xfId="0" applyFont="1" applyFill="1" applyBorder="1"/>
    <xf numFmtId="0" fontId="3" fillId="3" borderId="14" xfId="0" applyFont="1" applyFill="1" applyBorder="1"/>
    <xf numFmtId="0" fontId="3" fillId="3" borderId="8" xfId="0" applyFont="1" applyFill="1" applyBorder="1"/>
    <xf numFmtId="0" fontId="4" fillId="5" borderId="28" xfId="0" applyFont="1" applyFill="1" applyBorder="1" applyAlignment="1">
      <alignment vertical="center" wrapText="1"/>
    </xf>
    <xf numFmtId="0" fontId="4" fillId="5" borderId="29" xfId="0" applyFont="1" applyFill="1" applyBorder="1" applyAlignment="1">
      <alignment vertical="center" wrapText="1"/>
    </xf>
    <xf numFmtId="0" fontId="0" fillId="5" borderId="29" xfId="0" applyFill="1" applyBorder="1"/>
    <xf numFmtId="0" fontId="0" fillId="5" borderId="30" xfId="0" applyFill="1" applyBorder="1"/>
    <xf numFmtId="0" fontId="8" fillId="3" borderId="3" xfId="0" applyFont="1" applyFill="1" applyBorder="1"/>
    <xf numFmtId="0" fontId="2" fillId="0" borderId="17" xfId="0" applyFont="1" applyBorder="1"/>
    <xf numFmtId="0" fontId="2" fillId="0" borderId="6" xfId="0" applyFont="1" applyBorder="1"/>
    <xf numFmtId="0" fontId="2" fillId="0" borderId="0" xfId="0" applyFont="1" applyBorder="1"/>
    <xf numFmtId="0" fontId="0" fillId="0" borderId="17" xfId="0" applyFont="1" applyBorder="1"/>
    <xf numFmtId="0" fontId="0" fillId="0" borderId="6" xfId="0" applyFont="1" applyBorder="1"/>
    <xf numFmtId="0" fontId="1" fillId="3" borderId="3" xfId="0" applyFont="1" applyFill="1" applyBorder="1"/>
    <xf numFmtId="0" fontId="1" fillId="3" borderId="4" xfId="0" applyFont="1" applyFill="1" applyBorder="1"/>
    <xf numFmtId="0" fontId="0" fillId="0" borderId="0" xfId="0" applyAlignment="1">
      <alignment vertical="center"/>
    </xf>
    <xf numFmtId="0" fontId="0" fillId="0" borderId="0" xfId="0" applyAlignment="1">
      <alignment horizontal="left"/>
    </xf>
    <xf numFmtId="0" fontId="11" fillId="37" borderId="0" xfId="0" applyFont="1" applyFill="1" applyBorder="1"/>
    <xf numFmtId="0" fontId="24" fillId="4" borderId="0" xfId="17" applyFill="1" applyAlignment="1">
      <alignment horizontal="right" vertical="center"/>
    </xf>
    <xf numFmtId="0" fontId="4" fillId="0" borderId="46" xfId="0" applyFont="1" applyBorder="1" applyAlignment="1">
      <alignment vertical="center" wrapText="1"/>
    </xf>
    <xf numFmtId="0" fontId="0" fillId="0" borderId="0" xfId="0"/>
    <xf numFmtId="0" fontId="4" fillId="0" borderId="45" xfId="0" applyFont="1" applyBorder="1" applyAlignment="1">
      <alignment vertical="center" wrapText="1"/>
    </xf>
    <xf numFmtId="0" fontId="5" fillId="2" borderId="16" xfId="0" applyFont="1" applyFill="1" applyBorder="1" applyAlignment="1">
      <alignment vertical="center" wrapText="1"/>
    </xf>
    <xf numFmtId="0" fontId="4" fillId="0" borderId="0" xfId="0" applyFont="1" applyAlignment="1">
      <alignment vertical="center" wrapText="1"/>
    </xf>
    <xf numFmtId="0" fontId="4" fillId="0" borderId="44" xfId="0" applyFont="1" applyBorder="1" applyAlignment="1">
      <alignment vertical="center" wrapText="1"/>
    </xf>
    <xf numFmtId="0" fontId="0" fillId="0" borderId="0" xfId="0"/>
    <xf numFmtId="0" fontId="0" fillId="4" borderId="0" xfId="0" applyFill="1"/>
    <xf numFmtId="0" fontId="0" fillId="0" borderId="0" xfId="0"/>
    <xf numFmtId="0" fontId="0" fillId="0" borderId="0" xfId="0"/>
    <xf numFmtId="165" fontId="0" fillId="0" borderId="0" xfId="0" applyNumberFormat="1"/>
    <xf numFmtId="2" fontId="0" fillId="0" borderId="0" xfId="0" applyNumberFormat="1"/>
    <xf numFmtId="0" fontId="0" fillId="0" borderId="0" xfId="0" quotePrefix="1"/>
    <xf numFmtId="0" fontId="0" fillId="0" borderId="0" xfId="0"/>
    <xf numFmtId="0" fontId="16" fillId="6" borderId="0" xfId="7"/>
    <xf numFmtId="0" fontId="16" fillId="6" borderId="0" xfId="7" applyBorder="1"/>
    <xf numFmtId="0" fontId="0" fillId="0" borderId="0" xfId="0" applyBorder="1"/>
    <xf numFmtId="0" fontId="0" fillId="0" borderId="0" xfId="0" applyFill="1"/>
    <xf numFmtId="0" fontId="0" fillId="0" borderId="0" xfId="0" applyAlignment="1">
      <alignment wrapText="1"/>
    </xf>
    <xf numFmtId="0" fontId="0" fillId="0" borderId="0" xfId="0"/>
    <xf numFmtId="0" fontId="0" fillId="4" borderId="0" xfId="0" applyFill="1" applyAlignment="1">
      <alignment horizontal="right" vertical="center"/>
    </xf>
    <xf numFmtId="0" fontId="0" fillId="0" borderId="0" xfId="0" quotePrefix="1"/>
    <xf numFmtId="0" fontId="0" fillId="0" borderId="0" xfId="0"/>
    <xf numFmtId="0" fontId="0" fillId="4" borderId="0" xfId="0" applyFill="1" applyAlignment="1">
      <alignment horizontal="right" vertical="center"/>
    </xf>
    <xf numFmtId="0" fontId="0" fillId="37" borderId="0" xfId="0" applyFill="1"/>
    <xf numFmtId="0" fontId="0" fillId="4" borderId="0" xfId="0" applyFill="1"/>
    <xf numFmtId="0" fontId="0" fillId="4" borderId="0" xfId="0" applyFill="1" applyAlignment="1">
      <alignment vertical="center"/>
    </xf>
    <xf numFmtId="0" fontId="0" fillId="4" borderId="0" xfId="0" applyFill="1" applyAlignment="1">
      <alignment horizontal="right" vertical="center"/>
    </xf>
    <xf numFmtId="0" fontId="0" fillId="4" borderId="0" xfId="0" applyFill="1" applyBorder="1" applyAlignment="1">
      <alignment vertical="center"/>
    </xf>
    <xf numFmtId="0" fontId="0" fillId="4" borderId="0" xfId="0" applyFill="1"/>
    <xf numFmtId="0" fontId="0" fillId="0" borderId="0" xfId="0"/>
    <xf numFmtId="0" fontId="0" fillId="4" borderId="0" xfId="0" applyFill="1" applyAlignment="1">
      <alignment horizontal="right" vertical="center"/>
    </xf>
    <xf numFmtId="0" fontId="0" fillId="0" borderId="0" xfId="0" applyBorder="1"/>
    <xf numFmtId="0" fontId="16" fillId="6" borderId="0" xfId="7"/>
    <xf numFmtId="0" fontId="0" fillId="4" borderId="0" xfId="0" applyFill="1" applyAlignment="1">
      <alignment horizontal="right" vertical="center"/>
    </xf>
    <xf numFmtId="0" fontId="0" fillId="4" borderId="0" xfId="0" applyFill="1" applyAlignment="1">
      <alignment horizontal="left" vertical="center" indent="1"/>
    </xf>
    <xf numFmtId="0" fontId="0" fillId="4" borderId="0" xfId="0" applyFill="1" applyAlignment="1">
      <alignment vertical="center"/>
    </xf>
    <xf numFmtId="0" fontId="0" fillId="4" borderId="0" xfId="0" applyFill="1" applyAlignment="1">
      <alignment horizontal="right" vertical="center"/>
    </xf>
    <xf numFmtId="0" fontId="0" fillId="0" borderId="0" xfId="0"/>
    <xf numFmtId="0" fontId="0" fillId="0" borderId="17" xfId="0" applyBorder="1"/>
    <xf numFmtId="0" fontId="0" fillId="0" borderId="18" xfId="0" applyBorder="1"/>
    <xf numFmtId="0" fontId="0" fillId="4" borderId="0" xfId="0" applyFill="1" applyAlignment="1">
      <alignment horizontal="right" vertical="center"/>
    </xf>
    <xf numFmtId="0" fontId="0" fillId="4" borderId="0" xfId="0" applyFill="1" applyAlignment="1">
      <alignment horizontal="left" vertical="center" indent="1"/>
    </xf>
    <xf numFmtId="0" fontId="5" fillId="2" borderId="16" xfId="0" applyFont="1" applyFill="1" applyBorder="1" applyAlignment="1">
      <alignment vertical="center" wrapText="1"/>
    </xf>
    <xf numFmtId="0" fontId="9" fillId="4" borderId="0" xfId="0" applyFont="1" applyFill="1" applyAlignment="1">
      <alignment vertical="top"/>
    </xf>
    <xf numFmtId="0" fontId="0" fillId="4" borderId="0" xfId="0" applyFill="1" applyBorder="1" applyAlignment="1">
      <alignment horizontal="right" vertical="center"/>
    </xf>
    <xf numFmtId="0" fontId="28" fillId="4" borderId="0" xfId="0" applyFont="1" applyFill="1" applyAlignment="1">
      <alignment horizontal="right" vertical="center"/>
    </xf>
    <xf numFmtId="0" fontId="0" fillId="0" borderId="0" xfId="0"/>
    <xf numFmtId="0" fontId="0" fillId="4" borderId="0" xfId="0" applyFill="1" applyAlignment="1">
      <alignment horizontal="righ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8" fillId="4" borderId="0" xfId="9" applyFill="1" applyAlignment="1">
      <alignment vertical="center"/>
    </xf>
    <xf numFmtId="0" fontId="0" fillId="4" borderId="0" xfId="0" applyFill="1" applyAlignment="1">
      <alignment horizontal="right" vertical="center" indent="1"/>
    </xf>
    <xf numFmtId="0" fontId="0" fillId="0" borderId="0" xfId="0" applyAlignment="1">
      <alignment horizontal="center" vertical="center"/>
    </xf>
    <xf numFmtId="0" fontId="30" fillId="0" borderId="0" xfId="0" applyFont="1" applyAlignment="1">
      <alignment horizontal="left" vertic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quotePrefix="1"/>
    <xf numFmtId="0" fontId="4" fillId="0" borderId="10" xfId="0" quotePrefix="1" applyFont="1" applyBorder="1" applyAlignment="1">
      <alignment vertical="center" wrapText="1"/>
    </xf>
    <xf numFmtId="49" fontId="0" fillId="4" borderId="0" xfId="0" applyNumberFormat="1" applyFill="1" applyAlignment="1">
      <alignment horizontal="left" vertical="center" indent="1"/>
    </xf>
    <xf numFmtId="49" fontId="0" fillId="4" borderId="0" xfId="0" applyNumberFormat="1" applyFill="1" applyAlignment="1">
      <alignment vertical="center"/>
    </xf>
    <xf numFmtId="0" fontId="0" fillId="4" borderId="0" xfId="0" applyNumberFormat="1" applyFill="1" applyAlignment="1">
      <alignment vertical="center"/>
    </xf>
    <xf numFmtId="0" fontId="25" fillId="4" borderId="0" xfId="0" applyNumberFormat="1" applyFont="1" applyFill="1" applyBorder="1" applyAlignment="1">
      <alignment horizontal="center" vertical="center"/>
    </xf>
    <xf numFmtId="0" fontId="0" fillId="4" borderId="0" xfId="0" applyNumberFormat="1" applyFill="1"/>
    <xf numFmtId="0" fontId="0" fillId="0" borderId="0" xfId="0" applyNumberFormat="1"/>
    <xf numFmtId="0" fontId="17" fillId="7" borderId="0" xfId="8"/>
    <xf numFmtId="0" fontId="0" fillId="0" borderId="0" xfId="0" applyAlignment="1">
      <alignment vertical="top" wrapText="1"/>
    </xf>
    <xf numFmtId="0" fontId="0" fillId="0" borderId="0" xfId="0" applyAlignment="1">
      <alignment vertical="center" wrapText="1"/>
    </xf>
    <xf numFmtId="0" fontId="0" fillId="0" borderId="0" xfId="0" applyFill="1" applyAlignment="1">
      <alignment vertical="center"/>
    </xf>
    <xf numFmtId="0" fontId="2" fillId="0" borderId="0" xfId="0" applyFont="1"/>
    <xf numFmtId="0" fontId="2" fillId="0" borderId="0" xfId="0" applyFont="1" applyFill="1"/>
    <xf numFmtId="0" fontId="0" fillId="0" borderId="47" xfId="0" applyBorder="1" applyAlignment="1">
      <alignment horizontal="center" vertical="center" wrapText="1"/>
    </xf>
    <xf numFmtId="0" fontId="0" fillId="0" borderId="48" xfId="0" applyBorder="1" applyAlignment="1">
      <alignment horizontal="center" vertical="center"/>
    </xf>
    <xf numFmtId="0" fontId="0" fillId="0" borderId="0" xfId="0" applyBorder="1" applyAlignment="1">
      <alignment horizontal="center" vertical="center"/>
    </xf>
    <xf numFmtId="0" fontId="14" fillId="0" borderId="49" xfId="4" applyBorder="1" applyAlignment="1">
      <alignment horizontal="center" vertical="center" wrapText="1"/>
    </xf>
    <xf numFmtId="0" fontId="14" fillId="0" borderId="50" xfId="4" applyBorder="1" applyAlignment="1">
      <alignment horizontal="center" vertical="center"/>
    </xf>
    <xf numFmtId="0" fontId="14" fillId="0" borderId="36" xfId="4" applyBorder="1" applyAlignment="1">
      <alignment horizontal="center" vertical="center"/>
    </xf>
    <xf numFmtId="0" fontId="0" fillId="0" borderId="47" xfId="0" applyBorder="1" applyAlignment="1">
      <alignment horizontal="center" vertical="center"/>
    </xf>
    <xf numFmtId="0" fontId="0" fillId="0" borderId="53" xfId="0" applyBorder="1" applyAlignment="1">
      <alignment horizontal="center" vertical="center" wrapText="1"/>
    </xf>
    <xf numFmtId="0" fontId="0" fillId="0" borderId="54" xfId="0" applyBorder="1" applyAlignment="1">
      <alignment horizontal="center" vertical="center"/>
    </xf>
    <xf numFmtId="0" fontId="15" fillId="0" borderId="55" xfId="5" applyBorder="1" applyAlignment="1">
      <alignment horizontal="center" vertical="center"/>
    </xf>
    <xf numFmtId="0" fontId="15" fillId="0" borderId="37" xfId="5" applyAlignment="1">
      <alignment horizontal="center" vertical="center"/>
    </xf>
    <xf numFmtId="0" fontId="15" fillId="0" borderId="55" xfId="5" applyBorder="1" applyAlignment="1">
      <alignment horizontal="center" vertical="center" wrapText="1"/>
    </xf>
    <xf numFmtId="0" fontId="0" fillId="4" borderId="0" xfId="0" applyNumberFormat="1" applyFill="1" applyAlignment="1" applyProtection="1">
      <alignment vertical="center"/>
      <protection locked="0"/>
    </xf>
    <xf numFmtId="0" fontId="0" fillId="37" borderId="1" xfId="0" applyNumberFormat="1" applyFill="1" applyBorder="1" applyAlignment="1" applyProtection="1">
      <alignment horizontal="left" vertical="center" indent="1"/>
      <protection locked="0"/>
    </xf>
    <xf numFmtId="0" fontId="0" fillId="4" borderId="0" xfId="0" applyNumberFormat="1" applyFill="1" applyBorder="1" applyAlignment="1" applyProtection="1">
      <alignment horizontal="left" vertical="center" indent="1"/>
      <protection locked="0"/>
    </xf>
    <xf numFmtId="0" fontId="0" fillId="37" borderId="34" xfId="0" applyNumberFormat="1" applyFill="1" applyBorder="1" applyAlignment="1" applyProtection="1">
      <alignment horizontal="left" vertical="center" indent="1"/>
      <protection locked="0"/>
    </xf>
    <xf numFmtId="0" fontId="0" fillId="4" borderId="0" xfId="0" applyFill="1" applyBorder="1" applyAlignment="1" applyProtection="1">
      <alignment horizontal="left" vertical="center" indent="1"/>
      <protection locked="0"/>
    </xf>
    <xf numFmtId="49" fontId="0" fillId="4" borderId="0" xfId="0" applyNumberFormat="1" applyFill="1" applyBorder="1" applyAlignment="1" applyProtection="1">
      <alignment horizontal="left" vertical="center" indent="1"/>
      <protection locked="0"/>
    </xf>
    <xf numFmtId="0" fontId="0" fillId="37" borderId="1" xfId="0" applyNumberFormat="1" applyFill="1" applyBorder="1" applyProtection="1">
      <protection locked="0"/>
    </xf>
    <xf numFmtId="0" fontId="0" fillId="0" borderId="34" xfId="0" applyNumberFormat="1" applyFill="1" applyBorder="1" applyAlignment="1" applyProtection="1">
      <alignment horizontal="left" vertical="center" indent="1"/>
      <protection locked="0"/>
    </xf>
    <xf numFmtId="0" fontId="29" fillId="0" borderId="34" xfId="0" applyNumberFormat="1" applyFont="1" applyFill="1" applyBorder="1" applyAlignment="1" applyProtection="1">
      <alignment horizontal="left" vertical="center" indent="1"/>
      <protection locked="0"/>
    </xf>
    <xf numFmtId="49" fontId="0" fillId="4" borderId="0" xfId="0" applyNumberFormat="1" applyFill="1" applyAlignment="1" applyProtection="1">
      <alignment horizontal="left" vertical="center" indent="1"/>
      <protection locked="0"/>
    </xf>
    <xf numFmtId="0" fontId="0" fillId="4" borderId="0" xfId="0" applyFill="1" applyAlignment="1" applyProtection="1">
      <alignment horizontal="left" vertical="center" indent="1"/>
      <protection locked="0"/>
    </xf>
    <xf numFmtId="49" fontId="29" fillId="0" borderId="34" xfId="0" applyNumberFormat="1" applyFont="1" applyFill="1" applyBorder="1" applyAlignment="1" applyProtection="1">
      <alignment horizontal="left" vertical="center" indent="1"/>
      <protection locked="0"/>
    </xf>
    <xf numFmtId="0" fontId="0" fillId="4" borderId="0" xfId="0" applyNumberFormat="1" applyFill="1" applyAlignment="1" applyProtection="1">
      <alignment horizontal="left" vertical="center" indent="1"/>
      <protection locked="0"/>
    </xf>
    <xf numFmtId="0" fontId="0" fillId="38" borderId="34" xfId="0" applyNumberFormat="1" applyFill="1" applyBorder="1" applyAlignment="1" applyProtection="1">
      <alignment horizontal="left" vertical="center" indent="1"/>
      <protection locked="0"/>
    </xf>
    <xf numFmtId="0" fontId="0" fillId="4" borderId="0" xfId="0" applyNumberFormat="1" applyFill="1" applyProtection="1">
      <protection locked="0"/>
    </xf>
    <xf numFmtId="0" fontId="29" fillId="38" borderId="34" xfId="0" applyNumberFormat="1" applyFont="1" applyFill="1" applyBorder="1" applyAlignment="1" applyProtection="1">
      <alignment horizontal="left" vertical="center" indent="1"/>
      <protection locked="0"/>
    </xf>
    <xf numFmtId="49" fontId="0" fillId="4" borderId="0" xfId="0" applyNumberFormat="1" applyFill="1" applyProtection="1">
      <protection locked="0"/>
    </xf>
    <xf numFmtId="49" fontId="0" fillId="4" borderId="0" xfId="0" applyNumberFormat="1" applyFill="1" applyAlignment="1" applyProtection="1">
      <alignment horizontal="right" vertical="center"/>
      <protection locked="0"/>
    </xf>
    <xf numFmtId="0" fontId="0" fillId="4" borderId="0" xfId="0" applyNumberFormat="1" applyFill="1" applyAlignment="1" applyProtection="1">
      <alignment horizontal="right" vertical="center"/>
      <protection locked="0"/>
    </xf>
    <xf numFmtId="49" fontId="0" fillId="4" borderId="0" xfId="0" applyNumberFormat="1" applyFill="1" applyAlignment="1" applyProtection="1">
      <alignment vertical="center"/>
      <protection locked="0"/>
    </xf>
    <xf numFmtId="0" fontId="0" fillId="0" borderId="1" xfId="0" applyNumberFormat="1" applyBorder="1" applyProtection="1">
      <protection locked="0"/>
    </xf>
    <xf numFmtId="0" fontId="29" fillId="4" borderId="0" xfId="0" applyNumberFormat="1" applyFont="1" applyFill="1" applyAlignment="1" applyProtection="1">
      <alignment vertical="center"/>
      <protection locked="0"/>
    </xf>
    <xf numFmtId="0" fontId="29" fillId="4" borderId="0" xfId="0" applyNumberFormat="1" applyFont="1" applyFill="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37" borderId="0" xfId="0" applyNumberFormat="1" applyFill="1" applyBorder="1" applyProtection="1">
      <protection locked="0"/>
    </xf>
    <xf numFmtId="0" fontId="0" fillId="37" borderId="0" xfId="0" applyFill="1" applyBorder="1" applyProtection="1">
      <protection locked="0"/>
    </xf>
    <xf numFmtId="0" fontId="0" fillId="0" borderId="0" xfId="0" applyAlignment="1" applyProtection="1">
      <alignment wrapText="1"/>
      <protection locked="0"/>
    </xf>
    <xf numFmtId="0" fontId="0" fillId="0" borderId="0" xfId="0" applyProtection="1">
      <protection locked="0"/>
    </xf>
    <xf numFmtId="0" fontId="23" fillId="37" borderId="0" xfId="0" applyNumberFormat="1" applyFont="1" applyFill="1" applyBorder="1" applyProtection="1">
      <protection locked="0"/>
    </xf>
    <xf numFmtId="0" fontId="23" fillId="37" borderId="0" xfId="0" applyFont="1" applyFill="1" applyBorder="1" applyProtection="1">
      <protection locked="0"/>
    </xf>
    <xf numFmtId="0" fontId="11" fillId="0" borderId="0" xfId="0" applyFont="1" applyBorder="1" applyProtection="1">
      <protection locked="0"/>
    </xf>
    <xf numFmtId="0" fontId="0" fillId="0" borderId="23" xfId="0" applyBorder="1" applyProtection="1">
      <protection locked="0"/>
    </xf>
    <xf numFmtId="0" fontId="0" fillId="0" borderId="23" xfId="0" applyNumberFormat="1" applyBorder="1" applyProtection="1">
      <protection locked="0"/>
    </xf>
    <xf numFmtId="0" fontId="0" fillId="0" borderId="23" xfId="0" applyBorder="1" applyAlignment="1" applyProtection="1">
      <alignment wrapText="1"/>
      <protection locked="0"/>
    </xf>
    <xf numFmtId="165" fontId="0" fillId="0" borderId="0" xfId="0" applyNumberFormat="1" applyProtection="1">
      <protection locked="0"/>
    </xf>
    <xf numFmtId="2" fontId="0" fillId="0" borderId="0" xfId="0" applyNumberFormat="1" applyProtection="1">
      <protection locked="0"/>
    </xf>
    <xf numFmtId="0" fontId="11" fillId="37" borderId="0" xfId="0" applyNumberFormat="1" applyFont="1" applyFill="1" applyBorder="1" applyProtection="1">
      <protection locked="0"/>
    </xf>
    <xf numFmtId="0" fontId="11" fillId="0" borderId="0" xfId="0" applyFont="1" applyProtection="1">
      <protection locked="0"/>
    </xf>
    <xf numFmtId="0" fontId="11" fillId="0" borderId="0" xfId="0" applyFont="1" applyFill="1" applyBorder="1" applyProtection="1">
      <protection locked="0"/>
    </xf>
    <xf numFmtId="0" fontId="11" fillId="37" borderId="0" xfId="0" applyFont="1" applyFill="1" applyBorder="1" applyProtection="1">
      <protection locked="0"/>
    </xf>
    <xf numFmtId="0" fontId="23" fillId="0" borderId="0" xfId="0" applyFont="1" applyBorder="1" applyProtection="1">
      <protection locked="0"/>
    </xf>
    <xf numFmtId="0" fontId="23" fillId="0" borderId="0" xfId="0" applyFont="1" applyProtection="1">
      <protection locked="0"/>
    </xf>
    <xf numFmtId="0" fontId="0" fillId="37" borderId="0" xfId="0" applyNumberFormat="1" applyFill="1" applyProtection="1">
      <protection locked="0"/>
    </xf>
    <xf numFmtId="0" fontId="0" fillId="37" borderId="0" xfId="0" applyFill="1" applyProtection="1">
      <protection locked="0"/>
    </xf>
    <xf numFmtId="165" fontId="11" fillId="37" borderId="0" xfId="0" applyNumberFormat="1" applyFont="1" applyFill="1" applyBorder="1" applyProtection="1">
      <protection locked="0"/>
    </xf>
    <xf numFmtId="14" fontId="11" fillId="37" borderId="0" xfId="0" applyNumberFormat="1" applyFont="1" applyFill="1" applyBorder="1" applyProtection="1">
      <protection locked="0"/>
    </xf>
    <xf numFmtId="2" fontId="11" fillId="37" borderId="0" xfId="0" applyNumberFormat="1" applyFont="1" applyFill="1" applyBorder="1" applyProtection="1">
      <protection locked="0"/>
    </xf>
    <xf numFmtId="1" fontId="11" fillId="37" borderId="0" xfId="0" applyNumberFormat="1" applyFont="1" applyFill="1" applyBorder="1" applyProtection="1">
      <protection locked="0"/>
    </xf>
    <xf numFmtId="165" fontId="0" fillId="37" borderId="0" xfId="0" applyNumberFormat="1" applyFill="1" applyProtection="1">
      <protection locked="0"/>
    </xf>
    <xf numFmtId="0" fontId="0" fillId="0" borderId="0" xfId="0" applyFill="1" applyBorder="1" applyProtection="1">
      <protection locked="0"/>
    </xf>
    <xf numFmtId="49" fontId="0" fillId="0" borderId="0" xfId="0" applyNumberFormat="1" applyProtection="1">
      <protection locked="0"/>
    </xf>
    <xf numFmtId="0" fontId="0" fillId="0" borderId="0" xfId="0" applyAlignment="1" applyProtection="1">
      <alignment horizontal="center" vertical="center"/>
      <protection locked="0"/>
    </xf>
    <xf numFmtId="2" fontId="0" fillId="37" borderId="0" xfId="0" applyNumberFormat="1" applyFill="1" applyProtection="1">
      <protection locked="0"/>
    </xf>
    <xf numFmtId="0" fontId="17" fillId="0" borderId="0" xfId="8" applyFill="1" applyProtection="1">
      <protection locked="0"/>
    </xf>
    <xf numFmtId="0" fontId="0" fillId="0" borderId="0" xfId="0" applyNumberFormat="1" applyFill="1" applyProtection="1">
      <protection locked="0"/>
    </xf>
    <xf numFmtId="2" fontId="0" fillId="0" borderId="0" xfId="0" applyNumberFormat="1" applyFill="1" applyProtection="1">
      <protection locked="0"/>
    </xf>
    <xf numFmtId="0" fontId="0" fillId="37" borderId="0" xfId="0" quotePrefix="1" applyNumberFormat="1" applyFill="1" applyProtection="1">
      <protection locked="0"/>
    </xf>
    <xf numFmtId="165" fontId="0" fillId="37" borderId="0" xfId="0" quotePrefix="1" applyNumberFormat="1" applyFill="1" applyProtection="1">
      <protection locked="0"/>
    </xf>
    <xf numFmtId="0" fontId="0" fillId="0" borderId="0" xfId="0" applyFill="1" applyProtection="1">
      <protection locked="0"/>
    </xf>
    <xf numFmtId="0" fontId="0" fillId="0" borderId="0" xfId="0" applyNumberFormat="1" applyProtection="1">
      <protection locked="0"/>
    </xf>
    <xf numFmtId="49" fontId="0" fillId="0" borderId="0" xfId="0" quotePrefix="1" applyNumberFormat="1" applyProtection="1">
      <protection locked="0"/>
    </xf>
    <xf numFmtId="0" fontId="0" fillId="0" borderId="0" xfId="0" quotePrefix="1" applyProtection="1">
      <protection locked="0"/>
    </xf>
    <xf numFmtId="0" fontId="17" fillId="0" borderId="0" xfId="8" applyFill="1" applyBorder="1" applyProtection="1">
      <protection locked="0"/>
    </xf>
    <xf numFmtId="1" fontId="0" fillId="37" borderId="0" xfId="0" applyNumberFormat="1" applyFill="1" applyProtection="1">
      <protection locked="0"/>
    </xf>
    <xf numFmtId="0" fontId="0" fillId="0" borderId="0" xfId="0" applyAlignment="1" applyProtection="1">
      <alignment horizontal="left"/>
      <protection locked="0"/>
    </xf>
    <xf numFmtId="1" fontId="0" fillId="0" borderId="0" xfId="0" applyNumberFormat="1" applyProtection="1">
      <protection locked="0"/>
    </xf>
    <xf numFmtId="14" fontId="0" fillId="0" borderId="0" xfId="0" applyNumberFormat="1" applyProtection="1">
      <protection locked="0"/>
    </xf>
    <xf numFmtId="14" fontId="0" fillId="38" borderId="0" xfId="0" applyNumberFormat="1" applyFill="1" applyProtection="1">
      <protection locked="0"/>
    </xf>
    <xf numFmtId="14" fontId="0" fillId="38" borderId="0" xfId="0" applyNumberFormat="1" applyFill="1" applyBorder="1" applyProtection="1">
      <protection locked="0"/>
    </xf>
    <xf numFmtId="0" fontId="0" fillId="38" borderId="0" xfId="0" applyNumberFormat="1" applyFill="1" applyBorder="1" applyProtection="1">
      <protection locked="0"/>
    </xf>
    <xf numFmtId="2" fontId="0" fillId="0" borderId="0" xfId="0" applyNumberFormat="1" applyAlignment="1" applyProtection="1">
      <alignment horizontal="left"/>
      <protection locked="0"/>
    </xf>
    <xf numFmtId="165" fontId="0" fillId="0" borderId="0" xfId="0" applyNumberFormat="1" applyAlignment="1" applyProtection="1">
      <alignment horizontal="left"/>
      <protection locked="0"/>
    </xf>
    <xf numFmtId="14" fontId="0" fillId="0" borderId="0" xfId="0" applyNumberFormat="1" applyAlignment="1" applyProtection="1">
      <alignment horizontal="left"/>
      <protection locked="0"/>
    </xf>
    <xf numFmtId="14" fontId="0" fillId="38" borderId="34" xfId="0" applyNumberFormat="1" applyFill="1" applyBorder="1" applyAlignment="1" applyProtection="1">
      <alignment horizontal="left" vertical="center" indent="1"/>
      <protection locked="0"/>
    </xf>
    <xf numFmtId="0" fontId="11" fillId="0" borderId="23" xfId="0" applyFont="1" applyBorder="1" applyProtection="1">
      <protection locked="0"/>
    </xf>
    <xf numFmtId="2" fontId="0" fillId="0" borderId="23" xfId="0" applyNumberFormat="1" applyBorder="1" applyProtection="1">
      <protection locked="0"/>
    </xf>
    <xf numFmtId="165" fontId="0" fillId="38" borderId="0" xfId="0" applyNumberFormat="1" applyFill="1" applyProtection="1">
      <protection locked="0"/>
    </xf>
    <xf numFmtId="165" fontId="0" fillId="0" borderId="23" xfId="0" applyNumberFormat="1" applyBorder="1" applyProtection="1">
      <protection locked="0"/>
    </xf>
    <xf numFmtId="49" fontId="0" fillId="38" borderId="34" xfId="0" applyNumberFormat="1" applyFill="1" applyBorder="1" applyAlignment="1" applyProtection="1">
      <alignment horizontal="left" vertical="center" indent="1"/>
      <protection locked="0"/>
    </xf>
    <xf numFmtId="49" fontId="0" fillId="38" borderId="34" xfId="1" applyNumberFormat="1" applyFont="1" applyFill="1" applyBorder="1" applyAlignment="1" applyProtection="1">
      <alignment horizontal="left" vertical="center" indent="1"/>
      <protection locked="0"/>
    </xf>
    <xf numFmtId="1" fontId="0" fillId="0" borderId="0" xfId="0" applyNumberFormat="1" applyAlignment="1" applyProtection="1">
      <alignment horizontal="left"/>
      <protection locked="0"/>
    </xf>
    <xf numFmtId="0" fontId="34" fillId="4" borderId="0" xfId="0" applyFont="1" applyFill="1" applyAlignment="1">
      <alignment horizontal="left"/>
    </xf>
    <xf numFmtId="1" fontId="34" fillId="4" borderId="0" xfId="0" applyNumberFormat="1" applyFont="1" applyFill="1" applyAlignment="1">
      <alignment horizontal="left"/>
    </xf>
    <xf numFmtId="49" fontId="0" fillId="0" borderId="0" xfId="0" applyNumberFormat="1"/>
    <xf numFmtId="0" fontId="0" fillId="0" borderId="0" xfId="0" applyAlignment="1" applyProtection="1">
      <alignment horizontal="center" vertical="center" wrapText="1"/>
      <protection locked="0"/>
    </xf>
    <xf numFmtId="0" fontId="25" fillId="4" borderId="0" xfId="0" applyNumberFormat="1" applyFont="1" applyFill="1" applyBorder="1" applyAlignment="1">
      <alignment horizontal="center" vertical="center"/>
    </xf>
    <xf numFmtId="0" fontId="25" fillId="4" borderId="0" xfId="0" applyFont="1" applyFill="1" applyBorder="1" applyAlignment="1">
      <alignment horizontal="center" vertical="center"/>
    </xf>
    <xf numFmtId="0" fontId="25" fillId="4" borderId="0" xfId="0" applyFont="1" applyFill="1" applyAlignment="1">
      <alignment horizontal="center" vertical="center"/>
    </xf>
    <xf numFmtId="49" fontId="25" fillId="4" borderId="0" xfId="0" applyNumberFormat="1" applyFont="1" applyFill="1" applyBorder="1" applyAlignment="1">
      <alignment horizontal="center" wrapText="1"/>
    </xf>
    <xf numFmtId="0" fontId="13" fillId="0" borderId="52" xfId="3" applyBorder="1" applyAlignment="1">
      <alignment horizontal="center" vertical="center"/>
    </xf>
    <xf numFmtId="0" fontId="13" fillId="0" borderId="51" xfId="3" applyBorder="1" applyAlignment="1">
      <alignment horizontal="center" vertical="center"/>
    </xf>
    <xf numFmtId="0" fontId="13" fillId="0" borderId="35" xfId="3" applyBorder="1" applyAlignment="1">
      <alignment horizontal="center" vertical="center"/>
    </xf>
    <xf numFmtId="0" fontId="13" fillId="0" borderId="35" xfId="3" applyAlignment="1">
      <alignment horizontal="center" vertical="center"/>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3" borderId="19" xfId="0" applyFont="1" applyFill="1" applyBorder="1" applyAlignment="1">
      <alignment horizontal="center"/>
    </xf>
    <xf numFmtId="0" fontId="8" fillId="3" borderId="20" xfId="0" applyFont="1" applyFill="1" applyBorder="1" applyAlignment="1">
      <alignment horizontal="center"/>
    </xf>
  </cellXfs>
  <cellStyles count="5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2" xfId="45"/>
    <cellStyle name="Comma 3" xfId="4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2" xfId="46"/>
    <cellStyle name="Input" xfId="10" builtinId="20" customBuiltin="1"/>
    <cellStyle name="Linked Cell" xfId="13" builtinId="24" customBuiltin="1"/>
    <cellStyle name="Neutral" xfId="9" builtinId="28" customBuiltin="1"/>
    <cellStyle name="Normal" xfId="0" builtinId="0"/>
    <cellStyle name="Normal 2" xfId="47"/>
    <cellStyle name="Normal 3" xfId="48"/>
    <cellStyle name="Normal 4" xfId="43"/>
    <cellStyle name="Note" xfId="16" builtinId="10" customBuiltin="1"/>
    <cellStyle name="Output" xfId="11" builtinId="21" customBuiltin="1"/>
    <cellStyle name="Percent" xfId="1" builtinId="5"/>
    <cellStyle name="Percent 2" xfId="50"/>
    <cellStyle name="Percent 3" xfId="49"/>
    <cellStyle name="Title" xfId="2" builtinId="15" customBuiltin="1"/>
    <cellStyle name="Total" xfId="18" builtinId="25" customBuiltin="1"/>
    <cellStyle name="Warning Text" xfId="15" builtinId="11" customBuiltin="1"/>
  </cellStyles>
  <dxfs count="5">
    <dxf>
      <numFmt numFmtId="30" formatCode="@"/>
    </dxf>
    <dxf>
      <numFmt numFmtId="30" formatCode="@"/>
    </dxf>
    <dxf>
      <numFmt numFmtId="30" formatCode="@"/>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4.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29</xdr:row>
          <xdr:rowOff>152400</xdr:rowOff>
        </xdr:from>
        <xdr:to>
          <xdr:col>4</xdr:col>
          <xdr:colOff>180975</xdr:colOff>
          <xdr:row>34</xdr:row>
          <xdr:rowOff>19050</xdr:rowOff>
        </xdr:to>
        <xdr:sp macro="" textlink="">
          <xdr:nvSpPr>
            <xdr:cNvPr id="8195" name="Group Box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Exchange Listing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85725</xdr:rowOff>
        </xdr:from>
        <xdr:to>
          <xdr:col>4</xdr:col>
          <xdr:colOff>190500</xdr:colOff>
          <xdr:row>51</xdr:row>
          <xdr:rowOff>9525</xdr:rowOff>
        </xdr:to>
        <xdr:sp macro="" textlink="">
          <xdr:nvSpPr>
            <xdr:cNvPr id="8197" name="Group Box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Income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171450</xdr:rowOff>
        </xdr:from>
        <xdr:to>
          <xdr:col>9</xdr:col>
          <xdr:colOff>171450</xdr:colOff>
          <xdr:row>45</xdr:row>
          <xdr:rowOff>19050</xdr:rowOff>
        </xdr:to>
        <xdr:sp macro="" textlink="">
          <xdr:nvSpPr>
            <xdr:cNvPr id="8199" name="Group Box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Settlement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352425</xdr:colOff>
          <xdr:row>5</xdr:row>
          <xdr:rowOff>161925</xdr:rowOff>
        </xdr:from>
        <xdr:to>
          <xdr:col>4</xdr:col>
          <xdr:colOff>171450</xdr:colOff>
          <xdr:row>28</xdr:row>
          <xdr:rowOff>85725</xdr:rowOff>
        </xdr:to>
        <xdr:sp macro="" textlink="">
          <xdr:nvSpPr>
            <xdr:cNvPr id="8193" name="Group Box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Product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xdr:row>
          <xdr:rowOff>123825</xdr:rowOff>
        </xdr:from>
        <xdr:to>
          <xdr:col>9</xdr:col>
          <xdr:colOff>161925</xdr:colOff>
          <xdr:row>28</xdr:row>
          <xdr:rowOff>104775</xdr:rowOff>
        </xdr:to>
        <xdr:sp macro="" textlink="">
          <xdr:nvSpPr>
            <xdr:cNvPr id="8200" name="Group Box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Redemption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93</xdr:row>
          <xdr:rowOff>95250</xdr:rowOff>
        </xdr:from>
        <xdr:to>
          <xdr:col>8</xdr:col>
          <xdr:colOff>133350</xdr:colOff>
          <xdr:row>95</xdr:row>
          <xdr:rowOff>133350</xdr:rowOff>
        </xdr:to>
        <xdr:sp macro="" textlink="">
          <xdr:nvSpPr>
            <xdr:cNvPr id="8212" name="Button 20" hidden="1">
              <a:extLst>
                <a:ext uri="{63B3BB69-23CF-44E3-9099-C40C66FF867C}">
                  <a14:compatExt spid="_x0000_s8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security to the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4</xdr:col>
          <xdr:colOff>0</xdr:colOff>
          <xdr:row>16</xdr:row>
          <xdr:rowOff>0</xdr:rowOff>
        </xdr:to>
        <xdr:sp macro="" textlink="">
          <xdr:nvSpPr>
            <xdr:cNvPr id="8225" name="ComboBox3" hidden="1">
              <a:extLst>
                <a:ext uri="{63B3BB69-23CF-44E3-9099-C40C66FF867C}">
                  <a14:compatExt spid="_x0000_s8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9525</xdr:rowOff>
        </xdr:from>
        <xdr:to>
          <xdr:col>4</xdr:col>
          <xdr:colOff>0</xdr:colOff>
          <xdr:row>22</xdr:row>
          <xdr:rowOff>0</xdr:rowOff>
        </xdr:to>
        <xdr:sp macro="" textlink="">
          <xdr:nvSpPr>
            <xdr:cNvPr id="8227" name="ComboBox5" hidden="1">
              <a:extLst>
                <a:ext uri="{63B3BB69-23CF-44E3-9099-C40C66FF867C}">
                  <a14:compatExt spid="_x0000_s8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9525</xdr:rowOff>
        </xdr:from>
        <xdr:to>
          <xdr:col>4</xdr:col>
          <xdr:colOff>0</xdr:colOff>
          <xdr:row>18</xdr:row>
          <xdr:rowOff>0</xdr:rowOff>
        </xdr:to>
        <xdr:sp macro="" textlink="">
          <xdr:nvSpPr>
            <xdr:cNvPr id="8229" name="ComboBox7" hidden="1">
              <a:extLst>
                <a:ext uri="{63B3BB69-23CF-44E3-9099-C40C66FF867C}">
                  <a14:compatExt spid="_x0000_s82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41</xdr:row>
          <xdr:rowOff>9525</xdr:rowOff>
        </xdr:from>
        <xdr:to>
          <xdr:col>4</xdr:col>
          <xdr:colOff>0</xdr:colOff>
          <xdr:row>42</xdr:row>
          <xdr:rowOff>0</xdr:rowOff>
        </xdr:to>
        <xdr:sp macro="" textlink="">
          <xdr:nvSpPr>
            <xdr:cNvPr id="8231" name="ComboBox9" hidden="1">
              <a:extLst>
                <a:ext uri="{63B3BB69-23CF-44E3-9099-C40C66FF867C}">
                  <a14:compatExt spid="_x0000_s8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9525</xdr:rowOff>
        </xdr:from>
        <xdr:to>
          <xdr:col>4</xdr:col>
          <xdr:colOff>0</xdr:colOff>
          <xdr:row>40</xdr:row>
          <xdr:rowOff>0</xdr:rowOff>
        </xdr:to>
        <xdr:sp macro="" textlink="">
          <xdr:nvSpPr>
            <xdr:cNvPr id="8232" name="ComboBox10" hidden="1">
              <a:extLst>
                <a:ext uri="{63B3BB69-23CF-44E3-9099-C40C66FF867C}">
                  <a14:compatExt spid="_x0000_s8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51</xdr:row>
          <xdr:rowOff>161925</xdr:rowOff>
        </xdr:from>
        <xdr:to>
          <xdr:col>4</xdr:col>
          <xdr:colOff>190500</xdr:colOff>
          <xdr:row>89</xdr:row>
          <xdr:rowOff>66675</xdr:rowOff>
        </xdr:to>
        <xdr:sp macro="" textlink="">
          <xdr:nvSpPr>
            <xdr:cNvPr id="8272" name="Group Box 80" hidden="1">
              <a:extLst>
                <a:ext uri="{63B3BB69-23CF-44E3-9099-C40C66FF867C}">
                  <a14:compatExt spid="_x0000_s82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Fixed 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53</xdr:row>
          <xdr:rowOff>9525</xdr:rowOff>
        </xdr:from>
        <xdr:to>
          <xdr:col>4</xdr:col>
          <xdr:colOff>0</xdr:colOff>
          <xdr:row>54</xdr:row>
          <xdr:rowOff>0</xdr:rowOff>
        </xdr:to>
        <xdr:sp macro="" textlink="">
          <xdr:nvSpPr>
            <xdr:cNvPr id="8273" name="ComboBox11" hidden="1">
              <a:extLst>
                <a:ext uri="{63B3BB69-23CF-44E3-9099-C40C66FF867C}">
                  <a14:compatExt spid="_x0000_s8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11</xdr:row>
          <xdr:rowOff>9525</xdr:rowOff>
        </xdr:from>
        <xdr:to>
          <xdr:col>4</xdr:col>
          <xdr:colOff>9525</xdr:colOff>
          <xdr:row>12</xdr:row>
          <xdr:rowOff>0</xdr:rowOff>
        </xdr:to>
        <xdr:sp macro="" textlink="">
          <xdr:nvSpPr>
            <xdr:cNvPr id="8274" name="ComboBox4" hidden="1">
              <a:extLst>
                <a:ext uri="{63B3BB69-23CF-44E3-9099-C40C66FF867C}">
                  <a14:compatExt spid="_x0000_s8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63</xdr:row>
          <xdr:rowOff>9525</xdr:rowOff>
        </xdr:from>
        <xdr:to>
          <xdr:col>4</xdr:col>
          <xdr:colOff>0</xdr:colOff>
          <xdr:row>64</xdr:row>
          <xdr:rowOff>0</xdr:rowOff>
        </xdr:to>
        <xdr:sp macro="" textlink="">
          <xdr:nvSpPr>
            <xdr:cNvPr id="8284" name="ComboBox8" hidden="1">
              <a:extLst>
                <a:ext uri="{63B3BB69-23CF-44E3-9099-C40C66FF867C}">
                  <a14:compatExt spid="_x0000_s8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9525</xdr:rowOff>
        </xdr:from>
        <xdr:to>
          <xdr:col>9</xdr:col>
          <xdr:colOff>0</xdr:colOff>
          <xdr:row>4</xdr:row>
          <xdr:rowOff>0</xdr:rowOff>
        </xdr:to>
        <xdr:sp macro="" textlink="">
          <xdr:nvSpPr>
            <xdr:cNvPr id="8286" name="ComboBox12" hidden="1">
              <a:extLst>
                <a:ext uri="{63B3BB69-23CF-44E3-9099-C40C66FF867C}">
                  <a14:compatExt spid="_x0000_s8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71</xdr:row>
          <xdr:rowOff>9525</xdr:rowOff>
        </xdr:from>
        <xdr:to>
          <xdr:col>4</xdr:col>
          <xdr:colOff>0</xdr:colOff>
          <xdr:row>71</xdr:row>
          <xdr:rowOff>200025</xdr:rowOff>
        </xdr:to>
        <xdr:sp macro="" textlink="">
          <xdr:nvSpPr>
            <xdr:cNvPr id="8290" name="ComboBox13" hidden="1">
              <a:extLst>
                <a:ext uri="{63B3BB69-23CF-44E3-9099-C40C66FF867C}">
                  <a14:compatExt spid="_x0000_s8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8292" name="ComboBox14" hidden="1">
              <a:extLst>
                <a:ext uri="{63B3BB69-23CF-44E3-9099-C40C66FF867C}">
                  <a14:compatExt spid="_x0000_s8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45</xdr:row>
          <xdr:rowOff>171450</xdr:rowOff>
        </xdr:from>
        <xdr:to>
          <xdr:col>9</xdr:col>
          <xdr:colOff>190500</xdr:colOff>
          <xdr:row>65</xdr:row>
          <xdr:rowOff>9525</xdr:rowOff>
        </xdr:to>
        <xdr:sp macro="" textlink="">
          <xdr:nvSpPr>
            <xdr:cNvPr id="8299" name="Group Box 107" hidden="1">
              <a:extLst>
                <a:ext uri="{63B3BB69-23CF-44E3-9099-C40C66FF867C}">
                  <a14:compatExt spid="_x0000_s829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49</xdr:row>
          <xdr:rowOff>9525</xdr:rowOff>
        </xdr:from>
        <xdr:to>
          <xdr:col>9</xdr:col>
          <xdr:colOff>0</xdr:colOff>
          <xdr:row>50</xdr:row>
          <xdr:rowOff>0</xdr:rowOff>
        </xdr:to>
        <xdr:sp macro="" textlink="">
          <xdr:nvSpPr>
            <xdr:cNvPr id="8302" name="ComboBox20" hidden="1">
              <a:extLst>
                <a:ext uri="{63B3BB69-23CF-44E3-9099-C40C66FF867C}">
                  <a14:compatExt spid="_x0000_s83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51</xdr:row>
          <xdr:rowOff>9525</xdr:rowOff>
        </xdr:from>
        <xdr:to>
          <xdr:col>9</xdr:col>
          <xdr:colOff>9525</xdr:colOff>
          <xdr:row>52</xdr:row>
          <xdr:rowOff>0</xdr:rowOff>
        </xdr:to>
        <xdr:sp macro="" textlink="">
          <xdr:nvSpPr>
            <xdr:cNvPr id="8304" name="ComboBox17" hidden="1">
              <a:extLst>
                <a:ext uri="{63B3BB69-23CF-44E3-9099-C40C66FF867C}">
                  <a14:compatExt spid="_x0000_s8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55</xdr:row>
          <xdr:rowOff>9525</xdr:rowOff>
        </xdr:from>
        <xdr:to>
          <xdr:col>9</xdr:col>
          <xdr:colOff>0</xdr:colOff>
          <xdr:row>56</xdr:row>
          <xdr:rowOff>0</xdr:rowOff>
        </xdr:to>
        <xdr:sp macro="" textlink="">
          <xdr:nvSpPr>
            <xdr:cNvPr id="8307" name="ComboBox19" hidden="1">
              <a:extLst>
                <a:ext uri="{63B3BB69-23CF-44E3-9099-C40C66FF867C}">
                  <a14:compatExt spid="_x0000_s8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57</xdr:row>
          <xdr:rowOff>9525</xdr:rowOff>
        </xdr:from>
        <xdr:to>
          <xdr:col>9</xdr:col>
          <xdr:colOff>9525</xdr:colOff>
          <xdr:row>58</xdr:row>
          <xdr:rowOff>0</xdr:rowOff>
        </xdr:to>
        <xdr:sp macro="" textlink="">
          <xdr:nvSpPr>
            <xdr:cNvPr id="8308" name="ComboBox21" hidden="1">
              <a:extLst>
                <a:ext uri="{63B3BB69-23CF-44E3-9099-C40C66FF867C}">
                  <a14:compatExt spid="_x0000_s83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61</xdr:row>
          <xdr:rowOff>9525</xdr:rowOff>
        </xdr:from>
        <xdr:to>
          <xdr:col>9</xdr:col>
          <xdr:colOff>9525</xdr:colOff>
          <xdr:row>62</xdr:row>
          <xdr:rowOff>0</xdr:rowOff>
        </xdr:to>
        <xdr:sp macro="" textlink="">
          <xdr:nvSpPr>
            <xdr:cNvPr id="8309" name="ComboBox22" hidden="1">
              <a:extLst>
                <a:ext uri="{63B3BB69-23CF-44E3-9099-C40C66FF867C}">
                  <a14:compatExt spid="_x0000_s83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63</xdr:row>
          <xdr:rowOff>9525</xdr:rowOff>
        </xdr:from>
        <xdr:to>
          <xdr:col>9</xdr:col>
          <xdr:colOff>0</xdr:colOff>
          <xdr:row>64</xdr:row>
          <xdr:rowOff>0</xdr:rowOff>
        </xdr:to>
        <xdr:sp macro="" textlink="">
          <xdr:nvSpPr>
            <xdr:cNvPr id="8310" name="ComboBox23" hidden="1">
              <a:extLst>
                <a:ext uri="{63B3BB69-23CF-44E3-9099-C40C66FF867C}">
                  <a14:compatExt spid="_x0000_s83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152400</xdr:rowOff>
        </xdr:from>
        <xdr:to>
          <xdr:col>9</xdr:col>
          <xdr:colOff>171450</xdr:colOff>
          <xdr:row>39</xdr:row>
          <xdr:rowOff>19050</xdr:rowOff>
        </xdr:to>
        <xdr:sp macro="" textlink="">
          <xdr:nvSpPr>
            <xdr:cNvPr id="8312" name="Group Box 120" hidden="1">
              <a:extLst>
                <a:ext uri="{63B3BB69-23CF-44E3-9099-C40C66FF867C}">
                  <a14:compatExt spid="_x0000_s83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Identifiers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2</xdr:row>
          <xdr:rowOff>104775</xdr:rowOff>
        </xdr:from>
        <xdr:to>
          <xdr:col>4</xdr:col>
          <xdr:colOff>161925</xdr:colOff>
          <xdr:row>5</xdr:row>
          <xdr:rowOff>76200</xdr:rowOff>
        </xdr:to>
        <xdr:sp macro="" textlink="">
          <xdr:nvSpPr>
            <xdr:cNvPr id="8313" name="Group Box 121" hidden="1">
              <a:extLst>
                <a:ext uri="{63B3BB69-23CF-44E3-9099-C40C66FF867C}">
                  <a14:compatExt spid="_x0000_s83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Issuer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xdr:row>
          <xdr:rowOff>9525</xdr:rowOff>
        </xdr:from>
        <xdr:to>
          <xdr:col>9</xdr:col>
          <xdr:colOff>9525</xdr:colOff>
          <xdr:row>6</xdr:row>
          <xdr:rowOff>0</xdr:rowOff>
        </xdr:to>
        <xdr:sp macro="" textlink="">
          <xdr:nvSpPr>
            <xdr:cNvPr id="8320" name="ComboBox15" hidden="1">
              <a:extLst>
                <a:ext uri="{63B3BB69-23CF-44E3-9099-C40C66FF867C}">
                  <a14:compatExt spid="_x0000_s8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49</xdr:row>
          <xdr:rowOff>9525</xdr:rowOff>
        </xdr:from>
        <xdr:to>
          <xdr:col>4</xdr:col>
          <xdr:colOff>9525</xdr:colOff>
          <xdr:row>50</xdr:row>
          <xdr:rowOff>0</xdr:rowOff>
        </xdr:to>
        <xdr:sp macro="" textlink="">
          <xdr:nvSpPr>
            <xdr:cNvPr id="8322" name="ComboBox24" hidden="1">
              <a:extLst>
                <a:ext uri="{63B3BB69-23CF-44E3-9099-C40C66FF867C}">
                  <a14:compatExt spid="_x0000_s8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79</xdr:row>
          <xdr:rowOff>9525</xdr:rowOff>
        </xdr:from>
        <xdr:to>
          <xdr:col>4</xdr:col>
          <xdr:colOff>0</xdr:colOff>
          <xdr:row>80</xdr:row>
          <xdr:rowOff>0</xdr:rowOff>
        </xdr:to>
        <xdr:sp macro="" textlink="">
          <xdr:nvSpPr>
            <xdr:cNvPr id="8323" name="ComboBox25" hidden="1">
              <a:extLst>
                <a:ext uri="{63B3BB69-23CF-44E3-9099-C40C66FF867C}">
                  <a14:compatExt spid="_x0000_s83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55</xdr:row>
          <xdr:rowOff>9525</xdr:rowOff>
        </xdr:from>
        <xdr:to>
          <xdr:col>4</xdr:col>
          <xdr:colOff>0</xdr:colOff>
          <xdr:row>56</xdr:row>
          <xdr:rowOff>0</xdr:rowOff>
        </xdr:to>
        <xdr:sp macro="" textlink="">
          <xdr:nvSpPr>
            <xdr:cNvPr id="8327" name="ComboBox26" hidden="1">
              <a:extLst>
                <a:ext uri="{63B3BB69-23CF-44E3-9099-C40C66FF867C}">
                  <a14:compatExt spid="_x0000_s8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61</xdr:row>
          <xdr:rowOff>9525</xdr:rowOff>
        </xdr:from>
        <xdr:to>
          <xdr:col>4</xdr:col>
          <xdr:colOff>0</xdr:colOff>
          <xdr:row>62</xdr:row>
          <xdr:rowOff>0</xdr:rowOff>
        </xdr:to>
        <xdr:sp macro="" textlink="">
          <xdr:nvSpPr>
            <xdr:cNvPr id="8328" name="ComboBox27" hidden="1">
              <a:extLst>
                <a:ext uri="{63B3BB69-23CF-44E3-9099-C40C66FF867C}">
                  <a14:compatExt spid="_x0000_s8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65</xdr:row>
          <xdr:rowOff>9525</xdr:rowOff>
        </xdr:from>
        <xdr:to>
          <xdr:col>4</xdr:col>
          <xdr:colOff>0</xdr:colOff>
          <xdr:row>66</xdr:row>
          <xdr:rowOff>0</xdr:rowOff>
        </xdr:to>
        <xdr:sp macro="" textlink="">
          <xdr:nvSpPr>
            <xdr:cNvPr id="8331" name="ComboBox29" hidden="1">
              <a:extLst>
                <a:ext uri="{63B3BB69-23CF-44E3-9099-C40C66FF867C}">
                  <a14:compatExt spid="_x0000_s8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81</xdr:row>
          <xdr:rowOff>9525</xdr:rowOff>
        </xdr:from>
        <xdr:to>
          <xdr:col>4</xdr:col>
          <xdr:colOff>9525</xdr:colOff>
          <xdr:row>82</xdr:row>
          <xdr:rowOff>0</xdr:rowOff>
        </xdr:to>
        <xdr:sp macro="" textlink="">
          <xdr:nvSpPr>
            <xdr:cNvPr id="8333" name="ComboBox31" hidden="1">
              <a:extLst>
                <a:ext uri="{63B3BB69-23CF-44E3-9099-C40C66FF867C}">
                  <a14:compatExt spid="_x0000_s8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9</xdr:row>
          <xdr:rowOff>9525</xdr:rowOff>
        </xdr:from>
        <xdr:to>
          <xdr:col>9</xdr:col>
          <xdr:colOff>0</xdr:colOff>
          <xdr:row>10</xdr:row>
          <xdr:rowOff>0</xdr:rowOff>
        </xdr:to>
        <xdr:sp macro="" textlink="">
          <xdr:nvSpPr>
            <xdr:cNvPr id="8335" name="ComboBox33" hidden="1">
              <a:extLst>
                <a:ext uri="{63B3BB69-23CF-44E3-9099-C40C66FF867C}">
                  <a14:compatExt spid="_x0000_s83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9</xdr:col>
          <xdr:colOff>0</xdr:colOff>
          <xdr:row>18</xdr:row>
          <xdr:rowOff>0</xdr:rowOff>
        </xdr:to>
        <xdr:sp macro="" textlink="">
          <xdr:nvSpPr>
            <xdr:cNvPr id="8337" name="ComboBox35" hidden="1">
              <a:extLst>
                <a:ext uri="{63B3BB69-23CF-44E3-9099-C40C66FF867C}">
                  <a14:compatExt spid="_x0000_s8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47</xdr:row>
          <xdr:rowOff>9525</xdr:rowOff>
        </xdr:from>
        <xdr:to>
          <xdr:col>9</xdr:col>
          <xdr:colOff>0</xdr:colOff>
          <xdr:row>48</xdr:row>
          <xdr:rowOff>0</xdr:rowOff>
        </xdr:to>
        <xdr:sp macro="" textlink="">
          <xdr:nvSpPr>
            <xdr:cNvPr id="8338" name="ComboBox30" hidden="1">
              <a:extLst>
                <a:ext uri="{63B3BB69-23CF-44E3-9099-C40C66FF867C}">
                  <a14:compatExt spid="_x0000_s8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53</xdr:row>
          <xdr:rowOff>9525</xdr:rowOff>
        </xdr:from>
        <xdr:to>
          <xdr:col>9</xdr:col>
          <xdr:colOff>0</xdr:colOff>
          <xdr:row>54</xdr:row>
          <xdr:rowOff>0</xdr:rowOff>
        </xdr:to>
        <xdr:sp macro="" textlink="">
          <xdr:nvSpPr>
            <xdr:cNvPr id="8339" name="ComboBox32" hidden="1">
              <a:extLst>
                <a:ext uri="{63B3BB69-23CF-44E3-9099-C40C66FF867C}">
                  <a14:compatExt spid="_x0000_s8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59</xdr:row>
          <xdr:rowOff>9525</xdr:rowOff>
        </xdr:from>
        <xdr:to>
          <xdr:col>9</xdr:col>
          <xdr:colOff>0</xdr:colOff>
          <xdr:row>60</xdr:row>
          <xdr:rowOff>0</xdr:rowOff>
        </xdr:to>
        <xdr:sp macro="" textlink="">
          <xdr:nvSpPr>
            <xdr:cNvPr id="8340" name="ComboBox34" hidden="1">
              <a:extLst>
                <a:ext uri="{63B3BB69-23CF-44E3-9099-C40C66FF867C}">
                  <a14:compatExt spid="_x0000_s83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xdr:row>
          <xdr:rowOff>9525</xdr:rowOff>
        </xdr:from>
        <xdr:to>
          <xdr:col>4</xdr:col>
          <xdr:colOff>9525</xdr:colOff>
          <xdr:row>8</xdr:row>
          <xdr:rowOff>0</xdr:rowOff>
        </xdr:to>
        <xdr:sp macro="" textlink="">
          <xdr:nvSpPr>
            <xdr:cNvPr id="8346" name="ComboBox1" hidden="1">
              <a:extLst>
                <a:ext uri="{63B3BB69-23CF-44E3-9099-C40C66FF867C}">
                  <a14:compatExt spid="_x0000_s8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xdr:row>
          <xdr:rowOff>9525</xdr:rowOff>
        </xdr:from>
        <xdr:to>
          <xdr:col>9</xdr:col>
          <xdr:colOff>0</xdr:colOff>
          <xdr:row>12</xdr:row>
          <xdr:rowOff>0</xdr:rowOff>
        </xdr:to>
        <xdr:sp macro="" textlink="">
          <xdr:nvSpPr>
            <xdr:cNvPr id="8349" name="ComboBox28" hidden="1">
              <a:extLst>
                <a:ext uri="{63B3BB69-23CF-44E3-9099-C40C66FF867C}">
                  <a14:compatExt spid="_x0000_s8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13</xdr:row>
          <xdr:rowOff>9525</xdr:rowOff>
        </xdr:from>
        <xdr:to>
          <xdr:col>9</xdr:col>
          <xdr:colOff>0</xdr:colOff>
          <xdr:row>14</xdr:row>
          <xdr:rowOff>0</xdr:rowOff>
        </xdr:to>
        <xdr:sp macro="" textlink="">
          <xdr:nvSpPr>
            <xdr:cNvPr id="8351" name="ComboBox36" hidden="1">
              <a:extLst>
                <a:ext uri="{63B3BB69-23CF-44E3-9099-C40C66FF867C}">
                  <a14:compatExt spid="_x0000_s8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xdr:rowOff>
        </xdr:from>
        <xdr:to>
          <xdr:col>4</xdr:col>
          <xdr:colOff>9525</xdr:colOff>
          <xdr:row>28</xdr:row>
          <xdr:rowOff>0</xdr:rowOff>
        </xdr:to>
        <xdr:sp macro="" textlink="">
          <xdr:nvSpPr>
            <xdr:cNvPr id="8354" name="ComboBox38" hidden="1">
              <a:extLst>
                <a:ext uri="{63B3BB69-23CF-44E3-9099-C40C66FF867C}">
                  <a14:compatExt spid="_x0000_s83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9525</xdr:rowOff>
        </xdr:from>
        <xdr:to>
          <xdr:col>9</xdr:col>
          <xdr:colOff>0</xdr:colOff>
          <xdr:row>22</xdr:row>
          <xdr:rowOff>0</xdr:rowOff>
        </xdr:to>
        <xdr:sp macro="" textlink="">
          <xdr:nvSpPr>
            <xdr:cNvPr id="8355" name="ComboBox39" hidden="1">
              <a:extLst>
                <a:ext uri="{63B3BB69-23CF-44E3-9099-C40C66FF867C}">
                  <a14:compatExt spid="_x0000_s83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27</xdr:row>
          <xdr:rowOff>9525</xdr:rowOff>
        </xdr:from>
        <xdr:to>
          <xdr:col>9</xdr:col>
          <xdr:colOff>0</xdr:colOff>
          <xdr:row>28</xdr:row>
          <xdr:rowOff>0</xdr:rowOff>
        </xdr:to>
        <xdr:sp macro="" textlink="">
          <xdr:nvSpPr>
            <xdr:cNvPr id="8358" name="ComboBox41" hidden="1">
              <a:extLst>
                <a:ext uri="{63B3BB69-23CF-44E3-9099-C40C66FF867C}">
                  <a14:compatExt spid="_x0000_s83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83</xdr:row>
          <xdr:rowOff>9525</xdr:rowOff>
        </xdr:from>
        <xdr:to>
          <xdr:col>4</xdr:col>
          <xdr:colOff>9525</xdr:colOff>
          <xdr:row>84</xdr:row>
          <xdr:rowOff>0</xdr:rowOff>
        </xdr:to>
        <xdr:sp macro="" textlink="">
          <xdr:nvSpPr>
            <xdr:cNvPr id="8360" name="ComboBox40" hidden="1">
              <a:extLst>
                <a:ext uri="{63B3BB69-23CF-44E3-9099-C40C66FF867C}">
                  <a14:compatExt spid="_x0000_s8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85</xdr:row>
          <xdr:rowOff>9525</xdr:rowOff>
        </xdr:from>
        <xdr:to>
          <xdr:col>4</xdr:col>
          <xdr:colOff>9525</xdr:colOff>
          <xdr:row>86</xdr:row>
          <xdr:rowOff>0</xdr:rowOff>
        </xdr:to>
        <xdr:sp macro="" textlink="">
          <xdr:nvSpPr>
            <xdr:cNvPr id="8361" name="ComboBox42" hidden="1">
              <a:extLst>
                <a:ext uri="{63B3BB69-23CF-44E3-9099-C40C66FF867C}">
                  <a14:compatExt spid="_x0000_s8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87</xdr:row>
          <xdr:rowOff>9525</xdr:rowOff>
        </xdr:from>
        <xdr:to>
          <xdr:col>4</xdr:col>
          <xdr:colOff>9525</xdr:colOff>
          <xdr:row>88</xdr:row>
          <xdr:rowOff>0</xdr:rowOff>
        </xdr:to>
        <xdr:sp macro="" textlink="">
          <xdr:nvSpPr>
            <xdr:cNvPr id="8362" name="ComboBox43" hidden="1">
              <a:extLst>
                <a:ext uri="{63B3BB69-23CF-44E3-9099-C40C66FF867C}">
                  <a14:compatExt spid="_x0000_s8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171450</xdr:rowOff>
        </xdr:from>
        <xdr:to>
          <xdr:col>4</xdr:col>
          <xdr:colOff>180975</xdr:colOff>
          <xdr:row>95</xdr:row>
          <xdr:rowOff>133350</xdr:rowOff>
        </xdr:to>
        <xdr:sp macro="" textlink="">
          <xdr:nvSpPr>
            <xdr:cNvPr id="8363" name="Group Box 171" hidden="1">
              <a:extLst>
                <a:ext uri="{63B3BB69-23CF-44E3-9099-C40C66FF867C}">
                  <a14:compatExt spid="_x0000_s83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Muni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93</xdr:row>
          <xdr:rowOff>9525</xdr:rowOff>
        </xdr:from>
        <xdr:to>
          <xdr:col>4</xdr:col>
          <xdr:colOff>0</xdr:colOff>
          <xdr:row>94</xdr:row>
          <xdr:rowOff>0</xdr:rowOff>
        </xdr:to>
        <xdr:sp macro="" textlink="">
          <xdr:nvSpPr>
            <xdr:cNvPr id="8364" name="ComboBox44" hidden="1">
              <a:extLst>
                <a:ext uri="{63B3BB69-23CF-44E3-9099-C40C66FF867C}">
                  <a14:compatExt spid="_x0000_s8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65</xdr:row>
          <xdr:rowOff>180975</xdr:rowOff>
        </xdr:from>
        <xdr:to>
          <xdr:col>9</xdr:col>
          <xdr:colOff>209550</xdr:colOff>
          <xdr:row>77</xdr:row>
          <xdr:rowOff>47625</xdr:rowOff>
        </xdr:to>
        <xdr:sp macro="" textlink="">
          <xdr:nvSpPr>
            <xdr:cNvPr id="8365" name="Group Box 173" hidden="1">
              <a:extLst>
                <a:ext uri="{63B3BB69-23CF-44E3-9099-C40C66FF867C}">
                  <a14:compatExt spid="_x0000_s836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Tranche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77</xdr:row>
          <xdr:rowOff>161925</xdr:rowOff>
        </xdr:from>
        <xdr:to>
          <xdr:col>9</xdr:col>
          <xdr:colOff>209550</xdr:colOff>
          <xdr:row>93</xdr:row>
          <xdr:rowOff>28575</xdr:rowOff>
        </xdr:to>
        <xdr:sp macro="" textlink="">
          <xdr:nvSpPr>
            <xdr:cNvPr id="8366" name="Group Box 174" hidden="1">
              <a:extLst>
                <a:ext uri="{63B3BB69-23CF-44E3-9099-C40C66FF867C}">
                  <a14:compatExt spid="_x0000_s83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Issue Classification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67</xdr:row>
          <xdr:rowOff>9525</xdr:rowOff>
        </xdr:from>
        <xdr:to>
          <xdr:col>9</xdr:col>
          <xdr:colOff>9525</xdr:colOff>
          <xdr:row>68</xdr:row>
          <xdr:rowOff>0</xdr:rowOff>
        </xdr:to>
        <xdr:sp macro="" textlink="">
          <xdr:nvSpPr>
            <xdr:cNvPr id="8367" name="ComboBox16" hidden="1">
              <a:extLst>
                <a:ext uri="{63B3BB69-23CF-44E3-9099-C40C66FF867C}">
                  <a14:compatExt spid="_x0000_s8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69</xdr:row>
          <xdr:rowOff>9525</xdr:rowOff>
        </xdr:from>
        <xdr:to>
          <xdr:col>9</xdr:col>
          <xdr:colOff>9525</xdr:colOff>
          <xdr:row>70</xdr:row>
          <xdr:rowOff>0</xdr:rowOff>
        </xdr:to>
        <xdr:sp macro="" textlink="">
          <xdr:nvSpPr>
            <xdr:cNvPr id="8368" name="ComboBox18" hidden="1">
              <a:extLst>
                <a:ext uri="{63B3BB69-23CF-44E3-9099-C40C66FF867C}">
                  <a14:compatExt spid="_x0000_s8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71</xdr:row>
          <xdr:rowOff>9525</xdr:rowOff>
        </xdr:from>
        <xdr:to>
          <xdr:col>9</xdr:col>
          <xdr:colOff>9525</xdr:colOff>
          <xdr:row>72</xdr:row>
          <xdr:rowOff>0</xdr:rowOff>
        </xdr:to>
        <xdr:sp macro="" textlink="">
          <xdr:nvSpPr>
            <xdr:cNvPr id="8369" name="ComboBox45" hidden="1">
              <a:extLst>
                <a:ext uri="{63B3BB69-23CF-44E3-9099-C40C66FF867C}">
                  <a14:compatExt spid="_x0000_s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73</xdr:row>
          <xdr:rowOff>9525</xdr:rowOff>
        </xdr:from>
        <xdr:to>
          <xdr:col>9</xdr:col>
          <xdr:colOff>9525</xdr:colOff>
          <xdr:row>74</xdr:row>
          <xdr:rowOff>0</xdr:rowOff>
        </xdr:to>
        <xdr:sp macro="" textlink="">
          <xdr:nvSpPr>
            <xdr:cNvPr id="8370" name="ComboBox46" hidden="1">
              <a:extLst>
                <a:ext uri="{63B3BB69-23CF-44E3-9099-C40C66FF867C}">
                  <a14:compatExt spid="_x0000_s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79</xdr:row>
          <xdr:rowOff>9525</xdr:rowOff>
        </xdr:from>
        <xdr:to>
          <xdr:col>9</xdr:col>
          <xdr:colOff>9525</xdr:colOff>
          <xdr:row>80</xdr:row>
          <xdr:rowOff>0</xdr:rowOff>
        </xdr:to>
        <xdr:sp macro="" textlink="">
          <xdr:nvSpPr>
            <xdr:cNvPr id="8371" name="ComboBox37" hidden="1">
              <a:extLst>
                <a:ext uri="{63B3BB69-23CF-44E3-9099-C40C66FF867C}">
                  <a14:compatExt spid="_x0000_s8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81</xdr:row>
          <xdr:rowOff>9525</xdr:rowOff>
        </xdr:from>
        <xdr:to>
          <xdr:col>9</xdr:col>
          <xdr:colOff>9525</xdr:colOff>
          <xdr:row>82</xdr:row>
          <xdr:rowOff>0</xdr:rowOff>
        </xdr:to>
        <xdr:sp macro="" textlink="">
          <xdr:nvSpPr>
            <xdr:cNvPr id="8372" name="ComboBox47" hidden="1">
              <a:extLst>
                <a:ext uri="{63B3BB69-23CF-44E3-9099-C40C66FF867C}">
                  <a14:compatExt spid="_x0000_s8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83</xdr:row>
          <xdr:rowOff>9525</xdr:rowOff>
        </xdr:from>
        <xdr:to>
          <xdr:col>9</xdr:col>
          <xdr:colOff>9525</xdr:colOff>
          <xdr:row>84</xdr:row>
          <xdr:rowOff>0</xdr:rowOff>
        </xdr:to>
        <xdr:sp macro="" textlink="">
          <xdr:nvSpPr>
            <xdr:cNvPr id="8373" name="ComboBox48" hidden="1">
              <a:extLst>
                <a:ext uri="{63B3BB69-23CF-44E3-9099-C40C66FF867C}">
                  <a14:compatExt spid="_x0000_s8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85</xdr:row>
          <xdr:rowOff>9525</xdr:rowOff>
        </xdr:from>
        <xdr:to>
          <xdr:col>9</xdr:col>
          <xdr:colOff>9525</xdr:colOff>
          <xdr:row>86</xdr:row>
          <xdr:rowOff>0</xdr:rowOff>
        </xdr:to>
        <xdr:sp macro="" textlink="">
          <xdr:nvSpPr>
            <xdr:cNvPr id="8374" name="ComboBox49" hidden="1">
              <a:extLst>
                <a:ext uri="{63B3BB69-23CF-44E3-9099-C40C66FF867C}">
                  <a14:compatExt spid="_x0000_s8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87</xdr:row>
          <xdr:rowOff>9525</xdr:rowOff>
        </xdr:from>
        <xdr:to>
          <xdr:col>9</xdr:col>
          <xdr:colOff>9525</xdr:colOff>
          <xdr:row>88</xdr:row>
          <xdr:rowOff>0</xdr:rowOff>
        </xdr:to>
        <xdr:sp macro="" textlink="">
          <xdr:nvSpPr>
            <xdr:cNvPr id="8375" name="ComboBox50" hidden="1">
              <a:extLst>
                <a:ext uri="{63B3BB69-23CF-44E3-9099-C40C66FF867C}">
                  <a14:compatExt spid="_x0000_s8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9525</xdr:rowOff>
        </xdr:from>
        <xdr:to>
          <xdr:col>9</xdr:col>
          <xdr:colOff>9525</xdr:colOff>
          <xdr:row>90</xdr:row>
          <xdr:rowOff>0</xdr:rowOff>
        </xdr:to>
        <xdr:sp macro="" textlink="">
          <xdr:nvSpPr>
            <xdr:cNvPr id="8376" name="ComboBox51" hidden="1">
              <a:extLst>
                <a:ext uri="{63B3BB69-23CF-44E3-9099-C40C66FF867C}">
                  <a14:compatExt spid="_x0000_s8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91</xdr:row>
          <xdr:rowOff>9525</xdr:rowOff>
        </xdr:from>
        <xdr:to>
          <xdr:col>9</xdr:col>
          <xdr:colOff>0</xdr:colOff>
          <xdr:row>92</xdr:row>
          <xdr:rowOff>0</xdr:rowOff>
        </xdr:to>
        <xdr:sp macro="" textlink="">
          <xdr:nvSpPr>
            <xdr:cNvPr id="8377" name="ComboBox52" hidden="1">
              <a:extLst>
                <a:ext uri="{63B3BB69-23CF-44E3-9099-C40C66FF867C}">
                  <a14:compatExt spid="_x0000_s8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9525</xdr:rowOff>
        </xdr:from>
        <xdr:to>
          <xdr:col>4</xdr:col>
          <xdr:colOff>9525</xdr:colOff>
          <xdr:row>10</xdr:row>
          <xdr:rowOff>0</xdr:rowOff>
        </xdr:to>
        <xdr:sp macro="" textlink="">
          <xdr:nvSpPr>
            <xdr:cNvPr id="8378" name="ComboBox60" hidden="1">
              <a:extLst>
                <a:ext uri="{63B3BB69-23CF-44E3-9099-C40C66FF867C}">
                  <a14:compatExt spid="_x0000_s8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31</xdr:row>
          <xdr:rowOff>19050</xdr:rowOff>
        </xdr:from>
        <xdr:to>
          <xdr:col>4</xdr:col>
          <xdr:colOff>9525</xdr:colOff>
          <xdr:row>32</xdr:row>
          <xdr:rowOff>0</xdr:rowOff>
        </xdr:to>
        <xdr:sp macro="" textlink="">
          <xdr:nvSpPr>
            <xdr:cNvPr id="8379" name="ComboBox6" hidden="1">
              <a:extLst>
                <a:ext uri="{63B3BB69-23CF-44E3-9099-C40C66FF867C}">
                  <a14:compatExt spid="_x0000_s8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885825</xdr:colOff>
          <xdr:row>93</xdr:row>
          <xdr:rowOff>114300</xdr:rowOff>
        </xdr:from>
        <xdr:to>
          <xdr:col>9</xdr:col>
          <xdr:colOff>219075</xdr:colOff>
          <xdr:row>95</xdr:row>
          <xdr:rowOff>133350</xdr:rowOff>
        </xdr:to>
        <xdr:sp macro="" textlink="">
          <xdr:nvSpPr>
            <xdr:cNvPr id="8381" name="Button 189" hidden="1">
              <a:extLst>
                <a:ext uri="{63B3BB69-23CF-44E3-9099-C40C66FF867C}">
                  <a14:compatExt spid="_x0000_s83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895350</xdr:colOff>
          <xdr:row>95</xdr:row>
          <xdr:rowOff>190500</xdr:rowOff>
        </xdr:from>
        <xdr:to>
          <xdr:col>9</xdr:col>
          <xdr:colOff>219075</xdr:colOff>
          <xdr:row>98</xdr:row>
          <xdr:rowOff>28575</xdr:rowOff>
        </xdr:to>
        <xdr:sp macro="" textlink="">
          <xdr:nvSpPr>
            <xdr:cNvPr id="8384" name="Button 192" hidden="1">
              <a:extLst>
                <a:ext uri="{63B3BB69-23CF-44E3-9099-C40C66FF867C}">
                  <a14:compatExt spid="_x0000_s83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'List of Added Securities' </a:t>
              </a:r>
            </a:p>
          </xdr:txBody>
        </xdr:sp>
        <xdr:clientData fPrintsWithSheet="0"/>
      </xdr:twoCellAnchor>
    </mc:Choice>
    <mc:Fallback/>
  </mc:AlternateContent>
  <xdr:twoCellAnchor>
    <xdr:from>
      <xdr:col>6</xdr:col>
      <xdr:colOff>1266825</xdr:colOff>
      <xdr:row>72</xdr:row>
      <xdr:rowOff>28576</xdr:rowOff>
    </xdr:from>
    <xdr:to>
      <xdr:col>9</xdr:col>
      <xdr:colOff>123825</xdr:colOff>
      <xdr:row>76</xdr:row>
      <xdr:rowOff>47625</xdr:rowOff>
    </xdr:to>
    <xdr:sp macro="" textlink="">
      <xdr:nvSpPr>
        <xdr:cNvPr id="3" name="Rectangle 2"/>
        <xdr:cNvSpPr/>
      </xdr:nvSpPr>
      <xdr:spPr>
        <a:xfrm>
          <a:off x="7505700" y="10182226"/>
          <a:ext cx="4533900" cy="552449"/>
        </a:xfrm>
        <a:prstGeom prst="rect">
          <a:avLst/>
        </a:prstGeom>
        <a:noFill/>
        <a:ln w="3175">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6</xdr:col>
          <xdr:colOff>38100</xdr:colOff>
          <xdr:row>96</xdr:row>
          <xdr:rowOff>0</xdr:rowOff>
        </xdr:from>
        <xdr:to>
          <xdr:col>8</xdr:col>
          <xdr:colOff>123825</xdr:colOff>
          <xdr:row>98</xdr:row>
          <xdr:rowOff>28575</xdr:rowOff>
        </xdr:to>
        <xdr:sp macro="" textlink="">
          <xdr:nvSpPr>
            <xdr:cNvPr id="8387" name="Button 195" hidden="1">
              <a:extLst>
                <a:ext uri="{63B3BB69-23CF-44E3-9099-C40C66FF867C}">
                  <a14:compatExt spid="_x0000_s83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a:t>
              </a:r>
            </a:p>
          </xdr:txBody>
        </xdr:sp>
        <xdr:clientData fPrintsWithSheet="0"/>
      </xdr:twoCellAnchor>
    </mc:Choice>
    <mc:Fallback/>
  </mc:AlternateContent>
  <xdr:twoCellAnchor>
    <xdr:from>
      <xdr:col>11</xdr:col>
      <xdr:colOff>85725</xdr:colOff>
      <xdr:row>3</xdr:row>
      <xdr:rowOff>85725</xdr:rowOff>
    </xdr:from>
    <xdr:to>
      <xdr:col>17</xdr:col>
      <xdr:colOff>343958</xdr:colOff>
      <xdr:row>36</xdr:row>
      <xdr:rowOff>6241</xdr:rowOff>
    </xdr:to>
    <xdr:sp macro="" textlink="">
      <xdr:nvSpPr>
        <xdr:cNvPr id="73" name="TextBox 72"/>
        <xdr:cNvSpPr txBox="1"/>
      </xdr:nvSpPr>
      <xdr:spPr>
        <a:xfrm>
          <a:off x="13134975" y="685800"/>
          <a:ext cx="4592108" cy="4473466"/>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en-US" sz="1100" b="1" i="0" u="none" strike="noStrike" kern="0" cap="none" spc="0" normalizeH="0" baseline="0" noProof="0">
              <a:ln>
                <a:noFill/>
              </a:ln>
              <a:solidFill>
                <a:sysClr val="windowText" lastClr="000000"/>
              </a:solidFill>
              <a:effectLst/>
              <a:uLnTx/>
              <a:uFillTx/>
              <a:latin typeface="Calibri"/>
              <a:ea typeface="+mn-ea"/>
              <a:cs typeface="+mn-cs"/>
            </a:rPr>
            <a:t>Instructions:</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This file contains macro. Enable content to run</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the macro</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2	Template need to be saved on PC, to suport 'Create csv' 	funcionality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3</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Search for appropirate SMCI in SMC</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4</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Input security's data in the data fields on the left </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5</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Fields marked with (</a:t>
          </a:r>
          <a:r>
            <a:rPr kumimoji="0" lang="en-US" sz="1100" b="0" i="0" u="none" strike="noStrike" kern="0" cap="none" spc="0" normalizeH="0" baseline="0" noProof="0">
              <a:ln>
                <a:noFill/>
              </a:ln>
              <a:solidFill>
                <a:srgbClr val="FF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are mandatory</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for SMC</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6	Fields marked with (**) are mandatory for eDealer</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7	Fields marked with (</a:t>
          </a:r>
          <a:r>
            <a:rPr kumimoji="0" lang="pl-PL" sz="1100" b="0" i="0" u="none" strike="noStrike" kern="0" cap="none" spc="0" normalizeH="0" baseline="0" noProof="0">
              <a:ln>
                <a:noFill/>
              </a:ln>
              <a:solidFill>
                <a:srgbClr val="0070C0"/>
              </a:solidFill>
              <a:effectLst/>
              <a:uLnTx/>
              <a:uFillTx/>
              <a:latin typeface="Calibri"/>
              <a:ea typeface="+mn-ea"/>
              <a:cs typeface="+mn-cs"/>
            </a:rPr>
            <a: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are mandatory for Regulatory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8	When IsStep is checked proper tab will be open. Please fullfil 	accordingly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9</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Click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Add security to the list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when done</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After you hit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Add security...</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the data will be copied</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into the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List of added securities</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table located on the 	second sheet</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10	Click 'Clear 'Form''</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and Form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will be cleared and you</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may input information for another security</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11</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Click 'Create csv' to export added</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securit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ies to external csv 	file. File will be create in the same location as macro. This file 	is ready for 'SMC Bulk Upload process'</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12	Click 'Clear  'List of Added Securities'' to clear all created 	secuirities. </a:t>
          </a:r>
          <a:r>
            <a:rPr kumimoji="0" lang="pl-PL" sz="1100" b="1" i="0" u="none" strike="noStrike" kern="0" cap="none" spc="0" normalizeH="0" baseline="0" noProof="0">
              <a:ln>
                <a:noFill/>
              </a:ln>
              <a:solidFill>
                <a:sysClr val="windowText" lastClr="000000"/>
              </a:solidFill>
              <a:effectLst/>
              <a:uLnTx/>
              <a:uFillTx/>
              <a:latin typeface="Calibri"/>
              <a:ea typeface="+mn-ea"/>
              <a:cs typeface="+mn-cs"/>
            </a:rPr>
            <a:t>Remember to Clear form each time at the end of 	work!</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13	SMCP will be added automaticly for new products</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19050</xdr:rowOff>
        </xdr:from>
        <xdr:to>
          <xdr:col>11</xdr:col>
          <xdr:colOff>152400</xdr:colOff>
          <xdr:row>5</xdr:row>
          <xdr:rowOff>95250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600075</xdr:colOff>
          <xdr:row>8</xdr:row>
          <xdr:rowOff>0</xdr:rowOff>
        </xdr:from>
        <xdr:to>
          <xdr:col>9</xdr:col>
          <xdr:colOff>495300</xdr:colOff>
          <xdr:row>10</xdr:row>
          <xdr:rowOff>152400</xdr:rowOff>
        </xdr:to>
        <xdr:sp macro="" textlink="">
          <xdr:nvSpPr>
            <xdr:cNvPr id="10250" name="CommandButton1"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1</xdr:row>
          <xdr:rowOff>180975</xdr:rowOff>
        </xdr:from>
        <xdr:to>
          <xdr:col>10</xdr:col>
          <xdr:colOff>190500</xdr:colOff>
          <xdr:row>4</xdr:row>
          <xdr:rowOff>95250</xdr:rowOff>
        </xdr:to>
        <xdr:sp macro="" textlink="">
          <xdr:nvSpPr>
            <xdr:cNvPr id="10251" name="CommandButton2" hidden="1">
              <a:extLst>
                <a:ext uri="{63B3BB69-23CF-44E3-9099-C40C66FF867C}">
                  <a14:compatExt spid="_x0000_s10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4</xdr:row>
          <xdr:rowOff>180975</xdr:rowOff>
        </xdr:from>
        <xdr:to>
          <xdr:col>10</xdr:col>
          <xdr:colOff>190500</xdr:colOff>
          <xdr:row>7</xdr:row>
          <xdr:rowOff>95250</xdr:rowOff>
        </xdr:to>
        <xdr:sp macro="" textlink="">
          <xdr:nvSpPr>
            <xdr:cNvPr id="10252" name="CommandButton3" hidden="1">
              <a:extLst>
                <a:ext uri="{63B3BB69-23CF-44E3-9099-C40C66FF867C}">
                  <a14:compatExt spid="_x0000_s102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600075</xdr:colOff>
      <xdr:row>2</xdr:row>
      <xdr:rowOff>0</xdr:rowOff>
    </xdr:from>
    <xdr:to>
      <xdr:col>18</xdr:col>
      <xdr:colOff>169395</xdr:colOff>
      <xdr:row>9</xdr:row>
      <xdr:rowOff>47625</xdr:rowOff>
    </xdr:to>
    <xdr:sp macro="" textlink="">
      <xdr:nvSpPr>
        <xdr:cNvPr id="5" name="TextBox 4"/>
        <xdr:cNvSpPr txBox="1"/>
      </xdr:nvSpPr>
      <xdr:spPr>
        <a:xfrm>
          <a:off x="8734425" y="38100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7</xdr:row>
          <xdr:rowOff>180975</xdr:rowOff>
        </xdr:from>
        <xdr:to>
          <xdr:col>9</xdr:col>
          <xdr:colOff>266700</xdr:colOff>
          <xdr:row>10</xdr:row>
          <xdr:rowOff>142875</xdr:rowOff>
        </xdr:to>
        <xdr:sp macro="" textlink="">
          <xdr:nvSpPr>
            <xdr:cNvPr id="21505" name="CommandButton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1038225</xdr:colOff>
          <xdr:row>1</xdr:row>
          <xdr:rowOff>180975</xdr:rowOff>
        </xdr:from>
        <xdr:to>
          <xdr:col>9</xdr:col>
          <xdr:colOff>561975</xdr:colOff>
          <xdr:row>4</xdr:row>
          <xdr:rowOff>95250</xdr:rowOff>
        </xdr:to>
        <xdr:sp macro="" textlink="">
          <xdr:nvSpPr>
            <xdr:cNvPr id="21506" name="CommandButton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1038225</xdr:colOff>
          <xdr:row>4</xdr:row>
          <xdr:rowOff>180975</xdr:rowOff>
        </xdr:from>
        <xdr:to>
          <xdr:col>9</xdr:col>
          <xdr:colOff>561975</xdr:colOff>
          <xdr:row>7</xdr:row>
          <xdr:rowOff>95250</xdr:rowOff>
        </xdr:to>
        <xdr:sp macro="" textlink="">
          <xdr:nvSpPr>
            <xdr:cNvPr id="21507" name="CommandButton3" hidden="1">
              <a:extLst>
                <a:ext uri="{63B3BB69-23CF-44E3-9099-C40C66FF867C}">
                  <a14:compatExt spid="_x0000_s2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9525</xdr:colOff>
      <xdr:row>1</xdr:row>
      <xdr:rowOff>180975</xdr:rowOff>
    </xdr:from>
    <xdr:to>
      <xdr:col>14</xdr:col>
      <xdr:colOff>1340970</xdr:colOff>
      <xdr:row>9</xdr:row>
      <xdr:rowOff>38100</xdr:rowOff>
    </xdr:to>
    <xdr:sp macro="" textlink="">
      <xdr:nvSpPr>
        <xdr:cNvPr id="5" name="TextBox 4"/>
        <xdr:cNvSpPr txBox="1"/>
      </xdr:nvSpPr>
      <xdr:spPr>
        <a:xfrm>
          <a:off x="10734675" y="371475"/>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10</xdr:col>
          <xdr:colOff>219075</xdr:colOff>
          <xdr:row>9</xdr:row>
          <xdr:rowOff>104775</xdr:rowOff>
        </xdr:to>
        <xdr:sp macro="" textlink="">
          <xdr:nvSpPr>
            <xdr:cNvPr id="22529" name="CommandButton1" hidden="1">
              <a:extLst>
                <a:ext uri="{63B3BB69-23CF-44E3-9099-C40C66FF867C}">
                  <a14:compatExt spid="_x0000_s22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0</xdr:row>
          <xdr:rowOff>180975</xdr:rowOff>
        </xdr:from>
        <xdr:to>
          <xdr:col>11</xdr:col>
          <xdr:colOff>180975</xdr:colOff>
          <xdr:row>3</xdr:row>
          <xdr:rowOff>95250</xdr:rowOff>
        </xdr:to>
        <xdr:sp macro="" textlink="">
          <xdr:nvSpPr>
            <xdr:cNvPr id="22530" name="CommandButton2" hidden="1">
              <a:extLst>
                <a:ext uri="{63B3BB69-23CF-44E3-9099-C40C66FF867C}">
                  <a14:compatExt spid="_x0000_s22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3</xdr:row>
          <xdr:rowOff>180975</xdr:rowOff>
        </xdr:from>
        <xdr:to>
          <xdr:col>11</xdr:col>
          <xdr:colOff>180975</xdr:colOff>
          <xdr:row>6</xdr:row>
          <xdr:rowOff>95250</xdr:rowOff>
        </xdr:to>
        <xdr:sp macro="" textlink="">
          <xdr:nvSpPr>
            <xdr:cNvPr id="22532" name="CommandButton3" hidden="1">
              <a:extLst>
                <a:ext uri="{63B3BB69-23CF-44E3-9099-C40C66FF867C}">
                  <a14:compatExt spid="_x0000_s225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19050</xdr:colOff>
      <xdr:row>1</xdr:row>
      <xdr:rowOff>19050</xdr:rowOff>
    </xdr:from>
    <xdr:to>
      <xdr:col>19</xdr:col>
      <xdr:colOff>197970</xdr:colOff>
      <xdr:row>8</xdr:row>
      <xdr:rowOff>66675</xdr:rowOff>
    </xdr:to>
    <xdr:sp macro="" textlink="">
      <xdr:nvSpPr>
        <xdr:cNvPr id="5" name="TextBox 4"/>
        <xdr:cNvSpPr txBox="1"/>
      </xdr:nvSpPr>
      <xdr:spPr>
        <a:xfrm>
          <a:off x="10677525" y="20955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9</xdr:col>
          <xdr:colOff>219075</xdr:colOff>
          <xdr:row>9</xdr:row>
          <xdr:rowOff>104775</xdr:rowOff>
        </xdr:to>
        <xdr:sp macro="" textlink="">
          <xdr:nvSpPr>
            <xdr:cNvPr id="33793" name="CommandButton1" hidden="1">
              <a:extLst>
                <a:ext uri="{63B3BB69-23CF-44E3-9099-C40C66FF867C}">
                  <a14:compatExt spid="_x0000_s33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1</xdr:row>
          <xdr:rowOff>9525</xdr:rowOff>
        </xdr:from>
        <xdr:to>
          <xdr:col>10</xdr:col>
          <xdr:colOff>190500</xdr:colOff>
          <xdr:row>3</xdr:row>
          <xdr:rowOff>114300</xdr:rowOff>
        </xdr:to>
        <xdr:sp macro="" textlink="">
          <xdr:nvSpPr>
            <xdr:cNvPr id="33794" name="CommandButton2" hidden="1">
              <a:extLst>
                <a:ext uri="{63B3BB69-23CF-44E3-9099-C40C66FF867C}">
                  <a14:compatExt spid="_x0000_s33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4</xdr:row>
          <xdr:rowOff>0</xdr:rowOff>
        </xdr:from>
        <xdr:to>
          <xdr:col>10</xdr:col>
          <xdr:colOff>190500</xdr:colOff>
          <xdr:row>6</xdr:row>
          <xdr:rowOff>104775</xdr:rowOff>
        </xdr:to>
        <xdr:sp macro="" textlink="">
          <xdr:nvSpPr>
            <xdr:cNvPr id="33795" name="CommandButton3" hidden="1">
              <a:extLst>
                <a:ext uri="{63B3BB69-23CF-44E3-9099-C40C66FF867C}">
                  <a14:compatExt spid="_x0000_s337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9525</xdr:colOff>
      <xdr:row>1</xdr:row>
      <xdr:rowOff>0</xdr:rowOff>
    </xdr:from>
    <xdr:to>
      <xdr:col>18</xdr:col>
      <xdr:colOff>188445</xdr:colOff>
      <xdr:row>8</xdr:row>
      <xdr:rowOff>47625</xdr:rowOff>
    </xdr:to>
    <xdr:sp macro="" textlink="">
      <xdr:nvSpPr>
        <xdr:cNvPr id="5" name="TextBox 4"/>
        <xdr:cNvSpPr txBox="1"/>
      </xdr:nvSpPr>
      <xdr:spPr>
        <a:xfrm>
          <a:off x="8667750" y="19050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d58259\Desktop\eDealer_Template_v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tributes1"/>
      <sheetName val="Sink_data"/>
      <sheetName val="Attributes2"/>
      <sheetName val="Attributes3"/>
      <sheetName val="Attributes 4"/>
      <sheetName val="Attributes5"/>
      <sheetName val="Attributes6"/>
      <sheetName val="Attributes7"/>
      <sheetName val="Put"/>
      <sheetName val="Call"/>
      <sheetName val="Step"/>
      <sheetName val="SMCI_TEMPLATE"/>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B1" t="str">
            <v>Value 1</v>
          </cell>
        </row>
      </sheetData>
      <sheetData sheetId="10" refreshError="1"/>
      <sheetData sheetId="11" refreshError="1"/>
      <sheetData sheetId="12"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2">
    <queryTableFields count="1">
      <queryTableField id="1" name="Column1"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VersionCheck" displayName="VersionCheck" ref="A1:A2" tableType="queryTable" totalsRowShown="0" headerRowDxfId="2" dataDxfId="1">
  <autoFilter ref="A1:A2"/>
  <tableColumns count="1">
    <tableColumn id="1" uniqueName="1" name="Column1"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defRPr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control" Target="../activeX/activeX11.xml"/><Relationship Id="rId26" Type="http://schemas.openxmlformats.org/officeDocument/2006/relationships/control" Target="../activeX/activeX19.xml"/><Relationship Id="rId39" Type="http://schemas.openxmlformats.org/officeDocument/2006/relationships/control" Target="../activeX/activeX31.xml"/><Relationship Id="rId21" Type="http://schemas.openxmlformats.org/officeDocument/2006/relationships/control" Target="../activeX/activeX14.xml"/><Relationship Id="rId34" Type="http://schemas.openxmlformats.org/officeDocument/2006/relationships/control" Target="../activeX/activeX27.xml"/><Relationship Id="rId42" Type="http://schemas.openxmlformats.org/officeDocument/2006/relationships/control" Target="../activeX/activeX34.xml"/><Relationship Id="rId47" Type="http://schemas.openxmlformats.org/officeDocument/2006/relationships/control" Target="../activeX/activeX39.xml"/><Relationship Id="rId50" Type="http://schemas.openxmlformats.org/officeDocument/2006/relationships/control" Target="../activeX/activeX42.xml"/><Relationship Id="rId55" Type="http://schemas.openxmlformats.org/officeDocument/2006/relationships/image" Target="../media/image6.emf"/><Relationship Id="rId63" Type="http://schemas.openxmlformats.org/officeDocument/2006/relationships/ctrlProp" Target="../ctrlProps/ctrlProp1.xml"/><Relationship Id="rId68" Type="http://schemas.openxmlformats.org/officeDocument/2006/relationships/ctrlProp" Target="../ctrlProps/ctrlProp6.xml"/><Relationship Id="rId76" Type="http://schemas.openxmlformats.org/officeDocument/2006/relationships/ctrlProp" Target="../ctrlProps/ctrlProp14.xml"/><Relationship Id="rId7" Type="http://schemas.openxmlformats.org/officeDocument/2006/relationships/image" Target="../media/image2.emf"/><Relationship Id="rId71"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ntrol" Target="../activeX/activeX9.xml"/><Relationship Id="rId29" Type="http://schemas.openxmlformats.org/officeDocument/2006/relationships/control" Target="../activeX/activeX22.xml"/><Relationship Id="rId11" Type="http://schemas.openxmlformats.org/officeDocument/2006/relationships/control" Target="../activeX/activeX6.xml"/><Relationship Id="rId24" Type="http://schemas.openxmlformats.org/officeDocument/2006/relationships/control" Target="../activeX/activeX17.xml"/><Relationship Id="rId32" Type="http://schemas.openxmlformats.org/officeDocument/2006/relationships/control" Target="../activeX/activeX25.xml"/><Relationship Id="rId37" Type="http://schemas.openxmlformats.org/officeDocument/2006/relationships/control" Target="../activeX/activeX30.xml"/><Relationship Id="rId40" Type="http://schemas.openxmlformats.org/officeDocument/2006/relationships/control" Target="../activeX/activeX32.xml"/><Relationship Id="rId45" Type="http://schemas.openxmlformats.org/officeDocument/2006/relationships/control" Target="../activeX/activeX37.xml"/><Relationship Id="rId53" Type="http://schemas.openxmlformats.org/officeDocument/2006/relationships/control" Target="../activeX/activeX45.xml"/><Relationship Id="rId58" Type="http://schemas.openxmlformats.org/officeDocument/2006/relationships/control" Target="../activeX/activeX49.xml"/><Relationship Id="rId66" Type="http://schemas.openxmlformats.org/officeDocument/2006/relationships/ctrlProp" Target="../ctrlProps/ctrlProp4.xml"/><Relationship Id="rId74" Type="http://schemas.openxmlformats.org/officeDocument/2006/relationships/ctrlProp" Target="../ctrlProps/ctrlProp12.xml"/><Relationship Id="rId5" Type="http://schemas.openxmlformats.org/officeDocument/2006/relationships/image" Target="../media/image1.emf"/><Relationship Id="rId15" Type="http://schemas.openxmlformats.org/officeDocument/2006/relationships/control" Target="../activeX/activeX8.xml"/><Relationship Id="rId23" Type="http://schemas.openxmlformats.org/officeDocument/2006/relationships/control" Target="../activeX/activeX16.xml"/><Relationship Id="rId28" Type="http://schemas.openxmlformats.org/officeDocument/2006/relationships/control" Target="../activeX/activeX21.xml"/><Relationship Id="rId36" Type="http://schemas.openxmlformats.org/officeDocument/2006/relationships/control" Target="../activeX/activeX29.xml"/><Relationship Id="rId49" Type="http://schemas.openxmlformats.org/officeDocument/2006/relationships/control" Target="../activeX/activeX41.xml"/><Relationship Id="rId57" Type="http://schemas.openxmlformats.org/officeDocument/2006/relationships/control" Target="../activeX/activeX48.xml"/><Relationship Id="rId61" Type="http://schemas.openxmlformats.org/officeDocument/2006/relationships/control" Target="../activeX/activeX52.xml"/><Relationship Id="rId10" Type="http://schemas.openxmlformats.org/officeDocument/2006/relationships/control" Target="../activeX/activeX5.xml"/><Relationship Id="rId19" Type="http://schemas.openxmlformats.org/officeDocument/2006/relationships/control" Target="../activeX/activeX12.xml"/><Relationship Id="rId31" Type="http://schemas.openxmlformats.org/officeDocument/2006/relationships/control" Target="../activeX/activeX24.xml"/><Relationship Id="rId44" Type="http://schemas.openxmlformats.org/officeDocument/2006/relationships/control" Target="../activeX/activeX36.xml"/><Relationship Id="rId52" Type="http://schemas.openxmlformats.org/officeDocument/2006/relationships/control" Target="../activeX/activeX44.xml"/><Relationship Id="rId60" Type="http://schemas.openxmlformats.org/officeDocument/2006/relationships/control" Target="../activeX/activeX51.xml"/><Relationship Id="rId65" Type="http://schemas.openxmlformats.org/officeDocument/2006/relationships/ctrlProp" Target="../ctrlProps/ctrlProp3.xml"/><Relationship Id="rId73" Type="http://schemas.openxmlformats.org/officeDocument/2006/relationships/ctrlProp" Target="../ctrlProps/ctrlProp11.xml"/><Relationship Id="rId78"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image" Target="../media/image4.emf"/><Relationship Id="rId22" Type="http://schemas.openxmlformats.org/officeDocument/2006/relationships/control" Target="../activeX/activeX15.xml"/><Relationship Id="rId27" Type="http://schemas.openxmlformats.org/officeDocument/2006/relationships/control" Target="../activeX/activeX20.xml"/><Relationship Id="rId30" Type="http://schemas.openxmlformats.org/officeDocument/2006/relationships/control" Target="../activeX/activeX23.xml"/><Relationship Id="rId35" Type="http://schemas.openxmlformats.org/officeDocument/2006/relationships/control" Target="../activeX/activeX28.xml"/><Relationship Id="rId43" Type="http://schemas.openxmlformats.org/officeDocument/2006/relationships/control" Target="../activeX/activeX35.xml"/><Relationship Id="rId48" Type="http://schemas.openxmlformats.org/officeDocument/2006/relationships/control" Target="../activeX/activeX40.xml"/><Relationship Id="rId56" Type="http://schemas.openxmlformats.org/officeDocument/2006/relationships/control" Target="../activeX/activeX47.xml"/><Relationship Id="rId64" Type="http://schemas.openxmlformats.org/officeDocument/2006/relationships/ctrlProp" Target="../ctrlProps/ctrlProp2.xml"/><Relationship Id="rId69" Type="http://schemas.openxmlformats.org/officeDocument/2006/relationships/ctrlProp" Target="../ctrlProps/ctrlProp7.xml"/><Relationship Id="rId77" Type="http://schemas.openxmlformats.org/officeDocument/2006/relationships/ctrlProp" Target="../ctrlProps/ctrlProp15.xml"/><Relationship Id="rId8" Type="http://schemas.openxmlformats.org/officeDocument/2006/relationships/control" Target="../activeX/activeX3.xml"/><Relationship Id="rId51" Type="http://schemas.openxmlformats.org/officeDocument/2006/relationships/control" Target="../activeX/activeX43.xml"/><Relationship Id="rId72" Type="http://schemas.openxmlformats.org/officeDocument/2006/relationships/ctrlProp" Target="../ctrlProps/ctrlProp10.xml"/><Relationship Id="rId3" Type="http://schemas.openxmlformats.org/officeDocument/2006/relationships/vmlDrawing" Target="../drawings/vmlDrawing1.vml"/><Relationship Id="rId12" Type="http://schemas.openxmlformats.org/officeDocument/2006/relationships/image" Target="../media/image3.emf"/><Relationship Id="rId17" Type="http://schemas.openxmlformats.org/officeDocument/2006/relationships/control" Target="../activeX/activeX10.xml"/><Relationship Id="rId25" Type="http://schemas.openxmlformats.org/officeDocument/2006/relationships/control" Target="../activeX/activeX18.xml"/><Relationship Id="rId33" Type="http://schemas.openxmlformats.org/officeDocument/2006/relationships/control" Target="../activeX/activeX26.xml"/><Relationship Id="rId38" Type="http://schemas.openxmlformats.org/officeDocument/2006/relationships/image" Target="../media/image5.emf"/><Relationship Id="rId46" Type="http://schemas.openxmlformats.org/officeDocument/2006/relationships/control" Target="../activeX/activeX38.xml"/><Relationship Id="rId59" Type="http://schemas.openxmlformats.org/officeDocument/2006/relationships/control" Target="../activeX/activeX50.xml"/><Relationship Id="rId67" Type="http://schemas.openxmlformats.org/officeDocument/2006/relationships/ctrlProp" Target="../ctrlProps/ctrlProp5.xml"/><Relationship Id="rId20" Type="http://schemas.openxmlformats.org/officeDocument/2006/relationships/control" Target="../activeX/activeX13.xml"/><Relationship Id="rId41" Type="http://schemas.openxmlformats.org/officeDocument/2006/relationships/control" Target="../activeX/activeX33.xml"/><Relationship Id="rId54" Type="http://schemas.openxmlformats.org/officeDocument/2006/relationships/control" Target="../activeX/activeX46.xml"/><Relationship Id="rId62" Type="http://schemas.openxmlformats.org/officeDocument/2006/relationships/image" Target="../media/image7.emf"/><Relationship Id="rId70" Type="http://schemas.openxmlformats.org/officeDocument/2006/relationships/ctrlProp" Target="../ctrlProps/ctrlProp8.xml"/><Relationship Id="rId75"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54.xml"/><Relationship Id="rId5" Type="http://schemas.openxmlformats.org/officeDocument/2006/relationships/image" Target="../media/image8.emf"/><Relationship Id="rId4" Type="http://schemas.openxmlformats.org/officeDocument/2006/relationships/control" Target="../activeX/activeX53.xml"/><Relationship Id="rId9" Type="http://schemas.openxmlformats.org/officeDocument/2006/relationships/image" Target="../media/image10.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ontrol" Target="../activeX/activeX56.xml"/><Relationship Id="rId7" Type="http://schemas.openxmlformats.org/officeDocument/2006/relationships/control" Target="../activeX/activeX5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2.emf"/><Relationship Id="rId5" Type="http://schemas.openxmlformats.org/officeDocument/2006/relationships/control" Target="../activeX/activeX57.xml"/><Relationship Id="rId4" Type="http://schemas.openxmlformats.org/officeDocument/2006/relationships/image" Target="../media/image11.emf"/></Relationships>
</file>

<file path=xl/worksheets/_rels/sheet16.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ontrol" Target="../activeX/activeX59.xml"/><Relationship Id="rId7" Type="http://schemas.openxmlformats.org/officeDocument/2006/relationships/control" Target="../activeX/activeX61.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15.emf"/><Relationship Id="rId5" Type="http://schemas.openxmlformats.org/officeDocument/2006/relationships/control" Target="../activeX/activeX60.xml"/><Relationship Id="rId4" Type="http://schemas.openxmlformats.org/officeDocument/2006/relationships/image" Target="../media/image14.emf"/></Relationships>
</file>

<file path=xl/worksheets/_rels/sheet17.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62.xml"/><Relationship Id="rId7" Type="http://schemas.openxmlformats.org/officeDocument/2006/relationships/control" Target="../activeX/activeX6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18.emf"/><Relationship Id="rId5" Type="http://schemas.openxmlformats.org/officeDocument/2006/relationships/control" Target="../activeX/activeX63.xml"/><Relationship Id="rId4" Type="http://schemas.openxmlformats.org/officeDocument/2006/relationships/image" Target="../media/image17.emf"/></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sheetPr>
  <dimension ref="A1:AZ1550"/>
  <sheetViews>
    <sheetView showGridLines="0" showRowColHeaders="0" showZeros="0" tabSelected="1" zoomScaleNormal="100" workbookViewId="0">
      <selection activeCell="B1" sqref="B1"/>
    </sheetView>
  </sheetViews>
  <sheetFormatPr defaultRowHeight="16.350000000000001" customHeight="1" x14ac:dyDescent="0.25"/>
  <cols>
    <col min="1" max="1" width="5.42578125" style="125" customWidth="1"/>
    <col min="2" max="2" width="29.28515625" customWidth="1"/>
    <col min="3" max="3" width="2.28515625" customWidth="1"/>
    <col min="4" max="4" width="48" customWidth="1"/>
    <col min="5" max="5" width="5.7109375" customWidth="1"/>
    <col min="6" max="6" width="2.85546875" style="125" customWidth="1"/>
    <col min="7" max="7" width="34.7109375" bestFit="1" customWidth="1"/>
    <col min="8" max="8" width="2.28515625" customWidth="1"/>
    <col min="9" max="9" width="48.140625" customWidth="1"/>
    <col min="10" max="10" width="7.85546875" customWidth="1"/>
    <col min="12" max="12" width="19.28515625" customWidth="1"/>
    <col min="13" max="18" width="9.140625" customWidth="1"/>
    <col min="19" max="19" width="11.140625" style="221" customWidth="1"/>
    <col min="20" max="20" width="5.28515625" style="244" hidden="1" customWidth="1"/>
    <col min="21" max="21" width="7.28515625" style="236" hidden="1" customWidth="1"/>
    <col min="22" max="23" width="7.28515625" style="237" hidden="1" customWidth="1"/>
    <col min="24" max="24" width="1.140625" style="220" hidden="1" customWidth="1"/>
    <col min="25" max="25" width="1.140625" style="221" hidden="1" customWidth="1"/>
    <col min="26" max="26" width="6" style="221" hidden="1" customWidth="1"/>
    <col min="27" max="27" width="46" style="221" hidden="1" customWidth="1"/>
    <col min="28" max="28" width="24.42578125" style="237" hidden="1" customWidth="1"/>
    <col min="29" max="29" width="27.7109375" style="221" hidden="1" customWidth="1"/>
    <col min="30" max="30" width="8" style="221" hidden="1" customWidth="1"/>
    <col min="31" max="31" width="25.5703125" style="221" hidden="1" customWidth="1"/>
    <col min="32" max="32" width="10.7109375" style="221" hidden="1" customWidth="1"/>
    <col min="33" max="33" width="25.7109375" style="221" hidden="1" customWidth="1"/>
    <col min="34" max="34" width="18.28515625" style="221" hidden="1" customWidth="1"/>
    <col min="35" max="35" width="19.140625" style="221" hidden="1" customWidth="1"/>
    <col min="36" max="36" width="8" style="221" hidden="1" customWidth="1"/>
    <col min="37" max="38" width="9.140625" style="221" hidden="1" customWidth="1"/>
    <col min="39" max="39" width="92.42578125" style="221" hidden="1" customWidth="1"/>
    <col min="40" max="46" width="9.140625" style="221" hidden="1" customWidth="1"/>
    <col min="47" max="52" width="9.140625" style="221" customWidth="1"/>
    <col min="53" max="62" width="9.140625" customWidth="1"/>
  </cols>
  <sheetData>
    <row r="1" spans="1:52" ht="16.350000000000001" customHeight="1" x14ac:dyDescent="0.25">
      <c r="A1" s="142"/>
      <c r="B1" s="70"/>
      <c r="C1" s="69"/>
      <c r="D1" s="69"/>
      <c r="E1" s="69"/>
      <c r="F1" s="142"/>
      <c r="G1" s="70"/>
      <c r="H1" s="69"/>
      <c r="I1" s="69"/>
      <c r="J1" s="69"/>
      <c r="K1" s="69"/>
      <c r="S1" s="216"/>
      <c r="T1" s="217"/>
      <c r="U1" s="218"/>
      <c r="V1" s="219"/>
      <c r="W1" s="219"/>
      <c r="AA1" s="216">
        <f>COUNTIF('List of Added Securities'!C:C,"Product.MarketSectorDescription")+1</f>
        <v>1</v>
      </c>
      <c r="AB1" s="219"/>
      <c r="AC1" s="216"/>
      <c r="AD1" s="216"/>
    </row>
    <row r="2" spans="1:52" ht="16.350000000000001" customHeight="1" x14ac:dyDescent="0.25">
      <c r="A2" s="137"/>
      <c r="B2" s="145" t="s">
        <v>1259</v>
      </c>
      <c r="C2" s="137"/>
      <c r="D2" s="137"/>
      <c r="E2" s="69"/>
      <c r="F2" s="142"/>
      <c r="G2" s="142"/>
      <c r="H2" s="69"/>
      <c r="I2" s="72"/>
      <c r="J2" s="69"/>
      <c r="K2" s="69"/>
      <c r="O2" s="99"/>
      <c r="S2" s="216"/>
      <c r="T2" s="217"/>
      <c r="U2" s="222"/>
      <c r="V2" s="223"/>
      <c r="W2" s="223"/>
      <c r="AA2" s="216"/>
      <c r="AB2" s="223"/>
      <c r="AC2" s="224"/>
      <c r="AD2" s="216"/>
    </row>
    <row r="3" spans="1:52" ht="16.350000000000001" customHeight="1" x14ac:dyDescent="0.25">
      <c r="A3" s="137"/>
      <c r="B3" s="142"/>
      <c r="C3" s="137"/>
      <c r="D3" s="171"/>
      <c r="E3" s="69"/>
      <c r="F3" s="137"/>
      <c r="G3" s="70"/>
      <c r="H3" s="69"/>
      <c r="I3" s="169"/>
      <c r="J3" s="69"/>
      <c r="K3" s="69"/>
      <c r="S3" s="216"/>
      <c r="T3" s="225" t="s">
        <v>4605</v>
      </c>
      <c r="U3" s="226" t="s">
        <v>4554</v>
      </c>
      <c r="V3" s="225" t="s">
        <v>4554</v>
      </c>
      <c r="W3" s="225" t="s">
        <v>4554</v>
      </c>
      <c r="X3" s="227" t="s">
        <v>4619</v>
      </c>
      <c r="Y3" s="221" t="s">
        <v>4318</v>
      </c>
      <c r="Z3" s="221" t="s">
        <v>4319</v>
      </c>
      <c r="AA3" s="221" t="s">
        <v>4320</v>
      </c>
      <c r="AB3" s="228" t="s">
        <v>4321</v>
      </c>
      <c r="AC3" s="221" t="s">
        <v>4322</v>
      </c>
      <c r="AD3" s="229" t="s">
        <v>4323</v>
      </c>
      <c r="AE3" s="221" t="s">
        <v>4520</v>
      </c>
      <c r="AF3" s="228" t="s">
        <v>4521</v>
      </c>
      <c r="AG3" s="221" t="s">
        <v>4522</v>
      </c>
      <c r="AH3" s="229" t="s">
        <v>4523</v>
      </c>
      <c r="AI3" s="221" t="s">
        <v>4524</v>
      </c>
      <c r="AJ3" s="229" t="s">
        <v>4525</v>
      </c>
    </row>
    <row r="4" spans="1:52" ht="16.7" customHeight="1" x14ac:dyDescent="0.25">
      <c r="A4" s="156"/>
      <c r="B4" s="146" t="s">
        <v>9101</v>
      </c>
      <c r="C4" s="129"/>
      <c r="D4" s="272"/>
      <c r="E4" s="69"/>
      <c r="F4" s="137"/>
      <c r="G4" s="142" t="s">
        <v>9112</v>
      </c>
      <c r="H4" s="69"/>
      <c r="I4" s="200"/>
      <c r="J4" s="69"/>
      <c r="K4" s="69"/>
      <c r="S4" s="216"/>
      <c r="T4" s="217" t="s">
        <v>4557</v>
      </c>
      <c r="U4" s="230">
        <f>D4</f>
        <v>0</v>
      </c>
      <c r="V4" s="230">
        <f t="shared" ref="V4:W4" si="0">E4</f>
        <v>0</v>
      </c>
      <c r="W4" s="230">
        <f t="shared" si="0"/>
        <v>0</v>
      </c>
      <c r="Y4" s="221" t="str">
        <f t="shared" ref="Y4" si="1">IF(AA4&lt;&gt;"","NEW","")</f>
        <v>NEW</v>
      </c>
      <c r="Z4" s="231">
        <f t="shared" ref="Z4" si="2">IF(AA4&lt;&gt;"",$AA$1,"")</f>
        <v>1</v>
      </c>
      <c r="AA4" s="221" t="s">
        <v>3250</v>
      </c>
      <c r="AB4" s="232" t="str">
        <f>IF(D8="","",VLOOKUP(D8,Attributes1!B3:C20,2,FALSE))</f>
        <v/>
      </c>
      <c r="AD4" s="229"/>
      <c r="AF4" s="228"/>
      <c r="AH4" s="229"/>
      <c r="AJ4" s="229"/>
    </row>
    <row r="5" spans="1:52" ht="5.0999999999999996" customHeight="1" x14ac:dyDescent="0.25">
      <c r="A5" s="137"/>
      <c r="B5" s="146"/>
      <c r="C5" s="129"/>
      <c r="D5" s="193"/>
      <c r="E5" s="69"/>
      <c r="F5" s="137"/>
      <c r="G5" s="128"/>
      <c r="H5" s="69"/>
      <c r="I5" s="205"/>
      <c r="J5" s="69"/>
      <c r="K5" s="69"/>
      <c r="S5" s="216"/>
      <c r="T5" s="217" t="s">
        <v>4558</v>
      </c>
      <c r="U5" s="230" t="e">
        <f>#REF!</f>
        <v>#REF!</v>
      </c>
      <c r="V5" s="230" t="e">
        <f>#REF!</f>
        <v>#REF!</v>
      </c>
      <c r="W5" s="230" t="e">
        <f>#REF!</f>
        <v>#REF!</v>
      </c>
      <c r="Y5" s="221" t="str">
        <f>IF(AA5&lt;&gt;"","NEW","")</f>
        <v>NEW</v>
      </c>
      <c r="Z5" s="231">
        <f>IF(AA5&lt;&gt;"",$AA$1,"")</f>
        <v>1</v>
      </c>
      <c r="AA5" s="221" t="s">
        <v>7809</v>
      </c>
      <c r="AB5" s="233" t="str">
        <f>IF(D4="","",D4)</f>
        <v/>
      </c>
      <c r="AC5" s="234"/>
      <c r="AD5" s="216"/>
    </row>
    <row r="6" spans="1:52" ht="16.7" customHeight="1" x14ac:dyDescent="0.25">
      <c r="A6" s="156"/>
      <c r="B6" s="146"/>
      <c r="C6" s="129"/>
      <c r="D6" s="193"/>
      <c r="E6" s="71"/>
      <c r="F6" s="137"/>
      <c r="G6" s="128" t="s">
        <v>6167</v>
      </c>
      <c r="H6" s="69"/>
      <c r="I6" s="200"/>
      <c r="J6" s="69"/>
      <c r="K6" s="69"/>
      <c r="S6" s="216"/>
      <c r="T6" s="217" t="s">
        <v>4559</v>
      </c>
      <c r="U6" s="230">
        <f>D10</f>
        <v>0</v>
      </c>
      <c r="V6" s="230">
        <f t="shared" ref="V6:W6" si="3">E10</f>
        <v>0</v>
      </c>
      <c r="W6" s="230">
        <f t="shared" si="3"/>
        <v>0</v>
      </c>
      <c r="Y6" s="221" t="str">
        <f t="shared" ref="Y6:Y15" si="4">IF(AA6&lt;&gt;"","NEW","")</f>
        <v>NEW</v>
      </c>
      <c r="Z6" s="221">
        <f t="shared" ref="Z6:Z15" si="5">IF(AA6&lt;&gt;"",$AA$1,"")</f>
        <v>1</v>
      </c>
      <c r="AA6" s="221" t="s">
        <v>3252</v>
      </c>
      <c r="AB6" s="233">
        <f>IF(D10="Any","",D10)</f>
        <v>0</v>
      </c>
      <c r="AC6" s="235"/>
      <c r="AD6" s="216"/>
    </row>
    <row r="7" spans="1:52" ht="5.0999999999999996" customHeight="1" x14ac:dyDescent="0.25">
      <c r="A7" s="137"/>
      <c r="B7" s="146"/>
      <c r="C7" s="137"/>
      <c r="D7" s="193"/>
      <c r="E7" s="71"/>
      <c r="F7" s="137"/>
      <c r="G7" s="128"/>
      <c r="H7" s="69"/>
      <c r="I7" s="205"/>
      <c r="J7" s="69"/>
      <c r="K7" s="69"/>
      <c r="S7" s="216"/>
      <c r="T7" s="217" t="s">
        <v>4560</v>
      </c>
      <c r="U7" s="236">
        <f>D12</f>
        <v>0</v>
      </c>
      <c r="V7" s="237">
        <f t="shared" ref="V7:W7" si="6">E12</f>
        <v>0</v>
      </c>
      <c r="W7" s="237">
        <f t="shared" si="6"/>
        <v>0</v>
      </c>
      <c r="Y7" s="221" t="str">
        <f t="shared" si="4"/>
        <v>NEW</v>
      </c>
      <c r="Z7" s="221">
        <f t="shared" si="5"/>
        <v>1</v>
      </c>
      <c r="AA7" s="221" t="s">
        <v>3253</v>
      </c>
      <c r="AB7" s="233">
        <f>IF(D12="Any","",D12)</f>
        <v>0</v>
      </c>
      <c r="AC7" s="235"/>
      <c r="AD7" s="216"/>
    </row>
    <row r="8" spans="1:52" ht="16.7" customHeight="1" x14ac:dyDescent="0.25">
      <c r="A8" s="137"/>
      <c r="B8" s="142" t="s">
        <v>3268</v>
      </c>
      <c r="C8" s="137"/>
      <c r="D8" s="194"/>
      <c r="E8" s="71"/>
      <c r="F8" s="137"/>
      <c r="G8" s="128" t="s">
        <v>6168</v>
      </c>
      <c r="H8" s="69"/>
      <c r="I8" s="200"/>
      <c r="J8" s="69"/>
      <c r="K8" s="69"/>
      <c r="S8" s="216"/>
      <c r="T8" s="217" t="s">
        <v>4561</v>
      </c>
      <c r="U8" s="230">
        <f>D14</f>
        <v>0</v>
      </c>
      <c r="V8" s="233">
        <f t="shared" ref="V8:W8" si="7">E14</f>
        <v>0</v>
      </c>
      <c r="W8" s="233">
        <f t="shared" si="7"/>
        <v>0</v>
      </c>
      <c r="Y8" s="221" t="str">
        <f t="shared" si="4"/>
        <v>NEW</v>
      </c>
      <c r="Z8" s="221">
        <f t="shared" si="5"/>
        <v>1</v>
      </c>
      <c r="AA8" s="221" t="s">
        <v>3251</v>
      </c>
      <c r="AB8" s="233" t="str">
        <f>IF(D14="","",D14)</f>
        <v/>
      </c>
      <c r="AC8" s="234"/>
      <c r="AD8" s="216"/>
    </row>
    <row r="9" spans="1:52" s="107" customFormat="1" ht="5.0999999999999996" customHeight="1" x14ac:dyDescent="0.25">
      <c r="A9" s="137"/>
      <c r="B9" s="70"/>
      <c r="C9" s="71"/>
      <c r="D9" s="195"/>
      <c r="E9" s="71"/>
      <c r="F9" s="137"/>
      <c r="G9" s="128"/>
      <c r="H9" s="69"/>
      <c r="I9" s="205"/>
      <c r="J9" s="69"/>
      <c r="K9" s="69"/>
      <c r="S9" s="216"/>
      <c r="T9" s="217" t="s">
        <v>4562</v>
      </c>
      <c r="U9" s="230">
        <f>D16</f>
        <v>0</v>
      </c>
      <c r="V9" s="233">
        <f t="shared" ref="V9:W9" si="8">E16</f>
        <v>0</v>
      </c>
      <c r="W9" s="233">
        <f t="shared" si="8"/>
        <v>0</v>
      </c>
      <c r="X9" s="220"/>
      <c r="Y9" s="221" t="str">
        <f t="shared" si="4"/>
        <v>NEW</v>
      </c>
      <c r="Z9" s="221">
        <f t="shared" si="5"/>
        <v>1</v>
      </c>
      <c r="AA9" s="221" t="s">
        <v>3254</v>
      </c>
      <c r="AB9" s="233" t="str">
        <f>IF(D16="","",VLOOKUP(D16,Attributes3!B386:C652,2,FALSE))</f>
        <v/>
      </c>
      <c r="AC9" s="234"/>
      <c r="AD9" s="216"/>
      <c r="AE9" s="221"/>
      <c r="AF9" s="221"/>
      <c r="AG9" s="221"/>
      <c r="AH9" s="221"/>
      <c r="AI9" s="221"/>
      <c r="AJ9" s="221"/>
      <c r="AK9" s="221"/>
      <c r="AL9" s="221"/>
      <c r="AM9" s="221"/>
      <c r="AN9" s="221"/>
      <c r="AO9" s="221"/>
      <c r="AP9" s="221"/>
      <c r="AQ9" s="221"/>
      <c r="AR9" s="221"/>
      <c r="AS9" s="221"/>
      <c r="AT9" s="221"/>
      <c r="AU9" s="221"/>
      <c r="AV9" s="221"/>
      <c r="AW9" s="221"/>
      <c r="AX9" s="221"/>
      <c r="AY9" s="221"/>
      <c r="AZ9" s="221"/>
    </row>
    <row r="10" spans="1:52" s="107" customFormat="1" ht="16.7" customHeight="1" x14ac:dyDescent="0.25">
      <c r="A10" s="137"/>
      <c r="B10" s="70" t="s">
        <v>3269</v>
      </c>
      <c r="C10" s="71"/>
      <c r="D10" s="206"/>
      <c r="E10" s="71"/>
      <c r="F10" s="137"/>
      <c r="G10" s="128" t="s">
        <v>4623</v>
      </c>
      <c r="H10" s="69"/>
      <c r="I10" s="206"/>
      <c r="J10" s="69"/>
      <c r="K10" s="69"/>
      <c r="S10" s="216"/>
      <c r="T10" s="217" t="s">
        <v>4563</v>
      </c>
      <c r="U10" s="230">
        <f>D18</f>
        <v>0</v>
      </c>
      <c r="V10" s="233">
        <f t="shared" ref="V10:W10" si="9">E18</f>
        <v>0</v>
      </c>
      <c r="W10" s="233">
        <f t="shared" si="9"/>
        <v>0</v>
      </c>
      <c r="X10" s="220"/>
      <c r="Y10" s="221" t="str">
        <f t="shared" si="4"/>
        <v>NEW</v>
      </c>
      <c r="Z10" s="221">
        <f t="shared" si="5"/>
        <v>1</v>
      </c>
      <c r="AA10" s="221" t="s">
        <v>3255</v>
      </c>
      <c r="AB10" s="233" t="str">
        <f>IF(D18="","",VLOOKUP(D18,Attributes3!E3:F518,2,FALSE))</f>
        <v/>
      </c>
      <c r="AC10" s="234"/>
      <c r="AD10" s="216"/>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row>
    <row r="11" spans="1:52" ht="5.0999999999999996" customHeight="1" x14ac:dyDescent="0.25">
      <c r="A11" s="137"/>
      <c r="B11" s="70"/>
      <c r="C11" s="71"/>
      <c r="D11" s="195"/>
      <c r="E11" s="71"/>
      <c r="F11" s="137"/>
      <c r="G11" s="128"/>
      <c r="H11" s="69"/>
      <c r="I11" s="193"/>
      <c r="J11" s="69"/>
      <c r="K11" s="69"/>
      <c r="S11" s="216"/>
      <c r="T11" s="217" t="s">
        <v>4564</v>
      </c>
      <c r="U11" s="230">
        <f>D20</f>
        <v>0</v>
      </c>
      <c r="V11" s="238">
        <f t="shared" ref="V11:W11" si="10">E20</f>
        <v>0</v>
      </c>
      <c r="W11" s="238">
        <f t="shared" si="10"/>
        <v>0</v>
      </c>
      <c r="Y11" s="221" t="str">
        <f t="shared" si="4"/>
        <v>NEW</v>
      </c>
      <c r="Z11" s="221">
        <f t="shared" si="5"/>
        <v>1</v>
      </c>
      <c r="AA11" s="221" t="s">
        <v>3256</v>
      </c>
      <c r="AB11" s="239" t="str">
        <f>IF(D20="","",D20)</f>
        <v/>
      </c>
      <c r="AC11" s="234"/>
      <c r="AD11" s="216"/>
    </row>
    <row r="12" spans="1:52" ht="16.7" customHeight="1" x14ac:dyDescent="0.25">
      <c r="A12" s="137"/>
      <c r="B12" s="70" t="s">
        <v>9102</v>
      </c>
      <c r="C12" s="71"/>
      <c r="D12" s="196"/>
      <c r="E12" s="71"/>
      <c r="F12" s="137"/>
      <c r="G12" s="142" t="s">
        <v>9113</v>
      </c>
      <c r="H12" s="137"/>
      <c r="I12" s="200"/>
      <c r="J12" s="69"/>
      <c r="K12" s="69"/>
      <c r="S12" s="216"/>
      <c r="T12" s="217" t="s">
        <v>4565</v>
      </c>
      <c r="U12" s="230">
        <f>D22</f>
        <v>0</v>
      </c>
      <c r="V12" s="233">
        <f t="shared" ref="V12:W12" si="11">E22</f>
        <v>0</v>
      </c>
      <c r="W12" s="233">
        <f t="shared" si="11"/>
        <v>0</v>
      </c>
      <c r="Y12" s="221" t="str">
        <f t="shared" si="4"/>
        <v>NEW</v>
      </c>
      <c r="Z12" s="221">
        <f t="shared" si="5"/>
        <v>1</v>
      </c>
      <c r="AA12" s="221" t="s">
        <v>3257</v>
      </c>
      <c r="AB12" s="233" t="str">
        <f>IF(D22="YES","Y","N")</f>
        <v>N</v>
      </c>
      <c r="AC12" s="234"/>
      <c r="AD12" s="216"/>
    </row>
    <row r="13" spans="1:52" ht="4.5" customHeight="1" x14ac:dyDescent="0.25">
      <c r="A13" s="137"/>
      <c r="B13" s="70"/>
      <c r="C13" s="71"/>
      <c r="D13" s="195"/>
      <c r="E13" s="71"/>
      <c r="F13" s="137"/>
      <c r="G13" s="137"/>
      <c r="H13" s="137"/>
      <c r="I13" s="193"/>
      <c r="J13" s="69"/>
      <c r="K13" s="69"/>
      <c r="S13" s="216"/>
      <c r="T13" s="217" t="s">
        <v>4566</v>
      </c>
      <c r="U13" s="230">
        <f>D24</f>
        <v>0</v>
      </c>
      <c r="V13" s="240">
        <f t="shared" ref="V13:W13" si="12">E24</f>
        <v>0</v>
      </c>
      <c r="W13" s="240">
        <f t="shared" si="12"/>
        <v>0</v>
      </c>
      <c r="Y13" s="221" t="str">
        <f t="shared" si="4"/>
        <v>NEW</v>
      </c>
      <c r="Z13" s="221">
        <f t="shared" si="5"/>
        <v>1</v>
      </c>
      <c r="AA13" s="221" t="s">
        <v>3266</v>
      </c>
      <c r="AB13" s="233" t="str">
        <f>IF(D24="","",D24)</f>
        <v/>
      </c>
      <c r="AC13" s="234"/>
      <c r="AD13" s="216"/>
    </row>
    <row r="14" spans="1:52" ht="16.7" customHeight="1" x14ac:dyDescent="0.25">
      <c r="A14" s="137"/>
      <c r="B14" s="70" t="s">
        <v>4548</v>
      </c>
      <c r="C14" s="71"/>
      <c r="D14" s="206"/>
      <c r="E14" s="71"/>
      <c r="F14" s="137"/>
      <c r="G14" s="142" t="s">
        <v>6170</v>
      </c>
      <c r="H14" s="137"/>
      <c r="I14" s="206"/>
      <c r="J14" s="69"/>
      <c r="K14" s="69"/>
      <c r="S14" s="216"/>
      <c r="T14" s="217" t="s">
        <v>4567</v>
      </c>
      <c r="U14" s="230">
        <f>D26</f>
        <v>0</v>
      </c>
      <c r="V14" s="240">
        <f t="shared" ref="V14:W14" si="13">E26</f>
        <v>0</v>
      </c>
      <c r="W14" s="240">
        <f t="shared" si="13"/>
        <v>0</v>
      </c>
      <c r="Y14" s="221" t="str">
        <f t="shared" si="4"/>
        <v>NEW</v>
      </c>
      <c r="Z14" s="221">
        <f t="shared" si="5"/>
        <v>1</v>
      </c>
      <c r="AA14" s="221" t="s">
        <v>3267</v>
      </c>
      <c r="AB14" s="233" t="str">
        <f>IF(D26="","",D26)</f>
        <v/>
      </c>
      <c r="AC14" s="234"/>
      <c r="AD14" s="216"/>
    </row>
    <row r="15" spans="1:52" ht="5.0999999999999996" customHeight="1" x14ac:dyDescent="0.25">
      <c r="A15" s="137"/>
      <c r="B15" s="70"/>
      <c r="C15" s="71"/>
      <c r="D15" s="195"/>
      <c r="E15" s="71"/>
      <c r="F15" s="137"/>
      <c r="G15" s="128"/>
      <c r="H15" s="137"/>
      <c r="I15" s="193"/>
      <c r="J15" s="69"/>
      <c r="K15" s="69"/>
      <c r="S15" s="216"/>
      <c r="T15" s="217" t="s">
        <v>4568</v>
      </c>
      <c r="U15" s="230">
        <f>D32</f>
        <v>0</v>
      </c>
      <c r="V15" s="233">
        <f t="shared" ref="V15:W15" si="14">E32</f>
        <v>0</v>
      </c>
      <c r="W15" s="233">
        <f t="shared" si="14"/>
        <v>0</v>
      </c>
      <c r="Y15" s="221" t="str">
        <f t="shared" si="4"/>
        <v>NEW</v>
      </c>
      <c r="Z15" s="221">
        <f t="shared" si="5"/>
        <v>1</v>
      </c>
      <c r="AA15" s="221" t="s">
        <v>6770</v>
      </c>
      <c r="AB15" s="237" t="str">
        <f>IF(D28="","",VLOOKUP(D28,Attributes1!AK3:AL48,2,FALSE))</f>
        <v/>
      </c>
    </row>
    <row r="16" spans="1:52" ht="16.7" customHeight="1" x14ac:dyDescent="0.25">
      <c r="A16" s="137"/>
      <c r="B16" s="70" t="s">
        <v>3270</v>
      </c>
      <c r="C16" s="71"/>
      <c r="D16" s="196"/>
      <c r="E16" s="71"/>
      <c r="F16" s="137"/>
      <c r="G16" s="157" t="s">
        <v>6169</v>
      </c>
      <c r="H16" s="137"/>
      <c r="I16" s="200"/>
      <c r="J16" s="69"/>
      <c r="K16" s="69"/>
      <c r="S16" s="216"/>
      <c r="T16" s="217" t="s">
        <v>4569</v>
      </c>
      <c r="U16" s="230">
        <f>D38</f>
        <v>0</v>
      </c>
      <c r="V16" s="240">
        <f t="shared" ref="V16:W16" si="15">E38</f>
        <v>0</v>
      </c>
      <c r="W16" s="240">
        <f t="shared" si="15"/>
        <v>0</v>
      </c>
      <c r="Y16" s="221" t="str">
        <f t="shared" ref="Y16:Y39" si="16">IF(AA16&lt;&gt;"","NEW","")</f>
        <v>NEW</v>
      </c>
      <c r="Z16" s="221">
        <f t="shared" ref="Z16:Z39" si="17">IF(AA16&lt;&gt;"",$AA$1,"")</f>
        <v>1</v>
      </c>
      <c r="AA16" s="221" t="s">
        <v>3264</v>
      </c>
      <c r="AB16" s="233" t="str">
        <f>IF(D32="","",D32)</f>
        <v/>
      </c>
      <c r="AC16" s="234"/>
      <c r="AD16" s="216"/>
    </row>
    <row r="17" spans="1:43" ht="5.0999999999999996" customHeight="1" x14ac:dyDescent="0.25">
      <c r="A17" s="137"/>
      <c r="B17" s="70"/>
      <c r="C17" s="71"/>
      <c r="D17" s="195"/>
      <c r="E17" s="71"/>
      <c r="F17" s="137"/>
      <c r="G17" s="137"/>
      <c r="H17" s="137"/>
      <c r="I17" s="193"/>
      <c r="J17" s="69"/>
      <c r="K17" s="69"/>
      <c r="S17" s="216"/>
      <c r="T17" s="217" t="s">
        <v>4570</v>
      </c>
      <c r="U17" s="230">
        <f>D40</f>
        <v>0</v>
      </c>
      <c r="V17" s="233">
        <f t="shared" ref="V17:W17" si="18">E40</f>
        <v>0</v>
      </c>
      <c r="W17" s="233">
        <f t="shared" si="18"/>
        <v>0</v>
      </c>
      <c r="Y17" s="221" t="str">
        <f t="shared" si="16"/>
        <v>NEW</v>
      </c>
      <c r="Z17" s="221">
        <f t="shared" si="17"/>
        <v>1</v>
      </c>
      <c r="AA17" s="221" t="s">
        <v>3258</v>
      </c>
      <c r="AB17" s="240" t="str">
        <f>IF(D38="","",D38)</f>
        <v/>
      </c>
      <c r="AC17" s="234"/>
      <c r="AD17" s="216"/>
    </row>
    <row r="18" spans="1:43" ht="16.7" customHeight="1" x14ac:dyDescent="0.25">
      <c r="A18" s="137"/>
      <c r="B18" s="70" t="s">
        <v>3271</v>
      </c>
      <c r="C18" s="71"/>
      <c r="D18" s="196"/>
      <c r="E18" s="71"/>
      <c r="F18" s="137"/>
      <c r="G18" s="142" t="s">
        <v>9114</v>
      </c>
      <c r="H18" s="69"/>
      <c r="I18" s="200"/>
      <c r="J18" s="69"/>
      <c r="K18" s="69"/>
      <c r="S18" s="216"/>
      <c r="T18" s="217" t="s">
        <v>4571</v>
      </c>
      <c r="U18" s="230">
        <f>D42</f>
        <v>0</v>
      </c>
      <c r="V18" s="233">
        <f t="shared" ref="V18:W18" si="19">E42</f>
        <v>0</v>
      </c>
      <c r="W18" s="233">
        <f t="shared" si="19"/>
        <v>0</v>
      </c>
      <c r="Y18" s="221" t="str">
        <f t="shared" si="16"/>
        <v>NEW</v>
      </c>
      <c r="Z18" s="221">
        <f t="shared" si="17"/>
        <v>1</v>
      </c>
      <c r="AA18" s="221" t="s">
        <v>3259</v>
      </c>
      <c r="AB18" s="233" t="str">
        <f>IF(D40="","",VLOOKUP(D40,Attributes1!B43:C499,2,FALSE))</f>
        <v/>
      </c>
      <c r="AC18" s="234"/>
      <c r="AD18" s="216"/>
    </row>
    <row r="19" spans="1:43" ht="5.0999999999999996" customHeight="1" x14ac:dyDescent="0.25">
      <c r="A19" s="137"/>
      <c r="B19" s="70"/>
      <c r="C19" s="71"/>
      <c r="D19" s="195"/>
      <c r="E19" s="71"/>
      <c r="F19" s="137"/>
      <c r="G19" s="70"/>
      <c r="H19" s="69"/>
      <c r="I19" s="193"/>
      <c r="J19" s="69"/>
      <c r="K19" s="69"/>
      <c r="S19" s="216"/>
      <c r="T19" s="217" t="s">
        <v>4572</v>
      </c>
      <c r="U19" s="230">
        <f>D44</f>
        <v>0</v>
      </c>
      <c r="V19" s="238">
        <f t="shared" ref="V19:W19" si="20">E44</f>
        <v>0</v>
      </c>
      <c r="W19" s="238">
        <f t="shared" si="20"/>
        <v>0</v>
      </c>
      <c r="Y19" s="221" t="str">
        <f t="shared" si="16"/>
        <v>NEW</v>
      </c>
      <c r="Z19" s="221">
        <f t="shared" si="17"/>
        <v>1</v>
      </c>
      <c r="AA19" s="221" t="s">
        <v>3260</v>
      </c>
      <c r="AB19" s="233" t="str">
        <f>IF(D42="","",VLOOKUP(D42,Attributes3!H3:I56,2,FALSE))</f>
        <v/>
      </c>
      <c r="AC19" s="234"/>
      <c r="AD19" s="216"/>
    </row>
    <row r="20" spans="1:43" ht="16.7" customHeight="1" x14ac:dyDescent="0.25">
      <c r="A20" s="137"/>
      <c r="B20" s="70" t="s">
        <v>4650</v>
      </c>
      <c r="C20" s="71"/>
      <c r="D20" s="267"/>
      <c r="E20" s="71"/>
      <c r="F20" s="137"/>
      <c r="G20" s="128" t="s">
        <v>4652</v>
      </c>
      <c r="H20" s="69"/>
      <c r="I20" s="267"/>
      <c r="J20" s="69"/>
      <c r="K20" s="69"/>
      <c r="S20" s="216"/>
      <c r="T20" s="217" t="s">
        <v>4573</v>
      </c>
      <c r="U20" s="230">
        <f>D46</f>
        <v>0</v>
      </c>
      <c r="V20" s="241">
        <f t="shared" ref="V20:W20" si="21">E46</f>
        <v>0</v>
      </c>
      <c r="W20" s="241">
        <f t="shared" si="21"/>
        <v>0</v>
      </c>
      <c r="Y20" s="221" t="str">
        <f t="shared" si="16"/>
        <v>NEW</v>
      </c>
      <c r="Z20" s="221">
        <f t="shared" si="17"/>
        <v>1</v>
      </c>
      <c r="AA20" s="221" t="s">
        <v>3261</v>
      </c>
      <c r="AB20" s="239" t="str">
        <f>IF(D44="","",D44)</f>
        <v/>
      </c>
      <c r="AC20" s="234"/>
      <c r="AD20" s="216"/>
    </row>
    <row r="21" spans="1:43" ht="5.0999999999999996" customHeight="1" x14ac:dyDescent="0.25">
      <c r="A21" s="137"/>
      <c r="B21" s="70"/>
      <c r="C21" s="71"/>
      <c r="D21" s="197"/>
      <c r="E21" s="71"/>
      <c r="F21" s="137"/>
      <c r="G21" s="70"/>
      <c r="H21" s="70"/>
      <c r="I21" s="210"/>
      <c r="J21" s="69"/>
      <c r="K21" s="69"/>
      <c r="S21" s="216"/>
      <c r="T21" s="217" t="s">
        <v>4574</v>
      </c>
      <c r="U21" s="236">
        <f>D48</f>
        <v>0</v>
      </c>
      <c r="V21" s="242">
        <f t="shared" ref="V21:W21" si="22">E48</f>
        <v>0</v>
      </c>
      <c r="W21" s="242">
        <f t="shared" si="22"/>
        <v>0</v>
      </c>
      <c r="X21" s="220" t="s">
        <v>4622</v>
      </c>
      <c r="Y21" s="221" t="str">
        <f t="shared" si="16"/>
        <v>NEW</v>
      </c>
      <c r="Z21" s="221">
        <f t="shared" si="17"/>
        <v>1</v>
      </c>
      <c r="AA21" s="221" t="s">
        <v>3274</v>
      </c>
      <c r="AB21" s="241" t="str">
        <f>IF(D46="","",D46)</f>
        <v/>
      </c>
      <c r="AC21" s="234"/>
      <c r="AD21" s="216"/>
    </row>
    <row r="22" spans="1:43" ht="16.7" customHeight="1" x14ac:dyDescent="0.25">
      <c r="A22" s="137"/>
      <c r="B22" s="142" t="s">
        <v>4648</v>
      </c>
      <c r="C22" s="71"/>
      <c r="D22" s="196"/>
      <c r="E22" s="71"/>
      <c r="F22" s="137"/>
      <c r="G22" s="142" t="s">
        <v>9115</v>
      </c>
      <c r="H22" s="142"/>
      <c r="I22" s="201"/>
      <c r="J22" s="69"/>
      <c r="K22" s="69"/>
      <c r="S22" s="216"/>
      <c r="T22" s="217" t="s">
        <v>4575</v>
      </c>
      <c r="U22" s="236">
        <f>D50</f>
        <v>0</v>
      </c>
      <c r="V22" s="237">
        <f t="shared" ref="V22:W22" si="23">E50</f>
        <v>0</v>
      </c>
      <c r="W22" s="237">
        <f t="shared" si="23"/>
        <v>0</v>
      </c>
      <c r="X22" s="220" t="s">
        <v>4622</v>
      </c>
      <c r="Y22" s="221" t="str">
        <f t="shared" si="16"/>
        <v>NEW</v>
      </c>
      <c r="Z22" s="221">
        <f t="shared" si="17"/>
        <v>1</v>
      </c>
      <c r="AA22" s="221" t="s">
        <v>4547</v>
      </c>
      <c r="AB22" s="239" t="str">
        <f>IF(D48="","",D48)</f>
        <v/>
      </c>
      <c r="AD22" s="216"/>
    </row>
    <row r="23" spans="1:43" ht="5.0999999999999996" customHeight="1" x14ac:dyDescent="0.25">
      <c r="A23" s="137"/>
      <c r="B23" s="142"/>
      <c r="C23" s="71"/>
      <c r="D23" s="198"/>
      <c r="E23" s="71"/>
      <c r="F23" s="137"/>
      <c r="G23" s="142"/>
      <c r="H23" s="142"/>
      <c r="I23" s="211"/>
      <c r="J23" s="69"/>
      <c r="K23" s="69"/>
      <c r="S23" s="216"/>
      <c r="T23" s="217" t="s">
        <v>4576</v>
      </c>
      <c r="U23" s="230">
        <f>D54</f>
        <v>0</v>
      </c>
      <c r="V23" s="233">
        <f t="shared" ref="V23:W23" si="24">E54</f>
        <v>0</v>
      </c>
      <c r="W23" s="233">
        <f t="shared" si="24"/>
        <v>0</v>
      </c>
      <c r="Y23" s="221" t="str">
        <f t="shared" si="16"/>
        <v>NEW</v>
      </c>
      <c r="Z23" s="221">
        <f t="shared" si="17"/>
        <v>1</v>
      </c>
      <c r="AA23" s="221" t="s">
        <v>4545</v>
      </c>
      <c r="AB23" s="233" t="str">
        <f>IF(D50="","",VLOOKUP(D50,Attributes1!AE3:AF18,2,FALSE))</f>
        <v/>
      </c>
      <c r="AD23" s="243"/>
    </row>
    <row r="24" spans="1:43" ht="16.7" customHeight="1" x14ac:dyDescent="0.25">
      <c r="A24" s="137"/>
      <c r="B24" s="70" t="s">
        <v>9100</v>
      </c>
      <c r="C24" s="71"/>
      <c r="D24" s="272"/>
      <c r="E24" s="71"/>
      <c r="F24" s="137"/>
      <c r="G24" s="128" t="s">
        <v>4624</v>
      </c>
      <c r="H24" s="69"/>
      <c r="I24" s="200"/>
      <c r="J24" s="69"/>
      <c r="K24" s="69"/>
      <c r="S24" s="216"/>
      <c r="T24" s="217" t="s">
        <v>4640</v>
      </c>
      <c r="U24" s="236">
        <f>D56</f>
        <v>0</v>
      </c>
      <c r="V24" s="237">
        <f t="shared" ref="V24:W24" si="25">E56</f>
        <v>0</v>
      </c>
      <c r="W24" s="237">
        <f t="shared" si="25"/>
        <v>0</v>
      </c>
      <c r="Y24" s="221" t="str">
        <f t="shared" si="16"/>
        <v>NEW</v>
      </c>
      <c r="Z24" s="221">
        <f t="shared" si="17"/>
        <v>1</v>
      </c>
      <c r="AA24" s="221" t="s">
        <v>3275</v>
      </c>
      <c r="AB24" s="233" t="str">
        <f>IF(D54="","",VLOOKUP(D54,Attributes1!B550:C1096,2,FALSE))</f>
        <v/>
      </c>
      <c r="AC24" s="235"/>
      <c r="AD24" s="216"/>
    </row>
    <row r="25" spans="1:43" ht="5.0999999999999996" customHeight="1" x14ac:dyDescent="0.25">
      <c r="A25" s="137"/>
      <c r="B25" s="70"/>
      <c r="C25" s="71"/>
      <c r="D25" s="195"/>
      <c r="E25" s="71"/>
      <c r="F25" s="137"/>
      <c r="G25" s="135"/>
      <c r="H25" s="69"/>
      <c r="I25" s="193"/>
      <c r="J25" s="69"/>
      <c r="K25" s="69"/>
      <c r="S25" s="216"/>
      <c r="T25" s="217" t="s">
        <v>4577</v>
      </c>
      <c r="U25" s="230">
        <f>D58</f>
        <v>0</v>
      </c>
      <c r="V25" s="240">
        <f t="shared" ref="V25:W25" si="26">E58</f>
        <v>0</v>
      </c>
      <c r="W25" s="240">
        <f t="shared" si="26"/>
        <v>0</v>
      </c>
      <c r="Y25" s="221" t="str">
        <f t="shared" si="16"/>
        <v>NEW</v>
      </c>
      <c r="Z25" s="221">
        <f t="shared" si="17"/>
        <v>1</v>
      </c>
      <c r="AA25" s="221" t="s">
        <v>3279</v>
      </c>
      <c r="AB25" s="233" t="str">
        <f>IF(U24="YES","Y","N")</f>
        <v>N</v>
      </c>
      <c r="AC25" s="235"/>
      <c r="AD25" s="216"/>
      <c r="AL25" s="217" t="s">
        <v>4579</v>
      </c>
      <c r="AM25" s="237">
        <f>I4</f>
        <v>0</v>
      </c>
      <c r="AN25" s="221" t="s">
        <v>3283</v>
      </c>
      <c r="AO25" s="233" t="str">
        <f>IF(AM25="Call","Y","")</f>
        <v/>
      </c>
      <c r="AP25" s="235" t="s">
        <v>3281</v>
      </c>
      <c r="AQ25" s="216" t="s">
        <v>4609</v>
      </c>
    </row>
    <row r="26" spans="1:43" ht="16.7" customHeight="1" x14ac:dyDescent="0.25">
      <c r="A26" s="137"/>
      <c r="B26" s="70" t="s">
        <v>4549</v>
      </c>
      <c r="C26" s="71"/>
      <c r="D26" s="196"/>
      <c r="E26" s="71"/>
      <c r="F26" s="137"/>
      <c r="G26" s="128" t="s">
        <v>4625</v>
      </c>
      <c r="H26" s="69"/>
      <c r="I26" s="200"/>
      <c r="J26" s="69"/>
      <c r="K26" s="69"/>
      <c r="S26" s="216"/>
      <c r="T26" s="217" t="s">
        <v>4578</v>
      </c>
      <c r="U26" s="230">
        <f>D60</f>
        <v>0</v>
      </c>
      <c r="V26" s="230">
        <f t="shared" ref="V26:W26" si="27">E60</f>
        <v>0</v>
      </c>
      <c r="W26" s="230">
        <f t="shared" si="27"/>
        <v>0</v>
      </c>
      <c r="Y26" s="221" t="str">
        <f t="shared" si="16"/>
        <v>NEW</v>
      </c>
      <c r="Z26" s="221">
        <f t="shared" si="17"/>
        <v>1</v>
      </c>
      <c r="AA26" s="221" t="s">
        <v>3277</v>
      </c>
      <c r="AB26" s="223" t="str">
        <f>IF(D58="","",D58)</f>
        <v/>
      </c>
      <c r="AC26" s="235"/>
      <c r="AD26" s="216"/>
      <c r="AL26" s="217" t="s">
        <v>4579</v>
      </c>
      <c r="AM26" s="237">
        <f>I4</f>
        <v>0</v>
      </c>
      <c r="AN26" s="221" t="s">
        <v>3284</v>
      </c>
      <c r="AO26" s="233" t="str">
        <f>IF(AM26="Put","Y","")</f>
        <v/>
      </c>
      <c r="AP26" s="235" t="s">
        <v>3281</v>
      </c>
      <c r="AQ26" s="216" t="s">
        <v>4610</v>
      </c>
    </row>
    <row r="27" spans="1:43" ht="5.0999999999999996" customHeight="1" x14ac:dyDescent="0.25">
      <c r="A27" s="137"/>
      <c r="B27" s="142"/>
      <c r="C27" s="129"/>
      <c r="D27" s="195"/>
      <c r="E27" s="71"/>
      <c r="F27" s="137"/>
      <c r="G27" s="137"/>
      <c r="H27" s="137"/>
      <c r="I27" s="193"/>
      <c r="J27" s="137"/>
      <c r="K27" s="69"/>
      <c r="S27" s="216"/>
      <c r="T27" s="244" t="s">
        <v>4639</v>
      </c>
      <c r="U27" s="236">
        <f>D62</f>
        <v>0</v>
      </c>
      <c r="V27" s="237">
        <f t="shared" ref="V27:W27" si="28">E62</f>
        <v>0</v>
      </c>
      <c r="W27" s="237">
        <f t="shared" si="28"/>
        <v>0</v>
      </c>
      <c r="Y27" s="221" t="str">
        <f t="shared" si="16"/>
        <v>NEW</v>
      </c>
      <c r="Z27" s="221">
        <f t="shared" si="17"/>
        <v>1</v>
      </c>
      <c r="AA27" s="221" t="s">
        <v>3278</v>
      </c>
      <c r="AB27" s="233" t="str">
        <f>IF(D60="","",D60)</f>
        <v/>
      </c>
      <c r="AC27" s="235"/>
      <c r="AD27" s="216"/>
    </row>
    <row r="28" spans="1:43" ht="16.7" customHeight="1" x14ac:dyDescent="0.25">
      <c r="A28" s="137"/>
      <c r="B28" s="142" t="s">
        <v>9103</v>
      </c>
      <c r="C28" s="71"/>
      <c r="D28" s="196"/>
      <c r="E28" s="71"/>
      <c r="F28" s="156"/>
      <c r="G28" s="142" t="s">
        <v>9116</v>
      </c>
      <c r="H28" s="137"/>
      <c r="I28" s="206"/>
      <c r="J28" s="69"/>
      <c r="K28" s="69"/>
      <c r="S28" s="216"/>
      <c r="T28" s="217" t="s">
        <v>4617</v>
      </c>
      <c r="U28" s="236">
        <f>D64</f>
        <v>0</v>
      </c>
      <c r="V28" s="237">
        <f t="shared" ref="V28:W28" si="29">E64</f>
        <v>0</v>
      </c>
      <c r="W28" s="237">
        <f t="shared" si="29"/>
        <v>0</v>
      </c>
      <c r="X28" s="278" t="s">
        <v>4618</v>
      </c>
      <c r="Y28" s="221" t="str">
        <f t="shared" si="16"/>
        <v>NEW</v>
      </c>
      <c r="Z28" s="221">
        <f t="shared" si="17"/>
        <v>1</v>
      </c>
      <c r="AA28" s="221" t="s">
        <v>3285</v>
      </c>
      <c r="AB28" s="233" t="str">
        <f>IF(U27="YES","Y","N")</f>
        <v>N</v>
      </c>
      <c r="AC28" s="235"/>
      <c r="AD28" s="216"/>
    </row>
    <row r="29" spans="1:43" ht="10.5" customHeight="1" x14ac:dyDescent="0.25">
      <c r="A29" s="137"/>
      <c r="B29" s="100"/>
      <c r="C29" s="129"/>
      <c r="D29" s="195"/>
      <c r="E29" s="71"/>
      <c r="F29" s="137"/>
      <c r="G29" s="137"/>
      <c r="H29" s="137"/>
      <c r="I29" s="193"/>
      <c r="J29" s="69"/>
      <c r="K29" s="137"/>
      <c r="L29" s="139"/>
      <c r="M29" s="139"/>
      <c r="N29" s="139"/>
      <c r="T29" s="217" t="s">
        <v>4617</v>
      </c>
      <c r="U29" s="236">
        <f>D64</f>
        <v>0</v>
      </c>
      <c r="V29" s="237">
        <f t="shared" ref="V29:W29" si="30">E64</f>
        <v>0</v>
      </c>
      <c r="W29" s="237">
        <f t="shared" si="30"/>
        <v>0</v>
      </c>
      <c r="X29" s="278"/>
      <c r="Y29" s="221" t="str">
        <f t="shared" si="16"/>
        <v>NEW</v>
      </c>
      <c r="Z29" s="221">
        <f t="shared" si="17"/>
        <v>1</v>
      </c>
      <c r="AA29" s="221" t="s">
        <v>3286</v>
      </c>
      <c r="AB29" s="237" t="str">
        <f>IF(D64="","",VLOOKUP(D64,Attributes3!E3:F518,2,FALSE))</f>
        <v/>
      </c>
      <c r="AC29" s="235"/>
      <c r="AD29" s="216"/>
      <c r="AE29" s="245"/>
    </row>
    <row r="30" spans="1:43" ht="16.7" customHeight="1" x14ac:dyDescent="0.25">
      <c r="A30" s="156"/>
      <c r="B30" s="100"/>
      <c r="C30" s="129"/>
      <c r="D30" s="195"/>
      <c r="E30" s="71"/>
      <c r="F30" s="137"/>
      <c r="G30" s="137"/>
      <c r="H30" s="137"/>
      <c r="I30" s="212"/>
      <c r="J30" s="69"/>
      <c r="K30" s="137"/>
      <c r="L30" s="139"/>
      <c r="M30" s="139"/>
      <c r="N30" s="139"/>
      <c r="S30" s="216"/>
      <c r="T30" s="217" t="s">
        <v>4638</v>
      </c>
      <c r="U30" s="236">
        <f>D66</f>
        <v>0</v>
      </c>
      <c r="V30" s="237">
        <f t="shared" ref="V30:W30" si="31">E66</f>
        <v>0</v>
      </c>
      <c r="W30" s="237">
        <f t="shared" si="31"/>
        <v>0</v>
      </c>
      <c r="Y30" s="221" t="str">
        <f t="shared" si="16"/>
        <v>NEW</v>
      </c>
      <c r="Z30" s="221">
        <f t="shared" si="17"/>
        <v>1</v>
      </c>
      <c r="AA30" s="221" t="s">
        <v>3287</v>
      </c>
      <c r="AB30" s="237" t="str">
        <f>IF(D64="","",VLOOKUP(D64,Attributes3!E3:F518,2,FALSE))</f>
        <v/>
      </c>
      <c r="AC30" s="235"/>
      <c r="AE30" s="245"/>
    </row>
    <row r="31" spans="1:43" ht="5.0999999999999996" customHeight="1" x14ac:dyDescent="0.25">
      <c r="A31" s="137"/>
      <c r="B31" s="100"/>
      <c r="C31" s="71"/>
      <c r="D31" s="195"/>
      <c r="E31" s="71"/>
      <c r="F31" s="137"/>
      <c r="G31" s="137"/>
      <c r="H31" s="137"/>
      <c r="I31" s="212"/>
      <c r="J31" s="69"/>
      <c r="K31" s="137"/>
      <c r="L31" s="139"/>
      <c r="M31" s="139"/>
      <c r="N31" s="139"/>
      <c r="S31" s="216"/>
      <c r="T31" s="217" t="s">
        <v>4580</v>
      </c>
      <c r="U31" s="230">
        <f>D68</f>
        <v>0</v>
      </c>
      <c r="V31" s="241">
        <f t="shared" ref="V31:W31" si="32">E68</f>
        <v>0</v>
      </c>
      <c r="W31" s="241">
        <f t="shared" si="32"/>
        <v>0</v>
      </c>
      <c r="Y31" s="221" t="str">
        <f t="shared" si="16"/>
        <v>NEW</v>
      </c>
      <c r="Z31" s="221">
        <f t="shared" si="17"/>
        <v>1</v>
      </c>
      <c r="AA31" s="221" t="s">
        <v>3288</v>
      </c>
      <c r="AB31" s="233" t="str">
        <f>IF(U30="YES","Y","N")</f>
        <v>N</v>
      </c>
      <c r="AC31" s="235"/>
      <c r="AD31" s="216"/>
    </row>
    <row r="32" spans="1:43" ht="16.7" customHeight="1" x14ac:dyDescent="0.25">
      <c r="A32" s="137"/>
      <c r="B32" s="70" t="s">
        <v>3265</v>
      </c>
      <c r="C32" s="71"/>
      <c r="D32" s="199"/>
      <c r="E32" s="69"/>
      <c r="F32" s="137"/>
      <c r="G32" s="135" t="s">
        <v>4632</v>
      </c>
      <c r="H32" s="69"/>
      <c r="I32" s="200"/>
      <c r="J32" s="69"/>
      <c r="K32" s="137"/>
      <c r="S32" s="216"/>
      <c r="T32" s="217" t="s">
        <v>4581</v>
      </c>
      <c r="U32" s="230">
        <f>D70</f>
        <v>0</v>
      </c>
      <c r="V32" s="241">
        <f t="shared" ref="V32:W32" si="33">E70</f>
        <v>0</v>
      </c>
      <c r="W32" s="241">
        <f t="shared" si="33"/>
        <v>0</v>
      </c>
      <c r="Y32" s="221" t="str">
        <f t="shared" si="16"/>
        <v>NEW</v>
      </c>
      <c r="Z32" s="221">
        <f t="shared" si="17"/>
        <v>1</v>
      </c>
      <c r="AA32" s="221" t="s">
        <v>3272</v>
      </c>
      <c r="AB32" s="233" t="str">
        <f>IF(D68="","",D68)</f>
        <v/>
      </c>
      <c r="AC32" s="235"/>
    </row>
    <row r="33" spans="1:45" ht="5.0999999999999996" customHeight="1" x14ac:dyDescent="0.25">
      <c r="A33" s="137"/>
      <c r="B33" s="100"/>
      <c r="C33" s="71"/>
      <c r="D33" s="279" t="s">
        <v>7611</v>
      </c>
      <c r="E33" s="69"/>
      <c r="F33" s="137"/>
      <c r="G33" s="128"/>
      <c r="H33" s="69"/>
      <c r="I33" s="205"/>
      <c r="J33" s="69"/>
      <c r="K33" s="137"/>
      <c r="S33" s="216"/>
      <c r="T33" s="217" t="s">
        <v>4582</v>
      </c>
      <c r="U33" s="236">
        <f>D72</f>
        <v>0</v>
      </c>
      <c r="V33" s="246">
        <f t="shared" ref="V33:W33" si="34">E72</f>
        <v>0</v>
      </c>
      <c r="W33" s="246">
        <f t="shared" si="34"/>
        <v>0</v>
      </c>
      <c r="Y33" s="221" t="str">
        <f t="shared" si="16"/>
        <v>NEW</v>
      </c>
      <c r="Z33" s="221">
        <f t="shared" si="17"/>
        <v>1</v>
      </c>
      <c r="AA33" s="221" t="s">
        <v>3273</v>
      </c>
      <c r="AB33" s="233" t="str">
        <f>IF(D70="","",D70)</f>
        <v/>
      </c>
      <c r="AC33" s="235"/>
    </row>
    <row r="34" spans="1:45" ht="16.7" customHeight="1" x14ac:dyDescent="0.25">
      <c r="A34" s="137"/>
      <c r="B34" s="100"/>
      <c r="C34" s="129"/>
      <c r="D34" s="279"/>
      <c r="E34" s="69"/>
      <c r="F34" s="137"/>
      <c r="G34" s="135" t="s">
        <v>4634</v>
      </c>
      <c r="H34" s="69"/>
      <c r="I34" s="200"/>
      <c r="J34" s="69"/>
      <c r="K34" s="137"/>
      <c r="N34" s="99"/>
      <c r="S34" s="216"/>
      <c r="T34" s="217" t="s">
        <v>4583</v>
      </c>
      <c r="U34" s="230">
        <f>D74</f>
        <v>0</v>
      </c>
      <c r="V34" s="241">
        <f t="shared" ref="V34:W34" si="35">E74</f>
        <v>0</v>
      </c>
      <c r="W34" s="241">
        <f t="shared" si="35"/>
        <v>0</v>
      </c>
      <c r="Y34" s="221" t="str">
        <f t="shared" si="16"/>
        <v>NEW</v>
      </c>
      <c r="Z34" s="221">
        <f t="shared" si="17"/>
        <v>1</v>
      </c>
      <c r="AA34" s="221" t="s">
        <v>3289</v>
      </c>
      <c r="AB34" s="233" t="str">
        <f>IF(D72="","",VLOOKUP(D72,Attributes1!I3:J1018,2,FALSE))</f>
        <v/>
      </c>
      <c r="AC34" s="235"/>
      <c r="AD34" s="216"/>
    </row>
    <row r="35" spans="1:45" ht="5.0999999999999996" customHeight="1" x14ac:dyDescent="0.25">
      <c r="A35" s="137"/>
      <c r="B35" s="100"/>
      <c r="C35" s="71"/>
      <c r="D35" s="172"/>
      <c r="E35" s="69"/>
      <c r="F35" s="137"/>
      <c r="G35" s="142"/>
      <c r="H35" s="137"/>
      <c r="I35" s="205"/>
      <c r="J35" s="69"/>
      <c r="K35" s="69"/>
      <c r="M35" s="114"/>
      <c r="S35" s="216"/>
      <c r="T35" s="217" t="s">
        <v>4584</v>
      </c>
      <c r="U35" s="230">
        <f>D76</f>
        <v>0</v>
      </c>
      <c r="V35" s="241">
        <f t="shared" ref="V35:W35" si="36">E76</f>
        <v>0</v>
      </c>
      <c r="W35" s="241">
        <f t="shared" si="36"/>
        <v>0</v>
      </c>
      <c r="Y35" s="221" t="str">
        <f t="shared" si="16"/>
        <v>NEW</v>
      </c>
      <c r="Z35" s="221">
        <f t="shared" si="17"/>
        <v>1</v>
      </c>
      <c r="AA35" s="221" t="s">
        <v>4299</v>
      </c>
      <c r="AB35" s="233" t="str">
        <f>IF(D74="","",D74)</f>
        <v/>
      </c>
      <c r="AC35" s="235"/>
      <c r="AD35" s="216"/>
    </row>
    <row r="36" spans="1:45" ht="16.7" customHeight="1" x14ac:dyDescent="0.25">
      <c r="A36" s="137"/>
      <c r="B36" s="100"/>
      <c r="C36" s="129"/>
      <c r="D36" s="172"/>
      <c r="E36" s="69"/>
      <c r="F36" s="137"/>
      <c r="G36" s="135" t="s">
        <v>4518</v>
      </c>
      <c r="H36" s="69"/>
      <c r="I36" s="200"/>
      <c r="J36" s="69"/>
      <c r="K36" s="69"/>
      <c r="M36" s="114"/>
      <c r="S36" s="216"/>
      <c r="T36" s="217" t="s">
        <v>4585</v>
      </c>
      <c r="U36" s="236">
        <f>D78</f>
        <v>0</v>
      </c>
      <c r="V36" s="237">
        <f t="shared" ref="V36:W36" si="37">E78</f>
        <v>0</v>
      </c>
      <c r="W36" s="237">
        <f t="shared" si="37"/>
        <v>0</v>
      </c>
      <c r="Y36" s="221" t="str">
        <f t="shared" si="16"/>
        <v>NEW</v>
      </c>
      <c r="Z36" s="221">
        <f t="shared" si="17"/>
        <v>1</v>
      </c>
      <c r="AA36" s="216" t="s">
        <v>4300</v>
      </c>
      <c r="AB36" s="233" t="str">
        <f>IF(D76="","",D76)</f>
        <v/>
      </c>
      <c r="AC36" s="235"/>
      <c r="AD36" s="224"/>
      <c r="AS36" s="221" t="s">
        <v>4507</v>
      </c>
    </row>
    <row r="37" spans="1:45" ht="5.0999999999999996" customHeight="1" x14ac:dyDescent="0.25">
      <c r="A37" s="137"/>
      <c r="B37" s="100"/>
      <c r="C37" s="129"/>
      <c r="D37" s="172"/>
      <c r="E37" s="69"/>
      <c r="F37" s="137"/>
      <c r="G37" s="127"/>
      <c r="H37" s="127"/>
      <c r="I37" s="193"/>
      <c r="J37" s="69"/>
      <c r="K37" s="69"/>
      <c r="M37" s="114"/>
      <c r="S37" s="216"/>
      <c r="T37" s="217" t="s">
        <v>4586</v>
      </c>
      <c r="U37" s="230">
        <f>D80</f>
        <v>0</v>
      </c>
      <c r="V37" s="241">
        <f t="shared" ref="V37:W37" si="38">E80</f>
        <v>0</v>
      </c>
      <c r="W37" s="241">
        <f t="shared" si="38"/>
        <v>0</v>
      </c>
      <c r="Y37" s="221" t="str">
        <f t="shared" si="16"/>
        <v>NEW</v>
      </c>
      <c r="Z37" s="221">
        <f t="shared" si="17"/>
        <v>1</v>
      </c>
      <c r="AA37" s="221" t="s">
        <v>4301</v>
      </c>
      <c r="AB37" s="233" t="str">
        <f>IF(D78="","",VLOOKUP(D78,Attributes1!L3:M9,2,FALSE))</f>
        <v/>
      </c>
      <c r="AC37" s="235"/>
      <c r="AD37" s="216"/>
      <c r="AS37" s="221" t="s">
        <v>4331</v>
      </c>
    </row>
    <row r="38" spans="1:45" ht="16.7" customHeight="1" x14ac:dyDescent="0.25">
      <c r="A38" s="137"/>
      <c r="B38" s="70" t="s">
        <v>4550</v>
      </c>
      <c r="C38" s="71"/>
      <c r="D38" s="273"/>
      <c r="E38" s="69"/>
      <c r="F38" s="137"/>
      <c r="G38" s="135" t="s">
        <v>4519</v>
      </c>
      <c r="H38" s="69"/>
      <c r="I38" s="206"/>
      <c r="J38" s="69"/>
      <c r="K38" s="69"/>
      <c r="M38" s="114"/>
      <c r="S38" s="216"/>
      <c r="T38" s="217" t="s">
        <v>4641</v>
      </c>
      <c r="U38" s="236">
        <f>D82</f>
        <v>0</v>
      </c>
      <c r="V38" s="237">
        <f t="shared" ref="V38:W38" si="39">E82</f>
        <v>0</v>
      </c>
      <c r="W38" s="237">
        <f t="shared" si="39"/>
        <v>0</v>
      </c>
      <c r="Y38" s="221" t="str">
        <f t="shared" si="16"/>
        <v>NEW</v>
      </c>
      <c r="Z38" s="221">
        <f t="shared" si="17"/>
        <v>1</v>
      </c>
      <c r="AA38" s="221" t="s">
        <v>4544</v>
      </c>
      <c r="AB38" s="233" t="str">
        <f>IF(D80="","",VLOOKUP(D80,Attributes1!AH3:AI461,2,FALSE))</f>
        <v/>
      </c>
      <c r="AC38" s="235"/>
      <c r="AD38" s="216"/>
      <c r="AL38" s="217" t="s">
        <v>4644</v>
      </c>
      <c r="AM38" s="247" t="str">
        <f>IF(AM45="YES","NA","")</f>
        <v/>
      </c>
      <c r="AN38" s="231" t="s">
        <v>4506</v>
      </c>
      <c r="AO38" s="235"/>
      <c r="AP38" s="220"/>
      <c r="AS38" s="221" t="s">
        <v>4330</v>
      </c>
    </row>
    <row r="39" spans="1:45" ht="5.0999999999999996" customHeight="1" x14ac:dyDescent="0.25">
      <c r="A39" s="137"/>
      <c r="B39" s="70"/>
      <c r="C39" s="71"/>
      <c r="D39" s="195"/>
      <c r="E39" s="69"/>
      <c r="F39" s="137"/>
      <c r="G39" s="137"/>
      <c r="H39" s="137"/>
      <c r="I39" s="193"/>
      <c r="J39" s="69"/>
      <c r="K39" s="69"/>
      <c r="M39" s="102"/>
      <c r="S39" s="216"/>
      <c r="T39" s="217" t="s">
        <v>4643</v>
      </c>
      <c r="U39" s="236">
        <f>I18</f>
        <v>0</v>
      </c>
      <c r="V39" s="237">
        <f t="shared" ref="V39:W39" si="40">J18</f>
        <v>0</v>
      </c>
      <c r="W39" s="237">
        <f t="shared" si="40"/>
        <v>0</v>
      </c>
      <c r="Y39" s="221" t="str">
        <f t="shared" si="16"/>
        <v>NEW</v>
      </c>
      <c r="Z39" s="221">
        <f t="shared" si="17"/>
        <v>1</v>
      </c>
      <c r="AA39" s="221" t="s">
        <v>4309</v>
      </c>
      <c r="AB39" s="233" t="str">
        <f>IF(D82="YES","Y","N")</f>
        <v>N</v>
      </c>
      <c r="AC39" s="235"/>
      <c r="AD39" s="216"/>
      <c r="AL39" s="217" t="s">
        <v>4646</v>
      </c>
      <c r="AM39" s="247" t="str">
        <f>IF(AM45="YES","MANU","")</f>
        <v/>
      </c>
      <c r="AN39" s="231" t="s">
        <v>4331</v>
      </c>
      <c r="AO39" s="235"/>
      <c r="AP39" s="220"/>
      <c r="AS39" s="221" t="s">
        <v>4332</v>
      </c>
    </row>
    <row r="40" spans="1:45" ht="16.7" customHeight="1" x14ac:dyDescent="0.25">
      <c r="A40" s="137"/>
      <c r="B40" s="70" t="s">
        <v>4551</v>
      </c>
      <c r="C40" s="71"/>
      <c r="D40" s="200"/>
      <c r="E40" s="69"/>
      <c r="F40" s="137"/>
      <c r="G40" s="137"/>
      <c r="H40" s="137"/>
      <c r="I40" s="212"/>
      <c r="J40" s="69"/>
      <c r="K40" s="69"/>
      <c r="M40" s="102"/>
      <c r="S40" s="216"/>
      <c r="T40" s="217" t="s">
        <v>4587</v>
      </c>
      <c r="U40" s="230">
        <f>I20</f>
        <v>0</v>
      </c>
      <c r="V40" s="238">
        <f t="shared" ref="V40:W40" si="41">J20</f>
        <v>0</v>
      </c>
      <c r="W40" s="238">
        <f t="shared" si="41"/>
        <v>0</v>
      </c>
      <c r="Y40" s="221" t="str">
        <f t="shared" ref="Y40:Y44" si="42">IF(AA40&lt;&gt;"","NEW","")</f>
        <v>NEW</v>
      </c>
      <c r="Z40" s="221">
        <f t="shared" ref="Z40:Z44" si="43">IF(AA40&lt;&gt;"",$AA$1,"")</f>
        <v>1</v>
      </c>
      <c r="AA40" s="221" t="s">
        <v>7606</v>
      </c>
      <c r="AB40" s="233" t="str">
        <f>IF(D84="YES","Y","N")</f>
        <v>N</v>
      </c>
    </row>
    <row r="41" spans="1:45" ht="5.0999999999999996" customHeight="1" x14ac:dyDescent="0.25">
      <c r="A41" s="137"/>
      <c r="B41" s="70"/>
      <c r="C41" s="71"/>
      <c r="D41" s="195"/>
      <c r="E41" s="69"/>
      <c r="F41" s="137"/>
      <c r="G41" s="137"/>
      <c r="H41" s="137"/>
      <c r="I41" s="212"/>
      <c r="J41" s="69"/>
      <c r="K41" s="69"/>
      <c r="M41" s="102"/>
      <c r="S41" s="216"/>
      <c r="T41" s="217" t="s">
        <v>4588</v>
      </c>
      <c r="U41" s="236">
        <f>I24</f>
        <v>0</v>
      </c>
      <c r="V41" s="246">
        <f t="shared" ref="V41:W41" si="44">J24</f>
        <v>0</v>
      </c>
      <c r="W41" s="246">
        <f t="shared" si="44"/>
        <v>0</v>
      </c>
      <c r="Y41" s="221" t="str">
        <f t="shared" si="42"/>
        <v>NEW</v>
      </c>
      <c r="Z41" s="221">
        <f t="shared" si="43"/>
        <v>1</v>
      </c>
      <c r="AA41" s="221" t="s">
        <v>7607</v>
      </c>
      <c r="AB41" s="233" t="str">
        <f>IF(D86="YES","Y","N")</f>
        <v>N</v>
      </c>
    </row>
    <row r="42" spans="1:45" ht="16.7" customHeight="1" x14ac:dyDescent="0.25">
      <c r="A42" s="137"/>
      <c r="B42" s="70" t="s">
        <v>4552</v>
      </c>
      <c r="C42" s="71"/>
      <c r="D42" s="201"/>
      <c r="E42" s="69"/>
      <c r="F42" s="137"/>
      <c r="G42" s="132" t="s">
        <v>9117</v>
      </c>
      <c r="H42" s="69"/>
      <c r="I42" s="272"/>
      <c r="J42" s="69"/>
      <c r="K42" s="69"/>
      <c r="M42" s="102"/>
      <c r="S42" s="216"/>
      <c r="T42" s="217" t="s">
        <v>4589</v>
      </c>
      <c r="U42" s="236">
        <f>I26</f>
        <v>0</v>
      </c>
      <c r="V42" s="246">
        <f t="shared" ref="V42:W42" si="45">J26</f>
        <v>0</v>
      </c>
      <c r="W42" s="246">
        <f t="shared" si="45"/>
        <v>0</v>
      </c>
      <c r="Y42" s="221" t="str">
        <f t="shared" si="42"/>
        <v>NEW</v>
      </c>
      <c r="Z42" s="221">
        <f t="shared" si="43"/>
        <v>1</v>
      </c>
      <c r="AA42" s="221" t="s">
        <v>7608</v>
      </c>
      <c r="AB42" s="233" t="e">
        <f>IF(D88="N/A","",VLOOKUP(D88,Attributes1!AQ3:AR280,2,FALSE))</f>
        <v>#N/A</v>
      </c>
    </row>
    <row r="43" spans="1:45" ht="5.0999999999999996" customHeight="1" x14ac:dyDescent="0.25">
      <c r="A43" s="137"/>
      <c r="B43" s="70"/>
      <c r="C43" s="71"/>
      <c r="D43" s="198"/>
      <c r="E43" s="69"/>
      <c r="F43" s="137"/>
      <c r="G43" s="127"/>
      <c r="H43" s="127"/>
      <c r="I43" s="212"/>
      <c r="J43" s="69"/>
      <c r="K43" s="69"/>
      <c r="M43" s="102"/>
      <c r="S43" s="216"/>
      <c r="T43" s="217" t="s">
        <v>4590</v>
      </c>
      <c r="U43" s="248">
        <f>I42</f>
        <v>0</v>
      </c>
      <c r="V43" s="249">
        <f t="shared" ref="V43:W43" si="46">J42</f>
        <v>0</v>
      </c>
      <c r="W43" s="249">
        <f t="shared" si="46"/>
        <v>0</v>
      </c>
      <c r="Y43" s="221" t="str">
        <f t="shared" si="42"/>
        <v>NEW</v>
      </c>
      <c r="Z43" s="221">
        <f t="shared" si="43"/>
        <v>1</v>
      </c>
      <c r="AA43" s="221" t="s">
        <v>7609</v>
      </c>
      <c r="AB43" s="233" t="str">
        <f>IF(D92="","",D92)</f>
        <v/>
      </c>
    </row>
    <row r="44" spans="1:45" ht="16.7" customHeight="1" x14ac:dyDescent="0.25">
      <c r="A44" s="137"/>
      <c r="B44" s="70" t="s">
        <v>4651</v>
      </c>
      <c r="C44" s="71"/>
      <c r="D44" s="267"/>
      <c r="E44" s="69"/>
      <c r="F44" s="137"/>
      <c r="G44" s="128" t="s">
        <v>6161</v>
      </c>
      <c r="H44" s="69"/>
      <c r="I44" s="267"/>
      <c r="J44" s="69"/>
      <c r="K44" s="69"/>
      <c r="S44" s="216"/>
      <c r="T44" s="244" t="s">
        <v>4591</v>
      </c>
      <c r="U44" s="250">
        <f>I44</f>
        <v>0</v>
      </c>
      <c r="V44" s="251">
        <f t="shared" ref="V44:W44" si="47">J44</f>
        <v>0</v>
      </c>
      <c r="W44" s="251">
        <f t="shared" si="47"/>
        <v>0</v>
      </c>
      <c r="Y44" s="221" t="str">
        <f t="shared" si="42"/>
        <v>NEW</v>
      </c>
      <c r="Z44" s="221">
        <f t="shared" si="43"/>
        <v>1</v>
      </c>
      <c r="AA44" s="221" t="s">
        <v>7610</v>
      </c>
      <c r="AB44" s="233" t="str">
        <f>IF(D94="","",VLOOKUP(D94,Attributes1!BG3:BH50,2,FALSE))</f>
        <v/>
      </c>
    </row>
    <row r="45" spans="1:45" ht="5.0999999999999996" customHeight="1" x14ac:dyDescent="0.25">
      <c r="A45" s="137"/>
      <c r="B45" s="70"/>
      <c r="C45" s="71"/>
      <c r="D45" s="197"/>
      <c r="E45" s="69"/>
      <c r="F45" s="137"/>
      <c r="G45" s="137"/>
      <c r="H45" s="137"/>
      <c r="I45" s="203"/>
      <c r="J45" s="69"/>
      <c r="K45" s="69"/>
      <c r="S45" s="216"/>
      <c r="T45" s="217" t="s">
        <v>4600</v>
      </c>
      <c r="U45" s="248">
        <f>I32</f>
        <v>0</v>
      </c>
      <c r="V45" s="252">
        <f t="shared" ref="V45:W45" si="48">J32</f>
        <v>0</v>
      </c>
      <c r="W45" s="252">
        <f t="shared" si="48"/>
        <v>0</v>
      </c>
      <c r="Y45" s="221" t="str">
        <f t="shared" ref="Y45:Y60" si="49">IF(AA45&lt;&gt;"","NEW","")</f>
        <v>NEW</v>
      </c>
      <c r="Z45" s="221">
        <f t="shared" ref="Z45:Z60" si="50">IF(AA45&lt;&gt;"",$AA$1,"")</f>
        <v>1</v>
      </c>
      <c r="AA45" s="221" t="s">
        <v>4324</v>
      </c>
      <c r="AB45" s="233" t="str">
        <f>IF(I18="YES","Y","N")</f>
        <v>N</v>
      </c>
      <c r="AC45" s="235"/>
      <c r="AL45" s="217" t="s">
        <v>4645</v>
      </c>
      <c r="AM45" s="252">
        <f>I48</f>
        <v>0</v>
      </c>
      <c r="AN45" s="231" t="s">
        <v>4496</v>
      </c>
      <c r="AO45" s="235"/>
      <c r="AP45" s="220"/>
      <c r="AS45" s="221" t="s">
        <v>4333</v>
      </c>
    </row>
    <row r="46" spans="1:45" ht="16.7" customHeight="1" x14ac:dyDescent="0.25">
      <c r="A46" s="137"/>
      <c r="B46" s="70" t="s">
        <v>9104</v>
      </c>
      <c r="C46" s="71"/>
      <c r="D46" s="206"/>
      <c r="E46" s="69"/>
      <c r="F46" s="137"/>
      <c r="G46" s="137"/>
      <c r="H46" s="137"/>
      <c r="I46" s="203"/>
      <c r="J46" s="69"/>
      <c r="K46" s="69"/>
      <c r="S46" s="216"/>
      <c r="T46" s="217" t="s">
        <v>4601</v>
      </c>
      <c r="U46" s="248">
        <f>I34</f>
        <v>0</v>
      </c>
      <c r="V46" s="252">
        <f t="shared" ref="V46:W46" si="51">J34</f>
        <v>0</v>
      </c>
      <c r="W46" s="252">
        <f t="shared" si="51"/>
        <v>0</v>
      </c>
      <c r="Y46" s="221" t="str">
        <f t="shared" si="49"/>
        <v>NEW</v>
      </c>
      <c r="Z46" s="221">
        <f t="shared" si="50"/>
        <v>1</v>
      </c>
      <c r="AA46" s="221" t="s">
        <v>4325</v>
      </c>
      <c r="AB46" s="239" t="str">
        <f>IF(I20="","",I20)</f>
        <v/>
      </c>
      <c r="AC46" s="235"/>
      <c r="AL46" s="217" t="s">
        <v>4594</v>
      </c>
      <c r="AM46" s="252">
        <f>I50</f>
        <v>0</v>
      </c>
      <c r="AN46" s="231" t="s">
        <v>4332</v>
      </c>
      <c r="AO46" s="235"/>
      <c r="AP46" s="220"/>
    </row>
    <row r="47" spans="1:45" ht="5.0999999999999996" customHeight="1" x14ac:dyDescent="0.25">
      <c r="A47" s="137"/>
      <c r="B47" s="121"/>
      <c r="C47" s="69"/>
      <c r="D47" s="202"/>
      <c r="E47" s="137"/>
      <c r="F47" s="137"/>
      <c r="G47" s="137"/>
      <c r="H47" s="137"/>
      <c r="I47" s="205"/>
      <c r="J47" s="69"/>
      <c r="K47" s="69"/>
      <c r="S47" s="216"/>
      <c r="T47" s="244" t="s">
        <v>4602</v>
      </c>
      <c r="U47" s="248">
        <f>I36</f>
        <v>0</v>
      </c>
      <c r="V47" s="252">
        <f t="shared" ref="V47:W47" si="52">J36</f>
        <v>0</v>
      </c>
      <c r="W47" s="252">
        <f t="shared" si="52"/>
        <v>0</v>
      </c>
      <c r="Y47" s="221" t="str">
        <f t="shared" si="49"/>
        <v>NEW</v>
      </c>
      <c r="Z47" s="221">
        <f t="shared" si="50"/>
        <v>1</v>
      </c>
      <c r="AA47" s="221" t="s">
        <v>6777</v>
      </c>
      <c r="AB47" s="233" t="str">
        <f>IF(I22="","",VLOOKUP(I22,Attributes1!AN3:AO7,2,FALSE))</f>
        <v/>
      </c>
    </row>
    <row r="48" spans="1:45" ht="16.7" customHeight="1" x14ac:dyDescent="0.25">
      <c r="A48" s="137"/>
      <c r="B48" s="121" t="s">
        <v>6160</v>
      </c>
      <c r="C48" s="69"/>
      <c r="D48" s="267"/>
      <c r="E48" s="137"/>
      <c r="F48" s="137"/>
      <c r="G48" s="138" t="s">
        <v>9118</v>
      </c>
      <c r="H48" s="69"/>
      <c r="I48" s="200"/>
      <c r="J48" s="69"/>
      <c r="K48" s="69"/>
      <c r="S48" s="216"/>
      <c r="Y48" s="221" t="str">
        <f t="shared" si="49"/>
        <v>NEW</v>
      </c>
      <c r="Z48" s="221">
        <f t="shared" si="50"/>
        <v>1</v>
      </c>
      <c r="AA48" s="224" t="s">
        <v>4326</v>
      </c>
      <c r="AB48" s="233" t="str">
        <f>IF(I24="","",I24)</f>
        <v/>
      </c>
      <c r="AC48" s="235"/>
      <c r="AL48" s="217" t="s">
        <v>4595</v>
      </c>
      <c r="AM48" s="252">
        <f>I52</f>
        <v>0</v>
      </c>
      <c r="AN48" s="231" t="s">
        <v>4333</v>
      </c>
      <c r="AO48" s="235"/>
      <c r="AP48" s="220"/>
    </row>
    <row r="49" spans="1:52" ht="5.0999999999999996" customHeight="1" x14ac:dyDescent="0.25">
      <c r="A49" s="137"/>
      <c r="B49" s="121"/>
      <c r="C49" s="69"/>
      <c r="D49" s="203"/>
      <c r="E49" s="137"/>
      <c r="F49" s="137"/>
      <c r="G49" s="137"/>
      <c r="H49" s="72"/>
      <c r="I49" s="205"/>
      <c r="J49" s="69"/>
      <c r="K49" s="69"/>
      <c r="S49" s="216"/>
      <c r="T49" s="244" t="s">
        <v>4603</v>
      </c>
      <c r="U49" s="248">
        <f>I38</f>
        <v>0</v>
      </c>
      <c r="V49" s="252">
        <f t="shared" ref="V49:W49" si="53">J38</f>
        <v>0</v>
      </c>
      <c r="W49" s="252">
        <f t="shared" si="53"/>
        <v>0</v>
      </c>
      <c r="Y49" s="221" t="str">
        <f t="shared" si="49"/>
        <v>NEW</v>
      </c>
      <c r="Z49" s="221">
        <f t="shared" si="50"/>
        <v>1</v>
      </c>
      <c r="AA49" s="216" t="s">
        <v>4327</v>
      </c>
      <c r="AB49" s="233" t="str">
        <f>IF(I26="","",I26)</f>
        <v/>
      </c>
      <c r="AC49" s="235"/>
      <c r="AL49" s="217" t="s">
        <v>4592</v>
      </c>
      <c r="AM49" s="247" t="str">
        <f>IF(AM52="YES","NA","")</f>
        <v/>
      </c>
      <c r="AN49" s="231" t="s">
        <v>4506</v>
      </c>
      <c r="AO49" s="235"/>
      <c r="AP49" s="220"/>
      <c r="AS49" s="221" t="s">
        <v>4330</v>
      </c>
    </row>
    <row r="50" spans="1:52" ht="16.7" customHeight="1" x14ac:dyDescent="0.25">
      <c r="A50" s="137"/>
      <c r="B50" s="121" t="s">
        <v>4553</v>
      </c>
      <c r="C50" s="69"/>
      <c r="D50" s="204"/>
      <c r="E50" s="69"/>
      <c r="F50" s="137"/>
      <c r="G50" s="138" t="s">
        <v>4332</v>
      </c>
      <c r="H50" s="69"/>
      <c r="I50" s="201"/>
      <c r="J50" s="69"/>
      <c r="K50" s="69"/>
      <c r="S50" s="216"/>
      <c r="Y50" s="221" t="str">
        <f t="shared" si="49"/>
        <v>NEW</v>
      </c>
      <c r="Z50" s="221">
        <f t="shared" si="50"/>
        <v>1</v>
      </c>
      <c r="AA50" s="221" t="s">
        <v>7612</v>
      </c>
      <c r="AB50" s="233" t="str">
        <f>IF(I28="YES","Y","N")</f>
        <v>N</v>
      </c>
    </row>
    <row r="51" spans="1:52" s="107" customFormat="1" ht="5.0999999999999996" customHeight="1" x14ac:dyDescent="0.25">
      <c r="A51" s="137"/>
      <c r="B51" s="142"/>
      <c r="C51" s="137"/>
      <c r="D51" s="202"/>
      <c r="E51" s="69"/>
      <c r="F51" s="137"/>
      <c r="G51" s="136"/>
      <c r="H51" s="69"/>
      <c r="I51" s="205"/>
      <c r="J51" s="69"/>
      <c r="K51" s="69"/>
      <c r="S51" s="216"/>
      <c r="T51" s="221"/>
      <c r="U51" s="253"/>
      <c r="V51" s="221"/>
      <c r="W51" s="221"/>
      <c r="X51" s="221"/>
      <c r="Y51" s="221" t="str">
        <f t="shared" si="49"/>
        <v>NEW</v>
      </c>
      <c r="Z51" s="221">
        <f t="shared" si="50"/>
        <v>1</v>
      </c>
      <c r="AA51" s="216" t="s">
        <v>4328</v>
      </c>
      <c r="AB51" s="232" t="str">
        <f>IF(I42="","",I42)</f>
        <v/>
      </c>
      <c r="AC51" s="235"/>
      <c r="AD51" s="221"/>
      <c r="AE51" s="221"/>
      <c r="AF51" s="221"/>
      <c r="AG51" s="221"/>
      <c r="AH51" s="221"/>
      <c r="AI51" s="221"/>
      <c r="AJ51" s="221"/>
      <c r="AK51" s="221"/>
      <c r="AL51" s="217" t="s">
        <v>4593</v>
      </c>
      <c r="AM51" s="247" t="str">
        <f>IF(AM52="YES","MANU","")</f>
        <v/>
      </c>
      <c r="AN51" s="231" t="s">
        <v>4331</v>
      </c>
      <c r="AO51" s="235"/>
      <c r="AP51" s="220"/>
      <c r="AQ51" s="221"/>
      <c r="AR51" s="221"/>
      <c r="AS51" s="221" t="s">
        <v>4332</v>
      </c>
      <c r="AT51" s="221"/>
      <c r="AU51" s="221"/>
      <c r="AV51" s="221"/>
      <c r="AW51" s="221"/>
      <c r="AX51" s="221"/>
      <c r="AY51" s="221"/>
      <c r="AZ51" s="221"/>
    </row>
    <row r="52" spans="1:52" s="107" customFormat="1" ht="16.7" customHeight="1" x14ac:dyDescent="0.25">
      <c r="A52" s="137"/>
      <c r="B52" s="142"/>
      <c r="C52" s="137"/>
      <c r="D52" s="202"/>
      <c r="E52" s="69"/>
      <c r="F52" s="137"/>
      <c r="G52" s="138" t="s">
        <v>4333</v>
      </c>
      <c r="H52" s="69"/>
      <c r="I52" s="201"/>
      <c r="J52" s="69"/>
      <c r="K52" s="69"/>
      <c r="S52" s="216"/>
      <c r="T52" s="244"/>
      <c r="U52" s="236"/>
      <c r="V52" s="237"/>
      <c r="W52" s="237"/>
      <c r="X52" s="220"/>
      <c r="Y52" s="221" t="str">
        <f t="shared" si="49"/>
        <v>NEW</v>
      </c>
      <c r="Z52" s="221">
        <f t="shared" si="50"/>
        <v>1</v>
      </c>
      <c r="AA52" s="216" t="s">
        <v>4546</v>
      </c>
      <c r="AB52" s="239" t="str">
        <f>IF(I44="","",I44)</f>
        <v/>
      </c>
      <c r="AC52" s="221"/>
      <c r="AD52" s="221"/>
      <c r="AE52" s="221"/>
      <c r="AF52" s="221"/>
      <c r="AG52" s="221"/>
      <c r="AH52" s="221"/>
      <c r="AI52" s="221"/>
      <c r="AJ52" s="221"/>
      <c r="AK52" s="221"/>
      <c r="AL52" s="217" t="s">
        <v>4647</v>
      </c>
      <c r="AM52" s="252">
        <f>I54</f>
        <v>0</v>
      </c>
      <c r="AN52" s="231" t="s">
        <v>4498</v>
      </c>
      <c r="AO52" s="235"/>
      <c r="AP52" s="220"/>
      <c r="AQ52" s="221"/>
      <c r="AR52" s="221"/>
      <c r="AS52" s="221" t="s">
        <v>4333</v>
      </c>
      <c r="AT52" s="221"/>
      <c r="AU52" s="221"/>
      <c r="AV52" s="221"/>
      <c r="AW52" s="221"/>
      <c r="AX52" s="221"/>
      <c r="AY52" s="221"/>
      <c r="AZ52" s="221"/>
    </row>
    <row r="53" spans="1:52" s="107" customFormat="1" ht="5.0999999999999996" customHeight="1" x14ac:dyDescent="0.25">
      <c r="A53" s="137"/>
      <c r="B53" s="70"/>
      <c r="C53" s="69"/>
      <c r="D53" s="205"/>
      <c r="E53" s="69"/>
      <c r="F53" s="137"/>
      <c r="G53" s="143"/>
      <c r="H53" s="69"/>
      <c r="I53" s="205"/>
      <c r="J53" s="69"/>
      <c r="K53" s="69"/>
      <c r="S53" s="216"/>
      <c r="T53" s="221"/>
      <c r="U53" s="253"/>
      <c r="V53" s="221"/>
      <c r="W53" s="221"/>
      <c r="X53" s="221"/>
      <c r="Y53" s="221" t="str">
        <f t="shared" si="49"/>
        <v>NEW</v>
      </c>
      <c r="Z53" s="221">
        <f t="shared" si="50"/>
        <v>1</v>
      </c>
      <c r="AA53" s="221" t="s">
        <v>4631</v>
      </c>
      <c r="AB53" s="232" t="str">
        <f>IF(I32&lt;&gt;"","CSP","")</f>
        <v/>
      </c>
      <c r="AC53" s="221" t="s">
        <v>4633</v>
      </c>
      <c r="AD53" s="233">
        <f>IF(U45="","",U45)</f>
        <v>0</v>
      </c>
      <c r="AE53" s="221"/>
      <c r="AF53" s="221"/>
      <c r="AG53" s="221"/>
      <c r="AH53" s="221"/>
      <c r="AI53" s="221"/>
      <c r="AJ53" s="221"/>
      <c r="AK53" s="221"/>
      <c r="AL53" s="217" t="s">
        <v>4594</v>
      </c>
      <c r="AM53" s="252">
        <f>I56</f>
        <v>0</v>
      </c>
      <c r="AN53" s="231" t="s">
        <v>4332</v>
      </c>
      <c r="AO53" s="235"/>
      <c r="AP53" s="220"/>
      <c r="AQ53" s="221"/>
      <c r="AR53" s="221"/>
      <c r="AS53" s="221"/>
      <c r="AT53" s="221"/>
      <c r="AU53" s="221"/>
      <c r="AV53" s="221"/>
      <c r="AW53" s="221"/>
      <c r="AX53" s="221"/>
      <c r="AY53" s="221"/>
      <c r="AZ53" s="221"/>
    </row>
    <row r="54" spans="1:52" s="107" customFormat="1" ht="16.7" customHeight="1" x14ac:dyDescent="0.25">
      <c r="A54" s="137"/>
      <c r="B54" s="142" t="s">
        <v>4606</v>
      </c>
      <c r="C54" s="71"/>
      <c r="D54" s="200"/>
      <c r="E54" s="69"/>
      <c r="F54" s="137"/>
      <c r="G54" s="138" t="s">
        <v>9119</v>
      </c>
      <c r="H54" s="69"/>
      <c r="I54" s="200"/>
      <c r="J54" s="69"/>
      <c r="K54" s="69"/>
      <c r="S54" s="216"/>
      <c r="T54" s="244" t="s">
        <v>4635</v>
      </c>
      <c r="U54" s="248">
        <f>I72</f>
        <v>0</v>
      </c>
      <c r="V54" s="252">
        <f t="shared" ref="V54:W54" si="54">J72</f>
        <v>0</v>
      </c>
      <c r="W54" s="252">
        <f t="shared" si="54"/>
        <v>0</v>
      </c>
      <c r="X54" s="220"/>
      <c r="Y54" s="221" t="str">
        <f t="shared" si="49"/>
        <v>NEW</v>
      </c>
      <c r="Z54" s="221">
        <f t="shared" si="50"/>
        <v>1</v>
      </c>
      <c r="AA54" s="221" t="s">
        <v>4631</v>
      </c>
      <c r="AB54" s="232" t="str">
        <f>IF(I34&lt;&gt;"","ISN","")</f>
        <v/>
      </c>
      <c r="AC54" s="221" t="s">
        <v>4633</v>
      </c>
      <c r="AD54" s="233">
        <f>IF(U46="","",U46)</f>
        <v>0</v>
      </c>
      <c r="AE54" s="221"/>
      <c r="AF54" s="221"/>
      <c r="AG54" s="221"/>
      <c r="AH54" s="221"/>
      <c r="AI54" s="221"/>
      <c r="AJ54" s="221"/>
      <c r="AK54" s="221"/>
      <c r="AL54" s="217" t="s">
        <v>4595</v>
      </c>
      <c r="AM54" s="252">
        <f>I58</f>
        <v>0</v>
      </c>
      <c r="AN54" s="231" t="s">
        <v>4333</v>
      </c>
      <c r="AO54" s="235"/>
      <c r="AP54" s="220"/>
      <c r="AQ54" s="221"/>
      <c r="AR54" s="221"/>
      <c r="AS54" s="221"/>
      <c r="AT54" s="221"/>
      <c r="AU54" s="221"/>
      <c r="AV54" s="221"/>
      <c r="AW54" s="221"/>
      <c r="AX54" s="221"/>
      <c r="AY54" s="221"/>
      <c r="AZ54" s="221"/>
    </row>
    <row r="55" spans="1:52" s="107" customFormat="1" ht="5.0999999999999996" customHeight="1" x14ac:dyDescent="0.25">
      <c r="A55" s="137"/>
      <c r="B55" s="124"/>
      <c r="C55" s="69"/>
      <c r="D55" s="205"/>
      <c r="E55" s="69"/>
      <c r="F55" s="137"/>
      <c r="G55" s="143"/>
      <c r="H55" s="69"/>
      <c r="I55" s="205"/>
      <c r="J55" s="69"/>
      <c r="K55" s="69"/>
      <c r="S55" s="216"/>
      <c r="T55" s="244" t="s">
        <v>6163</v>
      </c>
      <c r="U55" s="236">
        <f>I74</f>
        <v>0</v>
      </c>
      <c r="V55" s="237">
        <f t="shared" ref="V55:W55" si="55">J74</f>
        <v>0</v>
      </c>
      <c r="W55" s="237">
        <f t="shared" si="55"/>
        <v>0</v>
      </c>
      <c r="X55" s="220"/>
      <c r="Y55" s="221" t="str">
        <f t="shared" si="49"/>
        <v>NEW</v>
      </c>
      <c r="Z55" s="221">
        <f t="shared" si="50"/>
        <v>1</v>
      </c>
      <c r="AA55" s="221" t="s">
        <v>4631</v>
      </c>
      <c r="AB55" s="232" t="str">
        <f>IF(I36&lt;&gt;"","BBT","")</f>
        <v/>
      </c>
      <c r="AC55" s="221" t="s">
        <v>4633</v>
      </c>
      <c r="AD55" s="233">
        <f>IF(U47="","",U47)</f>
        <v>0</v>
      </c>
      <c r="AE55" s="221"/>
      <c r="AF55" s="221"/>
      <c r="AG55" s="221"/>
      <c r="AH55" s="221"/>
      <c r="AI55" s="221"/>
      <c r="AJ55" s="221"/>
      <c r="AK55" s="221"/>
      <c r="AL55" s="217" t="s">
        <v>4596</v>
      </c>
      <c r="AM55" s="247" t="str">
        <f>IF(AM57="YES","NA","")</f>
        <v/>
      </c>
      <c r="AN55" s="231" t="s">
        <v>4506</v>
      </c>
      <c r="AO55" s="235"/>
      <c r="AP55" s="220"/>
      <c r="AQ55" s="221"/>
      <c r="AR55" s="221"/>
      <c r="AS55" s="221" t="s">
        <v>4330</v>
      </c>
      <c r="AT55" s="221"/>
      <c r="AU55" s="221"/>
      <c r="AV55" s="221"/>
      <c r="AW55" s="221"/>
      <c r="AX55" s="221"/>
      <c r="AY55" s="221"/>
      <c r="AZ55" s="221"/>
    </row>
    <row r="56" spans="1:52" s="107" customFormat="1" ht="16.7" customHeight="1" x14ac:dyDescent="0.25">
      <c r="A56" s="137"/>
      <c r="B56" s="124" t="s">
        <v>9105</v>
      </c>
      <c r="C56" s="69"/>
      <c r="D56" s="200"/>
      <c r="E56" s="69"/>
      <c r="F56" s="137"/>
      <c r="G56" s="138" t="s">
        <v>4332</v>
      </c>
      <c r="H56" s="72"/>
      <c r="I56" s="201"/>
      <c r="J56" s="69"/>
      <c r="K56" s="69"/>
      <c r="S56" s="216"/>
      <c r="T56" s="254" t="s">
        <v>6164</v>
      </c>
      <c r="U56" s="236">
        <f>I78</f>
        <v>0</v>
      </c>
      <c r="V56" s="237">
        <f t="shared" ref="V56:W56" si="56">J78</f>
        <v>0</v>
      </c>
      <c r="W56" s="237">
        <f t="shared" si="56"/>
        <v>0</v>
      </c>
      <c r="X56" s="220"/>
      <c r="Y56" s="221" t="str">
        <f t="shared" si="49"/>
        <v>NEW</v>
      </c>
      <c r="Z56" s="221">
        <f t="shared" si="50"/>
        <v>1</v>
      </c>
      <c r="AA56" s="221" t="s">
        <v>4631</v>
      </c>
      <c r="AB56" s="232" t="str">
        <f>IF(I38&lt;&gt;"","TCK","")</f>
        <v/>
      </c>
      <c r="AC56" s="221" t="s">
        <v>4633</v>
      </c>
      <c r="AD56" s="233">
        <f>IF(U49="","",U49)</f>
        <v>0</v>
      </c>
      <c r="AE56" s="221"/>
      <c r="AF56" s="221"/>
      <c r="AG56" s="221"/>
      <c r="AH56" s="221"/>
      <c r="AI56" s="221"/>
      <c r="AJ56" s="221"/>
      <c r="AK56" s="221"/>
      <c r="AL56" s="217" t="s">
        <v>4597</v>
      </c>
      <c r="AM56" s="247" t="str">
        <f>IF(AM57="YES","MANU","")</f>
        <v/>
      </c>
      <c r="AN56" s="231" t="s">
        <v>4331</v>
      </c>
      <c r="AO56" s="235"/>
      <c r="AP56" s="220"/>
      <c r="AQ56" s="221"/>
      <c r="AR56" s="221"/>
      <c r="AS56" s="221" t="s">
        <v>4332</v>
      </c>
      <c r="AT56" s="221"/>
      <c r="AU56" s="221"/>
      <c r="AV56" s="221"/>
      <c r="AW56" s="221"/>
      <c r="AX56" s="221"/>
      <c r="AY56" s="221"/>
      <c r="AZ56" s="221"/>
    </row>
    <row r="57" spans="1:52" s="107" customFormat="1" ht="5.0999999999999996" customHeight="1" x14ac:dyDescent="0.25">
      <c r="A57" s="137"/>
      <c r="B57" s="124"/>
      <c r="C57" s="69"/>
      <c r="D57" s="205"/>
      <c r="E57" s="69"/>
      <c r="F57" s="137"/>
      <c r="G57" s="142"/>
      <c r="H57" s="137"/>
      <c r="I57" s="193"/>
      <c r="J57" s="137"/>
      <c r="K57" s="69"/>
      <c r="S57" s="216"/>
      <c r="T57" s="255" t="s">
        <v>6165</v>
      </c>
      <c r="U57" s="253">
        <f>I80</f>
        <v>0</v>
      </c>
      <c r="V57" s="221">
        <f t="shared" ref="V57:W57" si="57">J80</f>
        <v>0</v>
      </c>
      <c r="W57" s="221">
        <f t="shared" si="57"/>
        <v>0</v>
      </c>
      <c r="X57" s="221"/>
      <c r="Y57" s="221" t="str">
        <f t="shared" si="49"/>
        <v>NEW</v>
      </c>
      <c r="Z57" s="221">
        <f t="shared" si="50"/>
        <v>1</v>
      </c>
      <c r="AA57" s="221" t="s">
        <v>4626</v>
      </c>
      <c r="AB57" s="232" t="str">
        <f>IF(AM38="","",AM38)</f>
        <v/>
      </c>
      <c r="AC57" s="221" t="s">
        <v>4627</v>
      </c>
      <c r="AD57" s="256" t="str">
        <f>IF(AM39="","",AM39)</f>
        <v/>
      </c>
      <c r="AE57" s="221" t="s">
        <v>4628</v>
      </c>
      <c r="AF57" s="232" t="str">
        <f>IF(AM45="YES","FITCH","")</f>
        <v/>
      </c>
      <c r="AG57" s="221" t="s">
        <v>4629</v>
      </c>
      <c r="AH57" s="252" t="str">
        <f>IF(I50="","",VLOOKUP(I50,Attributes1!U3:V13,2,FALSE))</f>
        <v/>
      </c>
      <c r="AI57" s="221" t="s">
        <v>4630</v>
      </c>
      <c r="AJ57" s="232">
        <f>IF(AM48="Any","",AM48)</f>
        <v>0</v>
      </c>
      <c r="AK57" s="221"/>
      <c r="AL57" s="217" t="s">
        <v>4598</v>
      </c>
      <c r="AM57" s="252">
        <f>I60</f>
        <v>0</v>
      </c>
      <c r="AN57" s="231" t="s">
        <v>4500</v>
      </c>
      <c r="AO57" s="235"/>
      <c r="AP57" s="220"/>
      <c r="AQ57" s="221"/>
      <c r="AR57" s="221"/>
      <c r="AS57" s="221" t="s">
        <v>4333</v>
      </c>
      <c r="AT57" s="221"/>
      <c r="AU57" s="221"/>
      <c r="AV57" s="221"/>
      <c r="AW57" s="221"/>
      <c r="AX57" s="221"/>
      <c r="AY57" s="221"/>
      <c r="AZ57" s="221"/>
    </row>
    <row r="58" spans="1:52" s="107" customFormat="1" ht="16.7" customHeight="1" x14ac:dyDescent="0.25">
      <c r="A58" s="137"/>
      <c r="B58" s="124" t="s">
        <v>4607</v>
      </c>
      <c r="C58" s="69"/>
      <c r="D58" s="206"/>
      <c r="E58" s="69"/>
      <c r="F58" s="137"/>
      <c r="G58" s="138" t="s">
        <v>4333</v>
      </c>
      <c r="H58" s="72"/>
      <c r="I58" s="201"/>
      <c r="J58" s="137"/>
      <c r="K58" s="69"/>
      <c r="P58" s="107" t="s">
        <v>4526</v>
      </c>
      <c r="S58" s="216"/>
      <c r="T58" s="254" t="s">
        <v>4579</v>
      </c>
      <c r="U58" s="253">
        <f>I4</f>
        <v>0</v>
      </c>
      <c r="V58" s="221">
        <f t="shared" ref="V58:W58" si="58">J4</f>
        <v>0</v>
      </c>
      <c r="W58" s="221">
        <f t="shared" si="58"/>
        <v>0</v>
      </c>
      <c r="X58" s="221"/>
      <c r="Y58" s="221" t="str">
        <f t="shared" si="49"/>
        <v>NEW</v>
      </c>
      <c r="Z58" s="221">
        <f t="shared" si="50"/>
        <v>1</v>
      </c>
      <c r="AA58" s="221" t="s">
        <v>4626</v>
      </c>
      <c r="AB58" s="232" t="str">
        <f>IF(AM49="","",AM49)</f>
        <v/>
      </c>
      <c r="AC58" s="221" t="s">
        <v>4627</v>
      </c>
      <c r="AD58" s="256" t="str">
        <f>IF(AM51="","",AM51)</f>
        <v/>
      </c>
      <c r="AE58" s="221" t="s">
        <v>4628</v>
      </c>
      <c r="AF58" s="232" t="str">
        <f>IF(AM52="YES","MOODY","")</f>
        <v/>
      </c>
      <c r="AG58" s="221" t="s">
        <v>4629</v>
      </c>
      <c r="AH58" s="252" t="str">
        <f>IF(I56="","",VLOOKUP(I56,Attributes1!X3:Y25,2,FALSE))</f>
        <v/>
      </c>
      <c r="AI58" s="221" t="s">
        <v>4630</v>
      </c>
      <c r="AJ58" s="232">
        <f>IF(AM54="Any","",AM54)</f>
        <v>0</v>
      </c>
      <c r="AK58" s="221"/>
      <c r="AL58" s="217" t="s">
        <v>4598</v>
      </c>
      <c r="AM58" s="252">
        <f>I62</f>
        <v>0</v>
      </c>
      <c r="AN58" s="231" t="s">
        <v>4332</v>
      </c>
      <c r="AO58" s="235"/>
      <c r="AP58" s="220"/>
      <c r="AQ58" s="221"/>
      <c r="AR58" s="221"/>
      <c r="AS58" s="221"/>
      <c r="AT58" s="221"/>
      <c r="AU58" s="221"/>
      <c r="AV58" s="221"/>
      <c r="AW58" s="221"/>
      <c r="AX58" s="221"/>
      <c r="AY58" s="221"/>
      <c r="AZ58" s="221"/>
    </row>
    <row r="59" spans="1:52" s="107" customFormat="1" ht="5.0999999999999996" customHeight="1" x14ac:dyDescent="0.25">
      <c r="A59" s="137"/>
      <c r="B59" s="124"/>
      <c r="C59" s="69"/>
      <c r="D59" s="205"/>
      <c r="E59" s="69"/>
      <c r="F59" s="137"/>
      <c r="G59" s="70"/>
      <c r="H59" s="69"/>
      <c r="I59" s="193"/>
      <c r="J59" s="137"/>
      <c r="K59" s="69"/>
      <c r="S59" s="216"/>
      <c r="T59" s="244" t="s">
        <v>4604</v>
      </c>
      <c r="U59" s="236">
        <f>I6</f>
        <v>0</v>
      </c>
      <c r="V59" s="246">
        <f t="shared" ref="V59:W59" si="59">J6</f>
        <v>0</v>
      </c>
      <c r="W59" s="246">
        <f t="shared" si="59"/>
        <v>0</v>
      </c>
      <c r="X59" s="220"/>
      <c r="Y59" s="221" t="str">
        <f t="shared" si="49"/>
        <v>NEW</v>
      </c>
      <c r="Z59" s="221">
        <f t="shared" si="50"/>
        <v>1</v>
      </c>
      <c r="AA59" s="221" t="s">
        <v>4626</v>
      </c>
      <c r="AB59" s="232" t="str">
        <f>IF(AM55="","",AM55)</f>
        <v/>
      </c>
      <c r="AC59" s="221" t="s">
        <v>4627</v>
      </c>
      <c r="AD59" s="256" t="str">
        <f>IF(AM56="","",AM56)</f>
        <v/>
      </c>
      <c r="AE59" s="221" t="s">
        <v>4628</v>
      </c>
      <c r="AF59" s="232" t="str">
        <f>IF(AM57="YES","S&amp;P","")</f>
        <v/>
      </c>
      <c r="AG59" s="221" t="s">
        <v>4629</v>
      </c>
      <c r="AH59" s="252" t="str">
        <f>IF(I62="","",VLOOKUP(I62,Attributes1!AA3:AB17,2,FALSE))</f>
        <v/>
      </c>
      <c r="AI59" s="221" t="s">
        <v>4630</v>
      </c>
      <c r="AJ59" s="232">
        <f>IF(AM59="Any","",AM59)</f>
        <v>0</v>
      </c>
      <c r="AK59" s="221"/>
      <c r="AL59" s="244" t="s">
        <v>4599</v>
      </c>
      <c r="AM59" s="252">
        <f>I64</f>
        <v>0</v>
      </c>
      <c r="AN59" s="231" t="s">
        <v>4333</v>
      </c>
      <c r="AO59" s="235"/>
      <c r="AP59" s="220"/>
      <c r="AQ59" s="221"/>
      <c r="AR59" s="221"/>
      <c r="AS59" s="221"/>
      <c r="AT59" s="221"/>
      <c r="AU59" s="221"/>
      <c r="AV59" s="221"/>
      <c r="AW59" s="221"/>
      <c r="AX59" s="221"/>
      <c r="AY59" s="221"/>
      <c r="AZ59" s="221"/>
    </row>
    <row r="60" spans="1:52" s="107" customFormat="1" ht="16.7" customHeight="1" x14ac:dyDescent="0.25">
      <c r="A60" s="137"/>
      <c r="B60" s="124" t="s">
        <v>4608</v>
      </c>
      <c r="C60" s="69"/>
      <c r="D60" s="206"/>
      <c r="E60" s="69"/>
      <c r="F60" s="137"/>
      <c r="G60" s="142" t="s">
        <v>9120</v>
      </c>
      <c r="H60" s="69"/>
      <c r="I60" s="213"/>
      <c r="J60" s="69"/>
      <c r="K60" s="137"/>
      <c r="S60" s="216"/>
      <c r="T60" s="244" t="s">
        <v>6166</v>
      </c>
      <c r="U60" s="236">
        <f>I8</f>
        <v>0</v>
      </c>
      <c r="V60" s="257">
        <f t="shared" ref="V60:W60" si="60">J8</f>
        <v>0</v>
      </c>
      <c r="W60" s="257">
        <f t="shared" si="60"/>
        <v>0</v>
      </c>
      <c r="X60" s="220"/>
      <c r="Y60" s="221" t="str">
        <f t="shared" si="49"/>
        <v>NEW</v>
      </c>
      <c r="Z60" s="221">
        <f t="shared" si="50"/>
        <v>1</v>
      </c>
      <c r="AA60" s="221" t="s">
        <v>7613</v>
      </c>
      <c r="AB60" s="233" t="str">
        <f>IF(I68="YES","Y","N")</f>
        <v>N</v>
      </c>
      <c r="AC60" s="235"/>
      <c r="AD60" s="221"/>
      <c r="AE60" s="221"/>
      <c r="AF60" s="221"/>
      <c r="AG60" s="221"/>
      <c r="AH60" s="221"/>
      <c r="AI60" s="221"/>
      <c r="AJ60" s="221"/>
      <c r="AK60" s="221"/>
      <c r="AL60" s="221"/>
      <c r="AM60" s="221"/>
      <c r="AN60" s="221"/>
      <c r="AO60" s="221"/>
      <c r="AP60" s="221"/>
      <c r="AQ60" s="221"/>
      <c r="AR60" s="221"/>
      <c r="AS60" s="221"/>
      <c r="AT60" s="221"/>
      <c r="AU60" s="221"/>
      <c r="AV60" s="221"/>
      <c r="AW60" s="221"/>
      <c r="AX60" s="221"/>
      <c r="AY60" s="221"/>
      <c r="AZ60" s="221"/>
    </row>
    <row r="61" spans="1:52" s="107" customFormat="1" ht="5.0999999999999996" customHeight="1" x14ac:dyDescent="0.25">
      <c r="A61" s="137"/>
      <c r="B61" s="124"/>
      <c r="C61" s="69"/>
      <c r="D61" s="205"/>
      <c r="E61" s="69"/>
      <c r="F61" s="137"/>
      <c r="G61" s="142"/>
      <c r="H61" s="137"/>
      <c r="I61" s="193"/>
      <c r="J61" s="69"/>
      <c r="K61" s="137"/>
      <c r="R61" s="114"/>
      <c r="S61" s="216"/>
      <c r="T61" s="254" t="s">
        <v>4642</v>
      </c>
      <c r="U61" s="236">
        <f>I10</f>
        <v>0</v>
      </c>
      <c r="V61" s="237">
        <f t="shared" ref="V61:W61" si="61">J10</f>
        <v>0</v>
      </c>
      <c r="W61" s="237">
        <f t="shared" si="61"/>
        <v>0</v>
      </c>
      <c r="X61" s="220"/>
      <c r="Y61" s="221" t="str">
        <f t="shared" ref="Y61:Y70" si="62">IF(AA61&lt;&gt;"","NEW","")</f>
        <v>NEW</v>
      </c>
      <c r="Z61" s="221">
        <f t="shared" ref="Z61:Z70" si="63">IF(AA61&lt;&gt;"",$AA$1,"")</f>
        <v>1</v>
      </c>
      <c r="AA61" s="221" t="s">
        <v>7614</v>
      </c>
      <c r="AB61" s="233" t="str">
        <f>IF(I70="YES","Y","N")</f>
        <v>N</v>
      </c>
      <c r="AC61" s="235"/>
      <c r="AD61" s="221"/>
      <c r="AE61" s="221"/>
      <c r="AF61" s="221"/>
      <c r="AG61" s="221"/>
      <c r="AH61" s="221"/>
      <c r="AI61" s="221"/>
      <c r="AJ61" s="221"/>
      <c r="AK61" s="221"/>
      <c r="AL61" s="221"/>
      <c r="AM61" s="221"/>
      <c r="AN61" s="221"/>
      <c r="AO61" s="221"/>
      <c r="AP61" s="221"/>
      <c r="AQ61" s="221"/>
      <c r="AR61" s="221"/>
      <c r="AS61" s="221"/>
      <c r="AT61" s="221"/>
      <c r="AU61" s="221"/>
      <c r="AV61" s="221"/>
      <c r="AW61" s="221"/>
      <c r="AX61" s="221"/>
      <c r="AY61" s="221"/>
      <c r="AZ61" s="221"/>
    </row>
    <row r="62" spans="1:52" s="107" customFormat="1" ht="16.7" customHeight="1" x14ac:dyDescent="0.25">
      <c r="A62" s="137"/>
      <c r="B62" s="124" t="s">
        <v>9106</v>
      </c>
      <c r="C62" s="69"/>
      <c r="D62" s="206"/>
      <c r="E62" s="69"/>
      <c r="F62" s="137"/>
      <c r="G62" s="142" t="s">
        <v>4332</v>
      </c>
      <c r="H62" s="69"/>
      <c r="I62" s="201"/>
      <c r="J62" s="69"/>
      <c r="K62" s="69"/>
      <c r="R62" s="114"/>
      <c r="S62" s="221"/>
      <c r="T62" s="244" t="s">
        <v>4643</v>
      </c>
      <c r="U62" s="253">
        <f>I12</f>
        <v>0</v>
      </c>
      <c r="V62" s="221">
        <f t="shared" ref="V62:W62" si="64">J12</f>
        <v>0</v>
      </c>
      <c r="W62" s="221">
        <f t="shared" si="64"/>
        <v>0</v>
      </c>
      <c r="X62" s="221"/>
      <c r="Y62" s="221" t="str">
        <f t="shared" si="62"/>
        <v>NEW</v>
      </c>
      <c r="Z62" s="221">
        <f t="shared" si="63"/>
        <v>1</v>
      </c>
      <c r="AA62" s="258" t="s">
        <v>7615</v>
      </c>
      <c r="AB62" s="233" t="str">
        <f>IF(I72="YES","Y","N")</f>
        <v>N</v>
      </c>
      <c r="AC62" s="235"/>
      <c r="AD62" s="221"/>
      <c r="AE62" s="221"/>
      <c r="AF62" s="221"/>
      <c r="AG62" s="221"/>
      <c r="AH62" s="221"/>
      <c r="AI62" s="221"/>
      <c r="AJ62" s="221"/>
      <c r="AK62" s="221"/>
      <c r="AL62" s="221"/>
      <c r="AM62" s="221"/>
      <c r="AN62" s="221"/>
      <c r="AO62" s="221"/>
      <c r="AP62" s="221"/>
      <c r="AQ62" s="221"/>
      <c r="AR62" s="221"/>
      <c r="AS62" s="221"/>
      <c r="AT62" s="221"/>
      <c r="AU62" s="221"/>
      <c r="AV62" s="221"/>
      <c r="AW62" s="221"/>
      <c r="AX62" s="221"/>
      <c r="AY62" s="221"/>
      <c r="AZ62" s="221"/>
    </row>
    <row r="63" spans="1:52" ht="5.0999999999999996" customHeight="1" x14ac:dyDescent="0.25">
      <c r="A63" s="137"/>
      <c r="B63" s="124"/>
      <c r="C63" s="69"/>
      <c r="D63" s="205"/>
      <c r="E63" s="69"/>
      <c r="F63" s="137"/>
      <c r="G63" s="70"/>
      <c r="H63" s="69"/>
      <c r="I63" s="193"/>
      <c r="J63" s="69"/>
      <c r="K63" s="69"/>
      <c r="S63" s="216"/>
      <c r="T63" s="254" t="s">
        <v>4587</v>
      </c>
      <c r="U63" s="236">
        <f>I14</f>
        <v>0</v>
      </c>
      <c r="V63" s="257">
        <f t="shared" ref="V63:W63" si="65">J14</f>
        <v>0</v>
      </c>
      <c r="W63" s="257">
        <f t="shared" si="65"/>
        <v>0</v>
      </c>
      <c r="Y63" s="221" t="str">
        <f t="shared" si="62"/>
        <v>NEW</v>
      </c>
      <c r="Z63" s="221">
        <f t="shared" si="63"/>
        <v>1</v>
      </c>
      <c r="AA63" s="221" t="s">
        <v>7616</v>
      </c>
      <c r="AB63" s="233" t="str">
        <f>IF(I74="YES","Y","N")</f>
        <v>N</v>
      </c>
    </row>
    <row r="64" spans="1:52" ht="16.7" customHeight="1" x14ac:dyDescent="0.25">
      <c r="A64" s="137"/>
      <c r="B64" s="124" t="s">
        <v>4610</v>
      </c>
      <c r="C64" s="69"/>
      <c r="D64" s="206"/>
      <c r="E64" s="69"/>
      <c r="F64" s="137"/>
      <c r="G64" s="142" t="s">
        <v>4333</v>
      </c>
      <c r="H64" s="69"/>
      <c r="I64" s="201"/>
      <c r="J64" s="69"/>
      <c r="K64" s="69"/>
      <c r="P64" s="139"/>
      <c r="S64" s="216"/>
      <c r="T64" s="244" t="s">
        <v>4588</v>
      </c>
      <c r="U64" s="253">
        <f>I16</f>
        <v>0</v>
      </c>
      <c r="V64" s="259">
        <f t="shared" ref="V64:W64" si="66">J16</f>
        <v>0</v>
      </c>
      <c r="W64" s="259">
        <f t="shared" si="66"/>
        <v>0</v>
      </c>
      <c r="X64" s="221"/>
      <c r="Y64" s="221" t="str">
        <f t="shared" si="62"/>
        <v>NEW</v>
      </c>
      <c r="Z64" s="221">
        <f t="shared" si="63"/>
        <v>1</v>
      </c>
      <c r="AA64" s="221" t="s">
        <v>7272</v>
      </c>
      <c r="AB64" s="233" t="str">
        <f>IF(I80="","",VLOOKUP(I80,Attributes1!BJ3:BK13,2,FALSE))</f>
        <v/>
      </c>
    </row>
    <row r="65" spans="1:34" ht="5.0999999999999996" customHeight="1" x14ac:dyDescent="0.25">
      <c r="A65" s="137"/>
      <c r="B65" s="124"/>
      <c r="C65" s="69"/>
      <c r="D65" s="205"/>
      <c r="E65" s="69"/>
      <c r="F65" s="137"/>
      <c r="G65" s="142"/>
      <c r="H65" s="137"/>
      <c r="I65" s="193"/>
      <c r="J65" s="69"/>
      <c r="K65" s="69"/>
      <c r="Y65" s="221" t="str">
        <f t="shared" si="62"/>
        <v>NEW</v>
      </c>
      <c r="Z65" s="221">
        <f t="shared" si="63"/>
        <v>1</v>
      </c>
      <c r="AA65" s="221" t="s">
        <v>7368</v>
      </c>
      <c r="AB65" s="233" t="e">
        <f>IF(I82="N/A","",VLOOKUP(I82,Attributes1!BM3:BN85,2,FALSE))</f>
        <v>#N/A</v>
      </c>
    </row>
    <row r="66" spans="1:34" ht="16.7" customHeight="1" x14ac:dyDescent="0.25">
      <c r="A66" s="137"/>
      <c r="B66" s="124" t="s">
        <v>9107</v>
      </c>
      <c r="C66" s="69"/>
      <c r="D66" s="206"/>
      <c r="E66" s="69"/>
      <c r="F66" s="137"/>
      <c r="G66" s="142"/>
      <c r="H66" s="137"/>
      <c r="I66" s="212"/>
      <c r="J66" s="69"/>
      <c r="K66" s="69"/>
      <c r="Y66" s="221" t="str">
        <f t="shared" si="62"/>
        <v>NEW</v>
      </c>
      <c r="Z66" s="221">
        <f t="shared" si="63"/>
        <v>1</v>
      </c>
      <c r="AA66" s="221" t="s">
        <v>7369</v>
      </c>
      <c r="AB66" s="233" t="e">
        <f>IF(I84="N/A","",VLOOKUP(I84,Attributes1!BP3:BQ212,2,FALSE))</f>
        <v>#N/A</v>
      </c>
    </row>
    <row r="67" spans="1:34" ht="5.0999999999999996" customHeight="1" x14ac:dyDescent="0.25">
      <c r="A67" s="137"/>
      <c r="B67" s="124"/>
      <c r="C67" s="69"/>
      <c r="D67" s="205"/>
      <c r="E67" s="69"/>
      <c r="F67" s="137"/>
      <c r="G67" s="142"/>
      <c r="H67" s="137"/>
      <c r="I67" s="212"/>
      <c r="J67" s="69"/>
      <c r="K67" s="137"/>
      <c r="Y67" s="221" t="str">
        <f t="shared" si="62"/>
        <v>NEW</v>
      </c>
      <c r="Z67" s="221">
        <f t="shared" si="63"/>
        <v>1</v>
      </c>
      <c r="AA67" s="221" t="s">
        <v>7603</v>
      </c>
      <c r="AB67" s="233" t="e">
        <f>IF(I86="N/A","",VLOOKUP(I86,Attributes1!CA3:CB111,2,FALSE))</f>
        <v>#N/A</v>
      </c>
    </row>
    <row r="68" spans="1:34" ht="16.7" customHeight="1" x14ac:dyDescent="0.25">
      <c r="A68" s="137"/>
      <c r="B68" s="124" t="s">
        <v>4611</v>
      </c>
      <c r="C68" s="69"/>
      <c r="D68" s="206"/>
      <c r="E68" s="69"/>
      <c r="F68" s="137"/>
      <c r="G68" s="142" t="s">
        <v>9121</v>
      </c>
      <c r="H68" s="137"/>
      <c r="I68" s="206"/>
      <c r="J68" s="69"/>
      <c r="K68" s="137"/>
      <c r="Y68" s="221" t="str">
        <f t="shared" si="62"/>
        <v>NEW</v>
      </c>
      <c r="Z68" s="221">
        <f t="shared" si="63"/>
        <v>1</v>
      </c>
      <c r="AA68" s="221" t="s">
        <v>7618</v>
      </c>
      <c r="AB68" s="233" t="e">
        <f>IF(I88="N/A","",VLOOKUP(I88,Attributes1!CD3:CE74,2,FALSE))</f>
        <v>#N/A</v>
      </c>
    </row>
    <row r="69" spans="1:34" ht="5.0999999999999996" customHeight="1" x14ac:dyDescent="0.25">
      <c r="A69" s="137"/>
      <c r="B69" s="124"/>
      <c r="C69" s="69"/>
      <c r="D69" s="203"/>
      <c r="E69" s="69"/>
      <c r="F69" s="137"/>
      <c r="G69" s="142"/>
      <c r="H69" s="137"/>
      <c r="I69" s="193"/>
      <c r="J69" s="69"/>
      <c r="K69" s="137"/>
      <c r="Y69" s="221" t="str">
        <f t="shared" si="62"/>
        <v>NEW</v>
      </c>
      <c r="Z69" s="221">
        <f t="shared" si="63"/>
        <v>1</v>
      </c>
      <c r="AA69" s="221" t="s">
        <v>7619</v>
      </c>
      <c r="AB69" s="233" t="e">
        <f>IF(I90="N/A","",VLOOKUP(I90,Attributes1!CG3:CH34,2,FALSE))</f>
        <v>#N/A</v>
      </c>
      <c r="AC69" s="255"/>
    </row>
    <row r="70" spans="1:34" ht="16.7" customHeight="1" x14ac:dyDescent="0.25">
      <c r="A70" s="137"/>
      <c r="B70" s="124" t="s">
        <v>8588</v>
      </c>
      <c r="C70" s="69"/>
      <c r="D70" s="206"/>
      <c r="E70" s="69"/>
      <c r="F70" s="137"/>
      <c r="G70" s="142" t="s">
        <v>9122</v>
      </c>
      <c r="H70" s="137"/>
      <c r="I70" s="206"/>
      <c r="J70" s="69"/>
      <c r="K70" s="137"/>
      <c r="T70" s="244" t="s">
        <v>7814</v>
      </c>
      <c r="Y70" s="221" t="str">
        <f t="shared" si="62"/>
        <v>NEW</v>
      </c>
      <c r="Z70" s="221">
        <f t="shared" si="63"/>
        <v>1</v>
      </c>
      <c r="AA70" s="221" t="s">
        <v>7620</v>
      </c>
      <c r="AB70" s="233" t="e">
        <f>IF(I92="N/A","",VLOOKUP(I92,Attributes1!BJ20:BK34,2,FALSE))</f>
        <v>#N/A</v>
      </c>
      <c r="AC70" s="255"/>
    </row>
    <row r="71" spans="1:34" ht="5.0999999999999996" customHeight="1" x14ac:dyDescent="0.25">
      <c r="A71" s="137"/>
      <c r="B71" s="124"/>
      <c r="C71" s="69"/>
      <c r="D71" s="205"/>
      <c r="E71" s="69"/>
      <c r="F71" s="137"/>
      <c r="G71" s="142"/>
      <c r="H71" s="69"/>
      <c r="I71" s="193"/>
      <c r="J71" s="137"/>
      <c r="K71" s="137"/>
      <c r="Y71" s="221" t="str">
        <f t="shared" ref="Y71:Y80" si="67">IF(AA71&lt;&gt;"","NEW","")</f>
        <v>NEW</v>
      </c>
      <c r="Z71" s="221">
        <f t="shared" ref="Z71:Z83" si="68">IF(AA71&lt;&gt;"",$AA$1,"")</f>
        <v>1</v>
      </c>
      <c r="AA71" s="221" t="s">
        <v>3283</v>
      </c>
      <c r="AB71" s="221" t="str">
        <f>IF(I4="YES","Y","N")</f>
        <v>N</v>
      </c>
      <c r="AC71" s="235"/>
    </row>
    <row r="72" spans="1:34" ht="16.7" customHeight="1" x14ac:dyDescent="0.25">
      <c r="A72" s="137"/>
      <c r="B72" s="124" t="s">
        <v>4612</v>
      </c>
      <c r="C72" s="69"/>
      <c r="D72" s="200"/>
      <c r="E72" s="69"/>
      <c r="F72" s="137"/>
      <c r="G72" s="142" t="s">
        <v>9123</v>
      </c>
      <c r="H72" s="69"/>
      <c r="I72" s="194"/>
      <c r="J72" s="137"/>
      <c r="K72" s="137"/>
      <c r="Y72" s="221" t="str">
        <f t="shared" si="67"/>
        <v>NEW</v>
      </c>
      <c r="Z72" s="221">
        <f t="shared" si="68"/>
        <v>1</v>
      </c>
      <c r="AA72" s="216" t="s">
        <v>4312</v>
      </c>
      <c r="AB72" s="221" t="str">
        <f>IF(I6="YES","Y","")</f>
        <v/>
      </c>
      <c r="AC72" s="235"/>
    </row>
    <row r="73" spans="1:34" ht="5.0999999999999996" customHeight="1" x14ac:dyDescent="0.25">
      <c r="A73" s="137"/>
      <c r="B73" s="124"/>
      <c r="C73" s="69"/>
      <c r="D73" s="205"/>
      <c r="E73" s="69"/>
      <c r="F73" s="137"/>
      <c r="G73" s="142"/>
      <c r="H73" s="69"/>
      <c r="I73" s="193"/>
      <c r="J73" s="137"/>
      <c r="K73" s="137"/>
      <c r="Y73" s="221" t="str">
        <f t="shared" si="67"/>
        <v>NEW</v>
      </c>
      <c r="Z73" s="221">
        <f t="shared" si="68"/>
        <v>1</v>
      </c>
      <c r="AA73" s="216" t="s">
        <v>4311</v>
      </c>
      <c r="AB73" s="232" t="str">
        <f>IF(I8="","",I8)</f>
        <v/>
      </c>
      <c r="AC73" s="235"/>
    </row>
    <row r="74" spans="1:34" ht="16.7" customHeight="1" x14ac:dyDescent="0.25">
      <c r="A74" s="137"/>
      <c r="B74" s="124" t="s">
        <v>4613</v>
      </c>
      <c r="C74" s="71"/>
      <c r="D74" s="206"/>
      <c r="E74" s="69"/>
      <c r="F74" s="137"/>
      <c r="G74" s="142" t="s">
        <v>7617</v>
      </c>
      <c r="H74" s="69"/>
      <c r="I74" s="194"/>
      <c r="J74" s="137"/>
      <c r="K74" s="137"/>
      <c r="Y74" s="221" t="str">
        <f t="shared" si="67"/>
        <v>NEW</v>
      </c>
      <c r="Z74" s="221">
        <f t="shared" si="68"/>
        <v>1</v>
      </c>
      <c r="AA74" s="216" t="s">
        <v>4314</v>
      </c>
      <c r="AB74" s="233" t="str">
        <f>IF(U61="YES","Y","N")</f>
        <v>N</v>
      </c>
      <c r="AC74" s="235"/>
    </row>
    <row r="75" spans="1:34" ht="5.0999999999999996" customHeight="1" x14ac:dyDescent="0.25">
      <c r="A75" s="137"/>
      <c r="B75" s="124"/>
      <c r="C75" s="69"/>
      <c r="D75" s="205"/>
      <c r="E75" s="69"/>
      <c r="F75" s="137"/>
      <c r="G75" s="142"/>
      <c r="H75" s="69"/>
      <c r="I75" s="171"/>
      <c r="J75" s="69"/>
      <c r="K75" s="137"/>
      <c r="Y75" s="221" t="str">
        <f t="shared" si="67"/>
        <v>NEW</v>
      </c>
      <c r="Z75" s="221">
        <f t="shared" si="68"/>
        <v>1</v>
      </c>
      <c r="AA75" s="221" t="s">
        <v>3284</v>
      </c>
      <c r="AB75" s="221" t="str">
        <f>IF(U62="YES","Y","N")</f>
        <v>N</v>
      </c>
      <c r="AC75" s="235"/>
    </row>
    <row r="76" spans="1:34" ht="16.7" customHeight="1" x14ac:dyDescent="0.25">
      <c r="A76" s="137"/>
      <c r="B76" s="124" t="s">
        <v>4614</v>
      </c>
      <c r="C76" s="71"/>
      <c r="D76" s="206"/>
      <c r="E76" s="69"/>
      <c r="F76" s="137"/>
      <c r="G76" s="142"/>
      <c r="H76" s="137"/>
      <c r="I76" s="282" t="s">
        <v>8587</v>
      </c>
      <c r="J76" s="69"/>
      <c r="K76" s="69"/>
      <c r="Y76" s="221" t="str">
        <f t="shared" si="67"/>
        <v>NEW</v>
      </c>
      <c r="Z76" s="221">
        <f t="shared" si="68"/>
        <v>1</v>
      </c>
      <c r="AA76" s="216" t="s">
        <v>4313</v>
      </c>
      <c r="AB76" s="221" t="str">
        <f>IF(I14="YES","Y","")</f>
        <v/>
      </c>
    </row>
    <row r="77" spans="1:34" ht="5.0999999999999996" customHeight="1" x14ac:dyDescent="0.25">
      <c r="A77" s="130"/>
      <c r="B77" s="124"/>
      <c r="C77" s="69"/>
      <c r="D77" s="193"/>
      <c r="E77" s="108"/>
      <c r="F77" s="130"/>
      <c r="G77" s="142"/>
      <c r="H77" s="137"/>
      <c r="I77" s="282"/>
      <c r="J77" s="108"/>
      <c r="K77" s="108"/>
      <c r="Y77" s="221" t="str">
        <f t="shared" si="67"/>
        <v>NEW</v>
      </c>
      <c r="Z77" s="221">
        <f t="shared" si="68"/>
        <v>1</v>
      </c>
      <c r="AA77" s="224" t="s">
        <v>4310</v>
      </c>
      <c r="AB77" s="232" t="str">
        <f>IF(I16="","",I16)</f>
        <v/>
      </c>
    </row>
    <row r="78" spans="1:34" ht="16.7" customHeight="1" x14ac:dyDescent="0.25">
      <c r="A78" s="130"/>
      <c r="B78" s="124" t="s">
        <v>4615</v>
      </c>
      <c r="C78" s="69"/>
      <c r="D78" s="206"/>
      <c r="E78" s="108"/>
      <c r="F78" s="130"/>
      <c r="G78" s="142"/>
      <c r="H78" s="69"/>
      <c r="I78" s="170"/>
      <c r="J78" s="108"/>
      <c r="K78" s="108"/>
      <c r="Y78" s="221" t="str">
        <f t="shared" si="67"/>
        <v>NEW</v>
      </c>
      <c r="Z78" s="221">
        <f t="shared" si="68"/>
        <v>1</v>
      </c>
      <c r="AA78" s="221" t="s">
        <v>6171</v>
      </c>
      <c r="AB78" s="221" t="s">
        <v>6175</v>
      </c>
      <c r="AC78" s="221" t="s">
        <v>6172</v>
      </c>
      <c r="AE78" s="221" t="s">
        <v>6173</v>
      </c>
      <c r="AF78" s="260">
        <f ca="1">TODAY()</f>
        <v>43070</v>
      </c>
      <c r="AG78" s="221" t="s">
        <v>6174</v>
      </c>
      <c r="AH78" s="260">
        <f ca="1">TODAY()</f>
        <v>43070</v>
      </c>
    </row>
    <row r="79" spans="1:34" ht="5.0999999999999996" customHeight="1" x14ac:dyDescent="0.25">
      <c r="A79" s="130"/>
      <c r="B79" s="124"/>
      <c r="C79" s="69"/>
      <c r="D79" s="193"/>
      <c r="E79" s="108"/>
      <c r="F79" s="130"/>
      <c r="G79" s="142"/>
      <c r="H79" s="69"/>
      <c r="I79" s="170"/>
      <c r="J79" s="108"/>
      <c r="K79" s="108"/>
      <c r="Y79" s="221" t="str">
        <f t="shared" si="67"/>
        <v/>
      </c>
      <c r="Z79" s="221" t="str">
        <f t="shared" si="68"/>
        <v/>
      </c>
      <c r="AA79" s="231"/>
      <c r="AB79" s="261"/>
      <c r="AD79" s="229"/>
      <c r="AF79" s="261"/>
    </row>
    <row r="80" spans="1:34" ht="16.7" customHeight="1" x14ac:dyDescent="0.25">
      <c r="A80" s="130"/>
      <c r="B80" s="124" t="s">
        <v>4616</v>
      </c>
      <c r="C80" s="71"/>
      <c r="D80" s="200"/>
      <c r="E80" s="108"/>
      <c r="F80" s="130"/>
      <c r="G80" s="142" t="s">
        <v>9124</v>
      </c>
      <c r="H80" s="137"/>
      <c r="I80" s="208"/>
      <c r="J80" s="108"/>
      <c r="K80" s="108"/>
      <c r="Y80" s="221" t="str">
        <f t="shared" si="67"/>
        <v/>
      </c>
      <c r="Z80" s="221" t="str">
        <f t="shared" si="68"/>
        <v/>
      </c>
      <c r="AB80" s="261"/>
      <c r="AF80" s="261"/>
    </row>
    <row r="81" spans="1:32" ht="5.0999999999999996" customHeight="1" x14ac:dyDescent="0.25">
      <c r="A81" s="130"/>
      <c r="B81" s="126"/>
      <c r="C81" s="108"/>
      <c r="D81" s="207"/>
      <c r="E81" s="108"/>
      <c r="F81" s="130"/>
      <c r="G81" s="70"/>
      <c r="H81" s="69"/>
      <c r="I81" s="214"/>
      <c r="J81" s="108"/>
      <c r="K81" s="108"/>
      <c r="Y81" s="221" t="str">
        <f t="shared" ref="Y81:Y83" si="69">IF(AA81&lt;&gt;"","NEW","")</f>
        <v/>
      </c>
      <c r="Z81" s="221" t="str">
        <f t="shared" si="68"/>
        <v/>
      </c>
      <c r="AB81" s="261"/>
      <c r="AF81" s="261"/>
    </row>
    <row r="82" spans="1:32" ht="16.7" customHeight="1" x14ac:dyDescent="0.25">
      <c r="A82" s="130"/>
      <c r="B82" s="142" t="s">
        <v>9108</v>
      </c>
      <c r="C82" s="108"/>
      <c r="D82" s="200"/>
      <c r="E82" s="130"/>
      <c r="F82" s="130"/>
      <c r="G82" s="142" t="s">
        <v>9125</v>
      </c>
      <c r="H82" s="108"/>
      <c r="I82" s="208"/>
      <c r="J82" s="130"/>
      <c r="K82" s="130"/>
      <c r="Y82" s="221" t="str">
        <f t="shared" si="69"/>
        <v/>
      </c>
      <c r="Z82" s="221" t="str">
        <f t="shared" si="68"/>
        <v/>
      </c>
      <c r="AB82" s="261"/>
      <c r="AF82" s="261"/>
    </row>
    <row r="83" spans="1:32" ht="5.0999999999999996" customHeight="1" x14ac:dyDescent="0.25">
      <c r="A83" s="130"/>
      <c r="B83" s="126"/>
      <c r="C83" s="108"/>
      <c r="D83" s="207"/>
      <c r="E83" s="130"/>
      <c r="F83" s="130"/>
      <c r="G83" s="108"/>
      <c r="H83" s="108"/>
      <c r="I83" s="215"/>
      <c r="J83" s="130"/>
      <c r="K83" s="130"/>
      <c r="Y83" s="221" t="str">
        <f t="shared" si="69"/>
        <v/>
      </c>
      <c r="Z83" s="221" t="str">
        <f t="shared" si="68"/>
        <v/>
      </c>
      <c r="AB83" s="261"/>
      <c r="AF83" s="261"/>
    </row>
    <row r="84" spans="1:32" ht="16.7" customHeight="1" x14ac:dyDescent="0.25">
      <c r="A84" s="130"/>
      <c r="B84" s="142" t="s">
        <v>9109</v>
      </c>
      <c r="C84" s="130"/>
      <c r="D84" s="200"/>
      <c r="E84" s="130"/>
      <c r="F84" s="130"/>
      <c r="G84" s="142" t="s">
        <v>9126</v>
      </c>
      <c r="H84" s="108"/>
      <c r="I84" s="208"/>
      <c r="J84" s="130"/>
      <c r="K84" s="130"/>
      <c r="Y84" s="221" t="str">
        <f t="shared" ref="Y84:Y147" si="70">IF(AA84&lt;&gt;"","NEW","")</f>
        <v/>
      </c>
      <c r="Z84" s="221" t="str">
        <f t="shared" ref="Z84:Z147" si="71">IF(AA84&lt;&gt;"",$AA$1,"")</f>
        <v/>
      </c>
      <c r="AA84" s="231"/>
      <c r="AB84" s="261"/>
      <c r="AD84" s="229"/>
      <c r="AF84" s="261"/>
    </row>
    <row r="85" spans="1:32" ht="5.0999999999999996" customHeight="1" x14ac:dyDescent="0.25">
      <c r="A85" s="130"/>
      <c r="B85" s="130"/>
      <c r="C85" s="130"/>
      <c r="D85" s="207"/>
      <c r="E85" s="130"/>
      <c r="F85" s="130"/>
      <c r="G85" s="142"/>
      <c r="H85" s="108"/>
      <c r="I85" s="215"/>
      <c r="J85" s="130"/>
      <c r="K85" s="130"/>
      <c r="Y85" s="221" t="str">
        <f t="shared" si="70"/>
        <v/>
      </c>
      <c r="Z85" s="221" t="str">
        <f t="shared" si="71"/>
        <v/>
      </c>
      <c r="AA85" s="231"/>
      <c r="AB85" s="261"/>
      <c r="AD85" s="229"/>
      <c r="AF85" s="261"/>
    </row>
    <row r="86" spans="1:32" ht="16.7" customHeight="1" x14ac:dyDescent="0.25">
      <c r="A86" s="130"/>
      <c r="B86" s="142" t="s">
        <v>9110</v>
      </c>
      <c r="C86" s="130"/>
      <c r="D86" s="200"/>
      <c r="E86" s="130"/>
      <c r="F86" s="130"/>
      <c r="G86" s="142" t="s">
        <v>9127</v>
      </c>
      <c r="H86" s="108"/>
      <c r="I86" s="208"/>
      <c r="J86" s="130"/>
      <c r="K86" s="130"/>
      <c r="Y86" s="221" t="str">
        <f t="shared" si="70"/>
        <v/>
      </c>
      <c r="Z86" s="221" t="str">
        <f t="shared" si="71"/>
        <v/>
      </c>
      <c r="AA86" s="235"/>
      <c r="AB86" s="261"/>
      <c r="AD86" s="229"/>
      <c r="AF86" s="261"/>
    </row>
    <row r="87" spans="1:32" ht="5.0999999999999996" customHeight="1" x14ac:dyDescent="0.25">
      <c r="A87" s="130"/>
      <c r="B87" s="130"/>
      <c r="C87" s="130"/>
      <c r="D87" s="207"/>
      <c r="E87" s="130"/>
      <c r="F87" s="130"/>
      <c r="G87" s="108"/>
      <c r="H87" s="108"/>
      <c r="I87" s="215"/>
      <c r="J87" s="130"/>
      <c r="K87" s="130"/>
      <c r="Y87" s="221" t="str">
        <f t="shared" si="70"/>
        <v/>
      </c>
      <c r="Z87" s="221" t="str">
        <f t="shared" si="71"/>
        <v/>
      </c>
      <c r="AA87" s="231"/>
      <c r="AB87" s="261"/>
      <c r="AD87" s="229"/>
      <c r="AF87" s="261"/>
    </row>
    <row r="88" spans="1:32" ht="16.7" customHeight="1" x14ac:dyDescent="0.25">
      <c r="A88" s="130"/>
      <c r="B88" s="147" t="s">
        <v>9111</v>
      </c>
      <c r="C88" s="130"/>
      <c r="D88" s="208"/>
      <c r="E88" s="130"/>
      <c r="F88" s="130"/>
      <c r="G88" s="142" t="s">
        <v>9128</v>
      </c>
      <c r="H88" s="130"/>
      <c r="I88" s="208"/>
      <c r="J88" s="130"/>
      <c r="K88" s="130"/>
      <c r="Y88" s="221" t="str">
        <f t="shared" si="70"/>
        <v/>
      </c>
      <c r="Z88" s="221" t="str">
        <f t="shared" si="71"/>
        <v/>
      </c>
      <c r="AA88" s="231"/>
      <c r="AB88" s="261"/>
      <c r="AD88" s="229"/>
      <c r="AF88" s="261"/>
    </row>
    <row r="89" spans="1:32" ht="5.0999999999999996" customHeight="1" x14ac:dyDescent="0.25">
      <c r="A89" s="130"/>
      <c r="B89" s="130"/>
      <c r="C89" s="130"/>
      <c r="D89" s="209"/>
      <c r="E89" s="130"/>
      <c r="F89" s="130"/>
      <c r="G89" s="130"/>
      <c r="H89" s="130"/>
      <c r="I89" s="215"/>
      <c r="J89" s="130"/>
      <c r="K89" s="130"/>
      <c r="Y89" s="221" t="str">
        <f t="shared" si="70"/>
        <v/>
      </c>
      <c r="Z89" s="221" t="str">
        <f t="shared" si="71"/>
        <v/>
      </c>
      <c r="AA89" s="216"/>
      <c r="AB89" s="262"/>
      <c r="AC89" s="216"/>
      <c r="AD89" s="263"/>
      <c r="AF89" s="261"/>
    </row>
    <row r="90" spans="1:32" ht="16.7" customHeight="1" x14ac:dyDescent="0.25">
      <c r="A90" s="130"/>
      <c r="B90" s="130"/>
      <c r="C90" s="130"/>
      <c r="D90" s="207"/>
      <c r="E90" s="130"/>
      <c r="F90" s="130"/>
      <c r="G90" s="142" t="s">
        <v>9129</v>
      </c>
      <c r="H90" s="130"/>
      <c r="I90" s="208"/>
      <c r="J90" s="130"/>
      <c r="K90" s="130"/>
      <c r="Y90" s="221" t="str">
        <f t="shared" si="70"/>
        <v/>
      </c>
      <c r="Z90" s="221" t="str">
        <f t="shared" si="71"/>
        <v/>
      </c>
      <c r="AB90" s="262"/>
      <c r="AE90" s="237"/>
      <c r="AF90" s="261"/>
    </row>
    <row r="91" spans="1:32" ht="5.0999999999999996" customHeight="1" x14ac:dyDescent="0.25">
      <c r="A91" s="130"/>
      <c r="B91" s="130"/>
      <c r="C91" s="130"/>
      <c r="D91" s="207"/>
      <c r="E91" s="130"/>
      <c r="F91" s="130"/>
      <c r="G91" s="130"/>
      <c r="H91" s="130"/>
      <c r="I91" s="215"/>
      <c r="J91" s="130"/>
      <c r="K91" s="130"/>
      <c r="Y91" s="221" t="str">
        <f t="shared" si="70"/>
        <v/>
      </c>
      <c r="Z91" s="221" t="str">
        <f t="shared" si="71"/>
        <v/>
      </c>
      <c r="AB91" s="260"/>
      <c r="AF91" s="260"/>
    </row>
    <row r="92" spans="1:32" ht="16.7" customHeight="1" x14ac:dyDescent="0.25">
      <c r="A92" s="130"/>
      <c r="B92" s="149" t="s">
        <v>7812</v>
      </c>
      <c r="C92" s="130"/>
      <c r="D92" s="206"/>
      <c r="E92" s="130"/>
      <c r="F92" s="130"/>
      <c r="G92" s="142" t="s">
        <v>9130</v>
      </c>
      <c r="H92" s="130"/>
      <c r="I92" s="208"/>
      <c r="J92" s="130"/>
      <c r="K92" s="130"/>
      <c r="Y92" s="221" t="str">
        <f t="shared" si="70"/>
        <v/>
      </c>
      <c r="Z92" s="221" t="str">
        <f t="shared" si="71"/>
        <v/>
      </c>
      <c r="AB92" s="260"/>
      <c r="AF92" s="260"/>
    </row>
    <row r="93" spans="1:32" ht="5.0999999999999996" customHeight="1" x14ac:dyDescent="0.25">
      <c r="A93" s="130"/>
      <c r="B93" s="130"/>
      <c r="C93" s="130"/>
      <c r="D93" s="207"/>
      <c r="E93" s="130"/>
      <c r="F93" s="130"/>
      <c r="G93" s="130"/>
      <c r="H93" s="130"/>
      <c r="I93" s="173"/>
      <c r="J93" s="130"/>
      <c r="K93" s="130"/>
      <c r="Y93" s="221" t="str">
        <f t="shared" si="70"/>
        <v/>
      </c>
      <c r="Z93" s="221" t="str">
        <f t="shared" si="71"/>
        <v/>
      </c>
      <c r="AB93" s="260"/>
      <c r="AF93" s="260"/>
    </row>
    <row r="94" spans="1:32" ht="16.7" customHeight="1" x14ac:dyDescent="0.25">
      <c r="A94" s="130"/>
      <c r="B94" s="149" t="s">
        <v>7811</v>
      </c>
      <c r="C94" s="130"/>
      <c r="D94" s="206"/>
      <c r="E94" s="130"/>
      <c r="F94" s="130"/>
      <c r="G94" s="130"/>
      <c r="H94" s="130"/>
      <c r="I94" s="130"/>
      <c r="J94" s="130"/>
      <c r="K94" s="130"/>
      <c r="Y94" s="221" t="str">
        <f t="shared" si="70"/>
        <v/>
      </c>
      <c r="Z94" s="221" t="str">
        <f t="shared" si="71"/>
        <v/>
      </c>
      <c r="AB94" s="260"/>
      <c r="AF94" s="261"/>
    </row>
    <row r="95" spans="1:32" ht="15.75" customHeight="1" x14ac:dyDescent="0.25">
      <c r="A95" s="130"/>
      <c r="B95" s="130"/>
      <c r="C95" s="130"/>
      <c r="D95" s="280" t="s">
        <v>7260</v>
      </c>
      <c r="E95" s="130"/>
      <c r="F95" s="130"/>
      <c r="G95" s="130"/>
      <c r="H95" s="130"/>
      <c r="I95" s="130"/>
      <c r="J95" s="130"/>
      <c r="K95" s="130"/>
      <c r="Y95" s="221" t="str">
        <f t="shared" si="70"/>
        <v/>
      </c>
      <c r="Z95" s="221" t="str">
        <f t="shared" si="71"/>
        <v/>
      </c>
      <c r="AB95" s="260"/>
      <c r="AF95" s="261"/>
    </row>
    <row r="96" spans="1:32" ht="15.75" customHeight="1" x14ac:dyDescent="0.25">
      <c r="A96" s="130"/>
      <c r="B96" s="130"/>
      <c r="C96" s="130"/>
      <c r="D96" s="281"/>
      <c r="E96" s="130"/>
      <c r="F96" s="130"/>
      <c r="G96" s="130"/>
      <c r="H96" s="130"/>
      <c r="I96" s="130"/>
      <c r="J96" s="130"/>
      <c r="K96" s="130"/>
      <c r="Y96" s="221" t="str">
        <f t="shared" si="70"/>
        <v/>
      </c>
      <c r="Z96" s="221" t="str">
        <f t="shared" si="71"/>
        <v/>
      </c>
      <c r="AB96" s="260"/>
      <c r="AF96" s="261"/>
    </row>
    <row r="97" spans="1:32" ht="16.350000000000001" customHeight="1" x14ac:dyDescent="0.25">
      <c r="A97" s="130"/>
      <c r="B97" s="130"/>
      <c r="C97" s="130"/>
      <c r="D97" s="130"/>
      <c r="E97" s="130"/>
      <c r="F97" s="130"/>
      <c r="G97" s="130"/>
      <c r="H97" s="130"/>
      <c r="I97" s="130"/>
      <c r="J97" s="130"/>
      <c r="K97" s="130"/>
      <c r="Y97" s="221" t="str">
        <f t="shared" si="70"/>
        <v/>
      </c>
      <c r="Z97" s="221" t="str">
        <f t="shared" si="71"/>
        <v/>
      </c>
      <c r="AB97" s="260"/>
      <c r="AF97" s="261"/>
    </row>
    <row r="98" spans="1:32" ht="16.350000000000001" customHeight="1" x14ac:dyDescent="0.25">
      <c r="A98" s="130"/>
      <c r="B98" s="275" t="s">
        <v>9219</v>
      </c>
      <c r="C98" s="130"/>
      <c r="D98" s="130"/>
      <c r="E98" s="130"/>
      <c r="F98" s="130"/>
      <c r="G98" s="130"/>
      <c r="H98" s="130"/>
      <c r="I98" s="130"/>
      <c r="J98" s="130"/>
      <c r="K98" s="130"/>
      <c r="Y98" s="221" t="str">
        <f t="shared" si="70"/>
        <v/>
      </c>
      <c r="Z98" s="221" t="str">
        <f t="shared" si="71"/>
        <v/>
      </c>
      <c r="AB98" s="261"/>
      <c r="AF98" s="261"/>
    </row>
    <row r="99" spans="1:32" ht="16.350000000000001" customHeight="1" x14ac:dyDescent="0.25">
      <c r="A99" s="130"/>
      <c r="B99" s="276">
        <v>1</v>
      </c>
      <c r="C99" s="130"/>
      <c r="D99" s="130"/>
      <c r="E99" s="130"/>
      <c r="F99" s="130"/>
      <c r="G99" s="130"/>
      <c r="H99" s="130"/>
      <c r="I99" s="130"/>
      <c r="J99" s="130"/>
      <c r="K99" s="130"/>
      <c r="Y99" s="221" t="str">
        <f t="shared" si="70"/>
        <v/>
      </c>
      <c r="Z99" s="221" t="str">
        <f t="shared" si="71"/>
        <v/>
      </c>
      <c r="AB99" s="261"/>
      <c r="AF99" s="261"/>
    </row>
    <row r="100" spans="1:32" ht="16.350000000000001" customHeight="1" x14ac:dyDescent="0.25">
      <c r="B100" s="125"/>
      <c r="C100" s="125"/>
      <c r="D100" s="125"/>
      <c r="E100" s="125"/>
      <c r="G100" s="125"/>
      <c r="H100" s="125"/>
      <c r="I100" s="125"/>
      <c r="J100" s="125"/>
      <c r="K100" s="125"/>
      <c r="L100" s="139"/>
      <c r="M100" s="139"/>
      <c r="N100" s="139"/>
      <c r="O100" s="139"/>
      <c r="P100" s="139"/>
      <c r="Q100" s="139"/>
      <c r="R100" s="139"/>
      <c r="Y100" s="221" t="str">
        <f t="shared" si="70"/>
        <v/>
      </c>
      <c r="Z100" s="221" t="str">
        <f t="shared" si="71"/>
        <v/>
      </c>
      <c r="AB100" s="260"/>
    </row>
    <row r="101" spans="1:32" ht="16.350000000000001" customHeight="1" x14ac:dyDescent="0.25">
      <c r="E101" s="154"/>
      <c r="G101" s="154"/>
      <c r="H101" s="154"/>
      <c r="I101" s="154"/>
      <c r="T101" s="221"/>
      <c r="U101" s="253"/>
      <c r="V101" s="221"/>
      <c r="W101" s="221"/>
      <c r="X101" s="221"/>
      <c r="Y101" s="221" t="str">
        <f t="shared" si="70"/>
        <v/>
      </c>
      <c r="Z101" s="221" t="str">
        <f t="shared" si="71"/>
        <v/>
      </c>
      <c r="AB101" s="260"/>
    </row>
    <row r="102" spans="1:32" ht="16.350000000000001" customHeight="1" x14ac:dyDescent="0.25">
      <c r="Y102" s="221" t="str">
        <f t="shared" si="70"/>
        <v/>
      </c>
      <c r="Z102" s="221" t="str">
        <f t="shared" si="71"/>
        <v/>
      </c>
      <c r="AB102" s="260"/>
    </row>
    <row r="103" spans="1:32" ht="16.350000000000001" customHeight="1" x14ac:dyDescent="0.25">
      <c r="Y103" s="221" t="str">
        <f t="shared" si="70"/>
        <v/>
      </c>
      <c r="Z103" s="221" t="str">
        <f t="shared" si="71"/>
        <v/>
      </c>
      <c r="AB103" s="260"/>
    </row>
    <row r="104" spans="1:32" ht="16.350000000000001" customHeight="1" x14ac:dyDescent="0.25">
      <c r="Y104" s="221" t="str">
        <f t="shared" si="70"/>
        <v/>
      </c>
      <c r="Z104" s="221" t="str">
        <f t="shared" si="71"/>
        <v/>
      </c>
      <c r="AB104" s="260"/>
    </row>
    <row r="105" spans="1:32" ht="16.350000000000001" customHeight="1" x14ac:dyDescent="0.25">
      <c r="Y105" s="221" t="str">
        <f t="shared" si="70"/>
        <v/>
      </c>
      <c r="Z105" s="221" t="str">
        <f t="shared" si="71"/>
        <v/>
      </c>
      <c r="AB105" s="261"/>
    </row>
    <row r="106" spans="1:32" ht="16.350000000000001" customHeight="1" x14ac:dyDescent="0.25">
      <c r="G106" s="139"/>
      <c r="H106" s="139"/>
      <c r="I106" s="139"/>
      <c r="Y106" s="221" t="str">
        <f t="shared" si="70"/>
        <v/>
      </c>
      <c r="Z106" s="221" t="str">
        <f t="shared" si="71"/>
        <v/>
      </c>
      <c r="AC106" s="235"/>
    </row>
    <row r="107" spans="1:32" ht="16.350000000000001" customHeight="1" x14ac:dyDescent="0.25">
      <c r="Y107" s="221" t="str">
        <f t="shared" si="70"/>
        <v/>
      </c>
      <c r="Z107" s="221" t="str">
        <f t="shared" si="71"/>
        <v/>
      </c>
      <c r="AC107" s="235"/>
    </row>
    <row r="108" spans="1:32" ht="16.350000000000001" customHeight="1" x14ac:dyDescent="0.25">
      <c r="B108" s="139"/>
      <c r="C108" s="139"/>
      <c r="D108" s="139"/>
      <c r="Y108" s="221" t="str">
        <f t="shared" si="70"/>
        <v/>
      </c>
      <c r="Z108" s="221" t="str">
        <f t="shared" si="71"/>
        <v/>
      </c>
      <c r="AC108" s="235"/>
    </row>
    <row r="109" spans="1:32" ht="16.350000000000001" customHeight="1" x14ac:dyDescent="0.25">
      <c r="Y109" s="221" t="str">
        <f t="shared" si="70"/>
        <v/>
      </c>
      <c r="Z109" s="221" t="str">
        <f t="shared" si="71"/>
        <v/>
      </c>
      <c r="AC109" s="235"/>
    </row>
    <row r="110" spans="1:32" ht="16.350000000000001" customHeight="1" x14ac:dyDescent="0.25">
      <c r="Y110" s="221" t="str">
        <f t="shared" si="70"/>
        <v/>
      </c>
      <c r="Z110" s="221" t="str">
        <f t="shared" si="71"/>
        <v/>
      </c>
      <c r="AC110" s="235"/>
    </row>
    <row r="111" spans="1:32" ht="16.350000000000001" customHeight="1" x14ac:dyDescent="0.25">
      <c r="Y111" s="221" t="str">
        <f t="shared" si="70"/>
        <v/>
      </c>
      <c r="Z111" s="221" t="str">
        <f t="shared" si="71"/>
        <v/>
      </c>
      <c r="AC111" s="235"/>
    </row>
    <row r="112" spans="1:32" ht="16.350000000000001" customHeight="1" x14ac:dyDescent="0.25">
      <c r="Y112" s="221" t="str">
        <f t="shared" si="70"/>
        <v/>
      </c>
      <c r="Z112" s="221" t="str">
        <f t="shared" si="71"/>
        <v/>
      </c>
      <c r="AC112" s="235"/>
    </row>
    <row r="113" spans="25:29" ht="16.350000000000001" customHeight="1" x14ac:dyDescent="0.25">
      <c r="Y113" s="221" t="str">
        <f t="shared" si="70"/>
        <v/>
      </c>
      <c r="Z113" s="221" t="str">
        <f t="shared" si="71"/>
        <v/>
      </c>
      <c r="AC113" s="235"/>
    </row>
    <row r="114" spans="25:29" ht="16.350000000000001" customHeight="1" x14ac:dyDescent="0.25">
      <c r="Y114" s="221" t="str">
        <f t="shared" si="70"/>
        <v/>
      </c>
      <c r="Z114" s="221" t="str">
        <f t="shared" si="71"/>
        <v/>
      </c>
      <c r="AC114" s="235"/>
    </row>
    <row r="115" spans="25:29" ht="16.350000000000001" customHeight="1" x14ac:dyDescent="0.25">
      <c r="Y115" s="221" t="str">
        <f t="shared" si="70"/>
        <v/>
      </c>
      <c r="Z115" s="221" t="str">
        <f t="shared" si="71"/>
        <v/>
      </c>
      <c r="AC115" s="235"/>
    </row>
    <row r="116" spans="25:29" ht="16.350000000000001" customHeight="1" x14ac:dyDescent="0.25">
      <c r="Y116" s="221" t="str">
        <f t="shared" si="70"/>
        <v/>
      </c>
      <c r="Z116" s="221" t="str">
        <f t="shared" si="71"/>
        <v/>
      </c>
      <c r="AC116" s="235"/>
    </row>
    <row r="117" spans="25:29" ht="16.350000000000001" customHeight="1" x14ac:dyDescent="0.25">
      <c r="Y117" s="221" t="str">
        <f t="shared" si="70"/>
        <v/>
      </c>
      <c r="Z117" s="221" t="str">
        <f t="shared" si="71"/>
        <v/>
      </c>
      <c r="AC117" s="235"/>
    </row>
    <row r="118" spans="25:29" ht="16.350000000000001" customHeight="1" x14ac:dyDescent="0.25">
      <c r="Y118" s="221" t="str">
        <f t="shared" si="70"/>
        <v/>
      </c>
      <c r="Z118" s="221" t="str">
        <f t="shared" si="71"/>
        <v/>
      </c>
      <c r="AC118" s="235"/>
    </row>
    <row r="119" spans="25:29" ht="16.350000000000001" customHeight="1" x14ac:dyDescent="0.25">
      <c r="Y119" s="221" t="str">
        <f t="shared" si="70"/>
        <v/>
      </c>
      <c r="Z119" s="221" t="str">
        <f t="shared" si="71"/>
        <v/>
      </c>
      <c r="AC119" s="235"/>
    </row>
    <row r="120" spans="25:29" ht="16.350000000000001" customHeight="1" x14ac:dyDescent="0.25">
      <c r="Y120" s="221" t="str">
        <f t="shared" si="70"/>
        <v/>
      </c>
      <c r="Z120" s="221" t="str">
        <f t="shared" si="71"/>
        <v/>
      </c>
    </row>
    <row r="121" spans="25:29" ht="16.350000000000001" customHeight="1" x14ac:dyDescent="0.25">
      <c r="Y121" s="221" t="str">
        <f t="shared" si="70"/>
        <v/>
      </c>
      <c r="Z121" s="221" t="str">
        <f t="shared" si="71"/>
        <v/>
      </c>
    </row>
    <row r="122" spans="25:29" ht="16.350000000000001" customHeight="1" x14ac:dyDescent="0.25">
      <c r="Y122" s="221" t="str">
        <f t="shared" si="70"/>
        <v/>
      </c>
      <c r="Z122" s="221" t="str">
        <f t="shared" si="71"/>
        <v/>
      </c>
    </row>
    <row r="123" spans="25:29" ht="16.350000000000001" customHeight="1" x14ac:dyDescent="0.25">
      <c r="Y123" s="221" t="str">
        <f t="shared" si="70"/>
        <v/>
      </c>
      <c r="Z123" s="221" t="str">
        <f t="shared" si="71"/>
        <v/>
      </c>
    </row>
    <row r="124" spans="25:29" ht="16.350000000000001" customHeight="1" x14ac:dyDescent="0.25">
      <c r="Y124" s="221" t="str">
        <f t="shared" si="70"/>
        <v/>
      </c>
      <c r="Z124" s="221" t="str">
        <f t="shared" si="71"/>
        <v/>
      </c>
    </row>
    <row r="125" spans="25:29" ht="16.350000000000001" customHeight="1" x14ac:dyDescent="0.25">
      <c r="Y125" s="221" t="str">
        <f t="shared" si="70"/>
        <v/>
      </c>
      <c r="Z125" s="221" t="str">
        <f t="shared" si="71"/>
        <v/>
      </c>
    </row>
    <row r="126" spans="25:29" ht="16.350000000000001" customHeight="1" x14ac:dyDescent="0.25">
      <c r="Y126" s="221" t="str">
        <f t="shared" si="70"/>
        <v/>
      </c>
      <c r="Z126" s="221" t="str">
        <f t="shared" si="71"/>
        <v/>
      </c>
    </row>
    <row r="127" spans="25:29" ht="16.350000000000001" customHeight="1" x14ac:dyDescent="0.25">
      <c r="Y127" s="221" t="str">
        <f t="shared" si="70"/>
        <v/>
      </c>
      <c r="Z127" s="221" t="str">
        <f t="shared" si="71"/>
        <v/>
      </c>
    </row>
    <row r="128" spans="25:29" ht="16.350000000000001" customHeight="1" x14ac:dyDescent="0.25">
      <c r="Y128" s="221" t="str">
        <f t="shared" si="70"/>
        <v/>
      </c>
      <c r="Z128" s="221" t="str">
        <f t="shared" si="71"/>
        <v/>
      </c>
    </row>
    <row r="129" spans="25:26" ht="16.350000000000001" customHeight="1" x14ac:dyDescent="0.25">
      <c r="Y129" s="221" t="str">
        <f t="shared" si="70"/>
        <v/>
      </c>
      <c r="Z129" s="221" t="str">
        <f t="shared" si="71"/>
        <v/>
      </c>
    </row>
    <row r="130" spans="25:26" ht="16.350000000000001" customHeight="1" x14ac:dyDescent="0.25">
      <c r="Y130" s="221" t="str">
        <f t="shared" si="70"/>
        <v/>
      </c>
      <c r="Z130" s="221" t="str">
        <f t="shared" si="71"/>
        <v/>
      </c>
    </row>
    <row r="131" spans="25:26" ht="16.350000000000001" customHeight="1" x14ac:dyDescent="0.25">
      <c r="Y131" s="221" t="str">
        <f t="shared" si="70"/>
        <v/>
      </c>
      <c r="Z131" s="221" t="str">
        <f t="shared" si="71"/>
        <v/>
      </c>
    </row>
    <row r="132" spans="25:26" ht="16.350000000000001" customHeight="1" x14ac:dyDescent="0.25">
      <c r="Y132" s="221" t="str">
        <f t="shared" si="70"/>
        <v/>
      </c>
      <c r="Z132" s="221" t="str">
        <f t="shared" si="71"/>
        <v/>
      </c>
    </row>
    <row r="133" spans="25:26" ht="16.350000000000001" customHeight="1" x14ac:dyDescent="0.25">
      <c r="Y133" s="221" t="str">
        <f t="shared" si="70"/>
        <v/>
      </c>
      <c r="Z133" s="221" t="str">
        <f t="shared" si="71"/>
        <v/>
      </c>
    </row>
    <row r="134" spans="25:26" ht="16.350000000000001" customHeight="1" x14ac:dyDescent="0.25">
      <c r="Y134" s="221" t="str">
        <f t="shared" si="70"/>
        <v/>
      </c>
      <c r="Z134" s="221" t="str">
        <f t="shared" si="71"/>
        <v/>
      </c>
    </row>
    <row r="135" spans="25:26" ht="16.350000000000001" customHeight="1" x14ac:dyDescent="0.25">
      <c r="Y135" s="221" t="str">
        <f t="shared" si="70"/>
        <v/>
      </c>
      <c r="Z135" s="221" t="str">
        <f t="shared" si="71"/>
        <v/>
      </c>
    </row>
    <row r="136" spans="25:26" ht="16.350000000000001" customHeight="1" x14ac:dyDescent="0.25">
      <c r="Y136" s="221" t="str">
        <f t="shared" si="70"/>
        <v/>
      </c>
      <c r="Z136" s="221" t="str">
        <f t="shared" si="71"/>
        <v/>
      </c>
    </row>
    <row r="137" spans="25:26" ht="16.350000000000001" customHeight="1" x14ac:dyDescent="0.25">
      <c r="Y137" s="221" t="str">
        <f t="shared" si="70"/>
        <v/>
      </c>
      <c r="Z137" s="221" t="str">
        <f t="shared" si="71"/>
        <v/>
      </c>
    </row>
    <row r="138" spans="25:26" ht="16.350000000000001" customHeight="1" x14ac:dyDescent="0.25">
      <c r="Y138" s="221" t="str">
        <f t="shared" si="70"/>
        <v/>
      </c>
      <c r="Z138" s="221" t="str">
        <f t="shared" si="71"/>
        <v/>
      </c>
    </row>
    <row r="139" spans="25:26" ht="16.350000000000001" customHeight="1" x14ac:dyDescent="0.25">
      <c r="Y139" s="221" t="str">
        <f t="shared" si="70"/>
        <v/>
      </c>
      <c r="Z139" s="221" t="str">
        <f t="shared" si="71"/>
        <v/>
      </c>
    </row>
    <row r="140" spans="25:26" ht="16.350000000000001" customHeight="1" x14ac:dyDescent="0.25">
      <c r="Y140" s="221" t="str">
        <f t="shared" si="70"/>
        <v/>
      </c>
      <c r="Z140" s="221" t="str">
        <f t="shared" si="71"/>
        <v/>
      </c>
    </row>
    <row r="141" spans="25:26" ht="16.350000000000001" customHeight="1" x14ac:dyDescent="0.25">
      <c r="Y141" s="221" t="str">
        <f t="shared" si="70"/>
        <v/>
      </c>
      <c r="Z141" s="221" t="str">
        <f t="shared" si="71"/>
        <v/>
      </c>
    </row>
    <row r="142" spans="25:26" ht="16.350000000000001" customHeight="1" x14ac:dyDescent="0.25">
      <c r="Y142" s="221" t="str">
        <f t="shared" si="70"/>
        <v/>
      </c>
      <c r="Z142" s="221" t="str">
        <f t="shared" si="71"/>
        <v/>
      </c>
    </row>
    <row r="143" spans="25:26" ht="16.350000000000001" customHeight="1" x14ac:dyDescent="0.25">
      <c r="Y143" s="221" t="str">
        <f t="shared" si="70"/>
        <v/>
      </c>
      <c r="Z143" s="221" t="str">
        <f t="shared" si="71"/>
        <v/>
      </c>
    </row>
    <row r="144" spans="25:26" ht="16.350000000000001" customHeight="1" x14ac:dyDescent="0.25">
      <c r="Y144" s="221" t="str">
        <f t="shared" si="70"/>
        <v/>
      </c>
      <c r="Z144" s="221" t="str">
        <f t="shared" si="71"/>
        <v/>
      </c>
    </row>
    <row r="145" spans="25:26" ht="16.350000000000001" customHeight="1" x14ac:dyDescent="0.25">
      <c r="Y145" s="221" t="str">
        <f t="shared" si="70"/>
        <v/>
      </c>
      <c r="Z145" s="221" t="str">
        <f t="shared" si="71"/>
        <v/>
      </c>
    </row>
    <row r="146" spans="25:26" ht="16.350000000000001" customHeight="1" x14ac:dyDescent="0.25">
      <c r="Y146" s="221" t="str">
        <f t="shared" si="70"/>
        <v/>
      </c>
      <c r="Z146" s="221" t="str">
        <f t="shared" si="71"/>
        <v/>
      </c>
    </row>
    <row r="147" spans="25:26" ht="16.350000000000001" customHeight="1" x14ac:dyDescent="0.25">
      <c r="Y147" s="221" t="str">
        <f t="shared" si="70"/>
        <v/>
      </c>
      <c r="Z147" s="221" t="str">
        <f t="shared" si="71"/>
        <v/>
      </c>
    </row>
    <row r="148" spans="25:26" ht="16.350000000000001" customHeight="1" x14ac:dyDescent="0.25">
      <c r="Y148" s="221" t="str">
        <f t="shared" ref="Y148:Y211" si="72">IF(AA148&lt;&gt;"","NEW","")</f>
        <v/>
      </c>
      <c r="Z148" s="221" t="str">
        <f t="shared" ref="Z148:Z211" si="73">IF(AA148&lt;&gt;"",$AA$1,"")</f>
        <v/>
      </c>
    </row>
    <row r="149" spans="25:26" ht="16.350000000000001" customHeight="1" x14ac:dyDescent="0.25">
      <c r="Y149" s="221" t="str">
        <f t="shared" si="72"/>
        <v/>
      </c>
      <c r="Z149" s="221" t="str">
        <f t="shared" si="73"/>
        <v/>
      </c>
    </row>
    <row r="150" spans="25:26" ht="16.350000000000001" customHeight="1" x14ac:dyDescent="0.25">
      <c r="Y150" s="221" t="str">
        <f t="shared" si="72"/>
        <v/>
      </c>
      <c r="Z150" s="221" t="str">
        <f t="shared" si="73"/>
        <v/>
      </c>
    </row>
    <row r="151" spans="25:26" ht="16.350000000000001" customHeight="1" x14ac:dyDescent="0.25">
      <c r="Y151" s="221" t="str">
        <f t="shared" si="72"/>
        <v/>
      </c>
      <c r="Z151" s="221" t="str">
        <f t="shared" si="73"/>
        <v/>
      </c>
    </row>
    <row r="152" spans="25:26" ht="16.350000000000001" customHeight="1" x14ac:dyDescent="0.25">
      <c r="Y152" s="221" t="str">
        <f t="shared" si="72"/>
        <v/>
      </c>
      <c r="Z152" s="221" t="str">
        <f t="shared" si="73"/>
        <v/>
      </c>
    </row>
    <row r="153" spans="25:26" ht="16.350000000000001" customHeight="1" x14ac:dyDescent="0.25">
      <c r="Y153" s="221" t="str">
        <f t="shared" si="72"/>
        <v/>
      </c>
      <c r="Z153" s="221" t="str">
        <f t="shared" si="73"/>
        <v/>
      </c>
    </row>
    <row r="154" spans="25:26" ht="16.350000000000001" customHeight="1" x14ac:dyDescent="0.25">
      <c r="Y154" s="221" t="str">
        <f t="shared" si="72"/>
        <v/>
      </c>
      <c r="Z154" s="221" t="str">
        <f t="shared" si="73"/>
        <v/>
      </c>
    </row>
    <row r="155" spans="25:26" ht="16.350000000000001" customHeight="1" x14ac:dyDescent="0.25">
      <c r="Y155" s="221" t="str">
        <f t="shared" si="72"/>
        <v/>
      </c>
      <c r="Z155" s="221" t="str">
        <f t="shared" si="73"/>
        <v/>
      </c>
    </row>
    <row r="156" spans="25:26" ht="16.350000000000001" customHeight="1" x14ac:dyDescent="0.25">
      <c r="Y156" s="221" t="str">
        <f t="shared" si="72"/>
        <v/>
      </c>
      <c r="Z156" s="221" t="str">
        <f t="shared" si="73"/>
        <v/>
      </c>
    </row>
    <row r="157" spans="25:26" ht="16.350000000000001" customHeight="1" x14ac:dyDescent="0.25">
      <c r="Y157" s="221" t="str">
        <f t="shared" si="72"/>
        <v/>
      </c>
      <c r="Z157" s="221" t="str">
        <f t="shared" si="73"/>
        <v/>
      </c>
    </row>
    <row r="158" spans="25:26" ht="16.350000000000001" customHeight="1" x14ac:dyDescent="0.25">
      <c r="Y158" s="221" t="str">
        <f t="shared" si="72"/>
        <v/>
      </c>
      <c r="Z158" s="221" t="str">
        <f t="shared" si="73"/>
        <v/>
      </c>
    </row>
    <row r="159" spans="25:26" ht="16.350000000000001" customHeight="1" x14ac:dyDescent="0.25">
      <c r="Y159" s="221" t="str">
        <f t="shared" si="72"/>
        <v/>
      </c>
      <c r="Z159" s="221" t="str">
        <f t="shared" si="73"/>
        <v/>
      </c>
    </row>
    <row r="160" spans="25:26" ht="16.350000000000001" customHeight="1" x14ac:dyDescent="0.25">
      <c r="Y160" s="221" t="str">
        <f t="shared" si="72"/>
        <v/>
      </c>
      <c r="Z160" s="221" t="str">
        <f t="shared" si="73"/>
        <v/>
      </c>
    </row>
    <row r="161" spans="25:26" ht="16.350000000000001" customHeight="1" x14ac:dyDescent="0.25">
      <c r="Y161" s="221" t="str">
        <f t="shared" si="72"/>
        <v/>
      </c>
      <c r="Z161" s="221" t="str">
        <f t="shared" si="73"/>
        <v/>
      </c>
    </row>
    <row r="162" spans="25:26" ht="16.350000000000001" customHeight="1" x14ac:dyDescent="0.25">
      <c r="Y162" s="221" t="str">
        <f t="shared" si="72"/>
        <v/>
      </c>
      <c r="Z162" s="221" t="str">
        <f t="shared" si="73"/>
        <v/>
      </c>
    </row>
    <row r="163" spans="25:26" ht="16.350000000000001" customHeight="1" x14ac:dyDescent="0.25">
      <c r="Y163" s="221" t="str">
        <f t="shared" si="72"/>
        <v/>
      </c>
      <c r="Z163" s="221" t="str">
        <f t="shared" si="73"/>
        <v/>
      </c>
    </row>
    <row r="164" spans="25:26" ht="16.350000000000001" customHeight="1" x14ac:dyDescent="0.25">
      <c r="Y164" s="221" t="str">
        <f t="shared" si="72"/>
        <v/>
      </c>
      <c r="Z164" s="221" t="str">
        <f t="shared" si="73"/>
        <v/>
      </c>
    </row>
    <row r="165" spans="25:26" ht="16.350000000000001" customHeight="1" x14ac:dyDescent="0.25">
      <c r="Y165" s="221" t="str">
        <f t="shared" si="72"/>
        <v/>
      </c>
      <c r="Z165" s="221" t="str">
        <f t="shared" si="73"/>
        <v/>
      </c>
    </row>
    <row r="166" spans="25:26" ht="16.350000000000001" customHeight="1" x14ac:dyDescent="0.25">
      <c r="Y166" s="221" t="str">
        <f t="shared" si="72"/>
        <v/>
      </c>
      <c r="Z166" s="221" t="str">
        <f t="shared" si="73"/>
        <v/>
      </c>
    </row>
    <row r="167" spans="25:26" ht="16.350000000000001" customHeight="1" x14ac:dyDescent="0.25">
      <c r="Y167" s="221" t="str">
        <f t="shared" si="72"/>
        <v/>
      </c>
      <c r="Z167" s="221" t="str">
        <f t="shared" si="73"/>
        <v/>
      </c>
    </row>
    <row r="168" spans="25:26" ht="16.350000000000001" customHeight="1" x14ac:dyDescent="0.25">
      <c r="Y168" s="221" t="str">
        <f t="shared" si="72"/>
        <v/>
      </c>
      <c r="Z168" s="221" t="str">
        <f t="shared" si="73"/>
        <v/>
      </c>
    </row>
    <row r="169" spans="25:26" ht="16.350000000000001" customHeight="1" x14ac:dyDescent="0.25">
      <c r="Y169" s="221" t="str">
        <f t="shared" si="72"/>
        <v/>
      </c>
      <c r="Z169" s="221" t="str">
        <f t="shared" si="73"/>
        <v/>
      </c>
    </row>
    <row r="170" spans="25:26" ht="16.350000000000001" customHeight="1" x14ac:dyDescent="0.25">
      <c r="Y170" s="221" t="str">
        <f t="shared" si="72"/>
        <v/>
      </c>
      <c r="Z170" s="221" t="str">
        <f t="shared" si="73"/>
        <v/>
      </c>
    </row>
    <row r="171" spans="25:26" ht="16.350000000000001" customHeight="1" x14ac:dyDescent="0.25">
      <c r="Y171" s="221" t="str">
        <f t="shared" si="72"/>
        <v/>
      </c>
      <c r="Z171" s="221" t="str">
        <f t="shared" si="73"/>
        <v/>
      </c>
    </row>
    <row r="172" spans="25:26" ht="16.350000000000001" customHeight="1" x14ac:dyDescent="0.25">
      <c r="Y172" s="221" t="str">
        <f t="shared" si="72"/>
        <v/>
      </c>
      <c r="Z172" s="221" t="str">
        <f t="shared" si="73"/>
        <v/>
      </c>
    </row>
    <row r="173" spans="25:26" ht="16.350000000000001" customHeight="1" x14ac:dyDescent="0.25">
      <c r="Y173" s="221" t="str">
        <f t="shared" si="72"/>
        <v/>
      </c>
      <c r="Z173" s="221" t="str">
        <f t="shared" si="73"/>
        <v/>
      </c>
    </row>
    <row r="174" spans="25:26" ht="16.350000000000001" customHeight="1" x14ac:dyDescent="0.25">
      <c r="Y174" s="221" t="str">
        <f t="shared" si="72"/>
        <v/>
      </c>
      <c r="Z174" s="221" t="str">
        <f t="shared" si="73"/>
        <v/>
      </c>
    </row>
    <row r="175" spans="25:26" ht="16.350000000000001" customHeight="1" x14ac:dyDescent="0.25">
      <c r="Y175" s="221" t="str">
        <f t="shared" si="72"/>
        <v/>
      </c>
      <c r="Z175" s="221" t="str">
        <f t="shared" si="73"/>
        <v/>
      </c>
    </row>
    <row r="176" spans="25:26" ht="16.350000000000001" customHeight="1" x14ac:dyDescent="0.25">
      <c r="Y176" s="221" t="str">
        <f t="shared" si="72"/>
        <v/>
      </c>
      <c r="Z176" s="221" t="str">
        <f t="shared" si="73"/>
        <v/>
      </c>
    </row>
    <row r="177" spans="25:26" ht="16.350000000000001" customHeight="1" x14ac:dyDescent="0.25">
      <c r="Y177" s="221" t="str">
        <f t="shared" si="72"/>
        <v/>
      </c>
      <c r="Z177" s="221" t="str">
        <f t="shared" si="73"/>
        <v/>
      </c>
    </row>
    <row r="178" spans="25:26" ht="16.350000000000001" customHeight="1" x14ac:dyDescent="0.25">
      <c r="Y178" s="221" t="str">
        <f t="shared" si="72"/>
        <v/>
      </c>
      <c r="Z178" s="221" t="str">
        <f t="shared" si="73"/>
        <v/>
      </c>
    </row>
    <row r="179" spans="25:26" ht="16.350000000000001" customHeight="1" x14ac:dyDescent="0.25">
      <c r="Y179" s="221" t="str">
        <f t="shared" si="72"/>
        <v/>
      </c>
      <c r="Z179" s="221" t="str">
        <f t="shared" si="73"/>
        <v/>
      </c>
    </row>
    <row r="180" spans="25:26" ht="16.350000000000001" customHeight="1" x14ac:dyDescent="0.25">
      <c r="Y180" s="221" t="str">
        <f t="shared" si="72"/>
        <v/>
      </c>
      <c r="Z180" s="221" t="str">
        <f t="shared" si="73"/>
        <v/>
      </c>
    </row>
    <row r="181" spans="25:26" ht="16.350000000000001" customHeight="1" x14ac:dyDescent="0.25">
      <c r="Y181" s="221" t="str">
        <f t="shared" si="72"/>
        <v/>
      </c>
      <c r="Z181" s="221" t="str">
        <f t="shared" si="73"/>
        <v/>
      </c>
    </row>
    <row r="182" spans="25:26" ht="16.350000000000001" customHeight="1" x14ac:dyDescent="0.25">
      <c r="Y182" s="221" t="str">
        <f t="shared" si="72"/>
        <v/>
      </c>
      <c r="Z182" s="221" t="str">
        <f t="shared" si="73"/>
        <v/>
      </c>
    </row>
    <row r="183" spans="25:26" ht="16.350000000000001" customHeight="1" x14ac:dyDescent="0.25">
      <c r="Y183" s="221" t="str">
        <f t="shared" si="72"/>
        <v/>
      </c>
      <c r="Z183" s="221" t="str">
        <f t="shared" si="73"/>
        <v/>
      </c>
    </row>
    <row r="184" spans="25:26" ht="16.350000000000001" customHeight="1" x14ac:dyDescent="0.25">
      <c r="Y184" s="221" t="str">
        <f t="shared" si="72"/>
        <v/>
      </c>
      <c r="Z184" s="221" t="str">
        <f t="shared" si="73"/>
        <v/>
      </c>
    </row>
    <row r="185" spans="25:26" ht="16.350000000000001" customHeight="1" x14ac:dyDescent="0.25">
      <c r="Y185" s="221" t="str">
        <f t="shared" si="72"/>
        <v/>
      </c>
      <c r="Z185" s="221" t="str">
        <f t="shared" si="73"/>
        <v/>
      </c>
    </row>
    <row r="186" spans="25:26" ht="16.350000000000001" customHeight="1" x14ac:dyDescent="0.25">
      <c r="Y186" s="221" t="str">
        <f t="shared" si="72"/>
        <v/>
      </c>
      <c r="Z186" s="221" t="str">
        <f t="shared" si="73"/>
        <v/>
      </c>
    </row>
    <row r="187" spans="25:26" ht="16.350000000000001" customHeight="1" x14ac:dyDescent="0.25">
      <c r="Y187" s="221" t="str">
        <f t="shared" si="72"/>
        <v/>
      </c>
      <c r="Z187" s="221" t="str">
        <f t="shared" si="73"/>
        <v/>
      </c>
    </row>
    <row r="188" spans="25:26" ht="16.350000000000001" customHeight="1" x14ac:dyDescent="0.25">
      <c r="Y188" s="221" t="str">
        <f t="shared" si="72"/>
        <v/>
      </c>
      <c r="Z188" s="221" t="str">
        <f t="shared" si="73"/>
        <v/>
      </c>
    </row>
    <row r="189" spans="25:26" ht="16.350000000000001" customHeight="1" x14ac:dyDescent="0.25">
      <c r="Y189" s="221" t="str">
        <f t="shared" si="72"/>
        <v/>
      </c>
      <c r="Z189" s="221" t="str">
        <f t="shared" si="73"/>
        <v/>
      </c>
    </row>
    <row r="190" spans="25:26" ht="16.350000000000001" customHeight="1" x14ac:dyDescent="0.25">
      <c r="Y190" s="221" t="str">
        <f t="shared" si="72"/>
        <v/>
      </c>
      <c r="Z190" s="221" t="str">
        <f t="shared" si="73"/>
        <v/>
      </c>
    </row>
    <row r="191" spans="25:26" ht="16.350000000000001" customHeight="1" x14ac:dyDescent="0.25">
      <c r="Y191" s="221" t="str">
        <f t="shared" si="72"/>
        <v/>
      </c>
      <c r="Z191" s="221" t="str">
        <f t="shared" si="73"/>
        <v/>
      </c>
    </row>
    <row r="192" spans="25:26" ht="16.350000000000001" customHeight="1" x14ac:dyDescent="0.25">
      <c r="Y192" s="221" t="str">
        <f t="shared" si="72"/>
        <v/>
      </c>
      <c r="Z192" s="221" t="str">
        <f t="shared" si="73"/>
        <v/>
      </c>
    </row>
    <row r="193" spans="25:26" ht="16.350000000000001" customHeight="1" x14ac:dyDescent="0.25">
      <c r="Y193" s="221" t="str">
        <f t="shared" si="72"/>
        <v/>
      </c>
      <c r="Z193" s="221" t="str">
        <f t="shared" si="73"/>
        <v/>
      </c>
    </row>
    <row r="194" spans="25:26" ht="16.350000000000001" customHeight="1" x14ac:dyDescent="0.25">
      <c r="Y194" s="221" t="str">
        <f t="shared" si="72"/>
        <v/>
      </c>
      <c r="Z194" s="221" t="str">
        <f t="shared" si="73"/>
        <v/>
      </c>
    </row>
    <row r="195" spans="25:26" ht="16.350000000000001" customHeight="1" x14ac:dyDescent="0.25">
      <c r="Y195" s="221" t="str">
        <f t="shared" si="72"/>
        <v/>
      </c>
      <c r="Z195" s="221" t="str">
        <f t="shared" si="73"/>
        <v/>
      </c>
    </row>
    <row r="196" spans="25:26" ht="16.350000000000001" customHeight="1" x14ac:dyDescent="0.25">
      <c r="Y196" s="221" t="str">
        <f t="shared" si="72"/>
        <v/>
      </c>
      <c r="Z196" s="221" t="str">
        <f t="shared" si="73"/>
        <v/>
      </c>
    </row>
    <row r="197" spans="25:26" ht="16.350000000000001" customHeight="1" x14ac:dyDescent="0.25">
      <c r="Y197" s="221" t="str">
        <f t="shared" si="72"/>
        <v/>
      </c>
      <c r="Z197" s="221" t="str">
        <f t="shared" si="73"/>
        <v/>
      </c>
    </row>
    <row r="198" spans="25:26" ht="16.350000000000001" customHeight="1" x14ac:dyDescent="0.25">
      <c r="Y198" s="221" t="str">
        <f t="shared" si="72"/>
        <v/>
      </c>
      <c r="Z198" s="221" t="str">
        <f t="shared" si="73"/>
        <v/>
      </c>
    </row>
    <row r="199" spans="25:26" ht="16.350000000000001" customHeight="1" x14ac:dyDescent="0.25">
      <c r="Y199" s="221" t="str">
        <f t="shared" si="72"/>
        <v/>
      </c>
      <c r="Z199" s="221" t="str">
        <f t="shared" si="73"/>
        <v/>
      </c>
    </row>
    <row r="200" spans="25:26" ht="16.350000000000001" customHeight="1" x14ac:dyDescent="0.25">
      <c r="Y200" s="221" t="str">
        <f t="shared" si="72"/>
        <v/>
      </c>
      <c r="Z200" s="221" t="str">
        <f t="shared" si="73"/>
        <v/>
      </c>
    </row>
    <row r="201" spans="25:26" ht="16.350000000000001" customHeight="1" x14ac:dyDescent="0.25">
      <c r="Y201" s="221" t="str">
        <f t="shared" si="72"/>
        <v/>
      </c>
      <c r="Z201" s="221" t="str">
        <f t="shared" si="73"/>
        <v/>
      </c>
    </row>
    <row r="202" spans="25:26" ht="16.350000000000001" customHeight="1" x14ac:dyDescent="0.25">
      <c r="Y202" s="221" t="str">
        <f t="shared" si="72"/>
        <v/>
      </c>
      <c r="Z202" s="221" t="str">
        <f t="shared" si="73"/>
        <v/>
      </c>
    </row>
    <row r="203" spans="25:26" ht="16.350000000000001" customHeight="1" x14ac:dyDescent="0.25">
      <c r="Y203" s="221" t="str">
        <f t="shared" si="72"/>
        <v/>
      </c>
      <c r="Z203" s="221" t="str">
        <f t="shared" si="73"/>
        <v/>
      </c>
    </row>
    <row r="204" spans="25:26" ht="16.350000000000001" customHeight="1" x14ac:dyDescent="0.25">
      <c r="Y204" s="221" t="str">
        <f t="shared" si="72"/>
        <v/>
      </c>
      <c r="Z204" s="221" t="str">
        <f t="shared" si="73"/>
        <v/>
      </c>
    </row>
    <row r="205" spans="25:26" ht="16.350000000000001" customHeight="1" x14ac:dyDescent="0.25">
      <c r="Y205" s="221" t="str">
        <f t="shared" si="72"/>
        <v/>
      </c>
      <c r="Z205" s="221" t="str">
        <f t="shared" si="73"/>
        <v/>
      </c>
    </row>
    <row r="206" spans="25:26" ht="16.350000000000001" customHeight="1" x14ac:dyDescent="0.25">
      <c r="Y206" s="221" t="str">
        <f t="shared" si="72"/>
        <v/>
      </c>
      <c r="Z206" s="221" t="str">
        <f t="shared" si="73"/>
        <v/>
      </c>
    </row>
    <row r="207" spans="25:26" ht="16.350000000000001" customHeight="1" x14ac:dyDescent="0.25">
      <c r="Y207" s="221" t="str">
        <f t="shared" si="72"/>
        <v/>
      </c>
      <c r="Z207" s="221" t="str">
        <f t="shared" si="73"/>
        <v/>
      </c>
    </row>
    <row r="208" spans="25:26" ht="16.350000000000001" customHeight="1" x14ac:dyDescent="0.25">
      <c r="Y208" s="221" t="str">
        <f t="shared" si="72"/>
        <v/>
      </c>
      <c r="Z208" s="221" t="str">
        <f t="shared" si="73"/>
        <v/>
      </c>
    </row>
    <row r="209" spans="25:26" ht="16.350000000000001" customHeight="1" x14ac:dyDescent="0.25">
      <c r="Y209" s="221" t="str">
        <f t="shared" si="72"/>
        <v/>
      </c>
      <c r="Z209" s="221" t="str">
        <f t="shared" si="73"/>
        <v/>
      </c>
    </row>
    <row r="210" spans="25:26" ht="16.350000000000001" customHeight="1" x14ac:dyDescent="0.25">
      <c r="Y210" s="221" t="str">
        <f t="shared" si="72"/>
        <v/>
      </c>
      <c r="Z210" s="221" t="str">
        <f t="shared" si="73"/>
        <v/>
      </c>
    </row>
    <row r="211" spans="25:26" ht="16.350000000000001" customHeight="1" x14ac:dyDescent="0.25">
      <c r="Y211" s="221" t="str">
        <f t="shared" si="72"/>
        <v/>
      </c>
      <c r="Z211" s="221" t="str">
        <f t="shared" si="73"/>
        <v/>
      </c>
    </row>
    <row r="212" spans="25:26" ht="16.350000000000001" customHeight="1" x14ac:dyDescent="0.25">
      <c r="Y212" s="221" t="str">
        <f t="shared" ref="Y212:Y275" si="74">IF(AA212&lt;&gt;"","NEW","")</f>
        <v/>
      </c>
      <c r="Z212" s="221" t="str">
        <f t="shared" ref="Z212:Z275" si="75">IF(AA212&lt;&gt;"",$AA$1,"")</f>
        <v/>
      </c>
    </row>
    <row r="213" spans="25:26" ht="16.350000000000001" customHeight="1" x14ac:dyDescent="0.25">
      <c r="Y213" s="221" t="str">
        <f t="shared" si="74"/>
        <v/>
      </c>
      <c r="Z213" s="221" t="str">
        <f t="shared" si="75"/>
        <v/>
      </c>
    </row>
    <row r="214" spans="25:26" ht="16.350000000000001" customHeight="1" x14ac:dyDescent="0.25">
      <c r="Y214" s="221" t="str">
        <f t="shared" si="74"/>
        <v/>
      </c>
      <c r="Z214" s="221" t="str">
        <f t="shared" si="75"/>
        <v/>
      </c>
    </row>
    <row r="215" spans="25:26" ht="16.350000000000001" customHeight="1" x14ac:dyDescent="0.25">
      <c r="Y215" s="221" t="str">
        <f t="shared" si="74"/>
        <v/>
      </c>
      <c r="Z215" s="221" t="str">
        <f t="shared" si="75"/>
        <v/>
      </c>
    </row>
    <row r="216" spans="25:26" ht="16.350000000000001" customHeight="1" x14ac:dyDescent="0.25">
      <c r="Y216" s="221" t="str">
        <f t="shared" si="74"/>
        <v/>
      </c>
      <c r="Z216" s="221" t="str">
        <f t="shared" si="75"/>
        <v/>
      </c>
    </row>
    <row r="217" spans="25:26" ht="16.350000000000001" customHeight="1" x14ac:dyDescent="0.25">
      <c r="Y217" s="221" t="str">
        <f t="shared" si="74"/>
        <v/>
      </c>
      <c r="Z217" s="221" t="str">
        <f t="shared" si="75"/>
        <v/>
      </c>
    </row>
    <row r="218" spans="25:26" ht="16.350000000000001" customHeight="1" x14ac:dyDescent="0.25">
      <c r="Y218" s="221" t="str">
        <f t="shared" si="74"/>
        <v/>
      </c>
      <c r="Z218" s="221" t="str">
        <f t="shared" si="75"/>
        <v/>
      </c>
    </row>
    <row r="219" spans="25:26" ht="16.350000000000001" customHeight="1" x14ac:dyDescent="0.25">
      <c r="Y219" s="221" t="str">
        <f t="shared" si="74"/>
        <v/>
      </c>
      <c r="Z219" s="221" t="str">
        <f t="shared" si="75"/>
        <v/>
      </c>
    </row>
    <row r="220" spans="25:26" ht="16.350000000000001" customHeight="1" x14ac:dyDescent="0.25">
      <c r="Y220" s="221" t="str">
        <f t="shared" si="74"/>
        <v/>
      </c>
      <c r="Z220" s="221" t="str">
        <f t="shared" si="75"/>
        <v/>
      </c>
    </row>
    <row r="221" spans="25:26" ht="16.350000000000001" customHeight="1" x14ac:dyDescent="0.25">
      <c r="Y221" s="221" t="str">
        <f t="shared" si="74"/>
        <v/>
      </c>
      <c r="Z221" s="221" t="str">
        <f t="shared" si="75"/>
        <v/>
      </c>
    </row>
    <row r="222" spans="25:26" ht="16.350000000000001" customHeight="1" x14ac:dyDescent="0.25">
      <c r="Y222" s="221" t="str">
        <f t="shared" si="74"/>
        <v/>
      </c>
      <c r="Z222" s="221" t="str">
        <f t="shared" si="75"/>
        <v/>
      </c>
    </row>
    <row r="223" spans="25:26" ht="16.350000000000001" customHeight="1" x14ac:dyDescent="0.25">
      <c r="Y223" s="221" t="str">
        <f t="shared" si="74"/>
        <v/>
      </c>
      <c r="Z223" s="221" t="str">
        <f t="shared" si="75"/>
        <v/>
      </c>
    </row>
    <row r="224" spans="25:26" ht="16.350000000000001" customHeight="1" x14ac:dyDescent="0.25">
      <c r="Y224" s="221" t="str">
        <f t="shared" si="74"/>
        <v/>
      </c>
      <c r="Z224" s="221" t="str">
        <f t="shared" si="75"/>
        <v/>
      </c>
    </row>
    <row r="225" spans="25:26" ht="16.350000000000001" customHeight="1" x14ac:dyDescent="0.25">
      <c r="Y225" s="221" t="str">
        <f t="shared" si="74"/>
        <v/>
      </c>
      <c r="Z225" s="221" t="str">
        <f t="shared" si="75"/>
        <v/>
      </c>
    </row>
    <row r="226" spans="25:26" ht="16.350000000000001" customHeight="1" x14ac:dyDescent="0.25">
      <c r="Y226" s="221" t="str">
        <f t="shared" si="74"/>
        <v/>
      </c>
      <c r="Z226" s="221" t="str">
        <f t="shared" si="75"/>
        <v/>
      </c>
    </row>
    <row r="227" spans="25:26" ht="16.350000000000001" customHeight="1" x14ac:dyDescent="0.25">
      <c r="Y227" s="221" t="str">
        <f t="shared" si="74"/>
        <v/>
      </c>
      <c r="Z227" s="221" t="str">
        <f t="shared" si="75"/>
        <v/>
      </c>
    </row>
    <row r="228" spans="25:26" ht="16.350000000000001" customHeight="1" x14ac:dyDescent="0.25">
      <c r="Y228" s="221" t="str">
        <f t="shared" si="74"/>
        <v/>
      </c>
      <c r="Z228" s="221" t="str">
        <f t="shared" si="75"/>
        <v/>
      </c>
    </row>
    <row r="229" spans="25:26" ht="16.350000000000001" customHeight="1" x14ac:dyDescent="0.25">
      <c r="Y229" s="221" t="str">
        <f t="shared" si="74"/>
        <v/>
      </c>
      <c r="Z229" s="221" t="str">
        <f t="shared" si="75"/>
        <v/>
      </c>
    </row>
    <row r="230" spans="25:26" ht="16.350000000000001" customHeight="1" x14ac:dyDescent="0.25">
      <c r="Y230" s="221" t="str">
        <f t="shared" si="74"/>
        <v/>
      </c>
      <c r="Z230" s="221" t="str">
        <f t="shared" si="75"/>
        <v/>
      </c>
    </row>
    <row r="231" spans="25:26" ht="16.350000000000001" customHeight="1" x14ac:dyDescent="0.25">
      <c r="Y231" s="221" t="str">
        <f t="shared" si="74"/>
        <v/>
      </c>
      <c r="Z231" s="221" t="str">
        <f t="shared" si="75"/>
        <v/>
      </c>
    </row>
    <row r="232" spans="25:26" ht="16.350000000000001" customHeight="1" x14ac:dyDescent="0.25">
      <c r="Y232" s="221" t="str">
        <f t="shared" si="74"/>
        <v/>
      </c>
      <c r="Z232" s="221" t="str">
        <f t="shared" si="75"/>
        <v/>
      </c>
    </row>
    <row r="233" spans="25:26" ht="16.350000000000001" customHeight="1" x14ac:dyDescent="0.25">
      <c r="Y233" s="221" t="str">
        <f t="shared" si="74"/>
        <v/>
      </c>
      <c r="Z233" s="221" t="str">
        <f t="shared" si="75"/>
        <v/>
      </c>
    </row>
    <row r="234" spans="25:26" ht="16.350000000000001" customHeight="1" x14ac:dyDescent="0.25">
      <c r="Y234" s="221" t="str">
        <f t="shared" si="74"/>
        <v/>
      </c>
      <c r="Z234" s="221" t="str">
        <f t="shared" si="75"/>
        <v/>
      </c>
    </row>
    <row r="235" spans="25:26" ht="16.350000000000001" customHeight="1" x14ac:dyDescent="0.25">
      <c r="Y235" s="221" t="str">
        <f t="shared" si="74"/>
        <v/>
      </c>
      <c r="Z235" s="221" t="str">
        <f t="shared" si="75"/>
        <v/>
      </c>
    </row>
    <row r="236" spans="25:26" ht="16.350000000000001" customHeight="1" x14ac:dyDescent="0.25">
      <c r="Y236" s="221" t="str">
        <f t="shared" si="74"/>
        <v/>
      </c>
      <c r="Z236" s="221" t="str">
        <f t="shared" si="75"/>
        <v/>
      </c>
    </row>
    <row r="237" spans="25:26" ht="16.350000000000001" customHeight="1" x14ac:dyDescent="0.25">
      <c r="Y237" s="221" t="str">
        <f t="shared" si="74"/>
        <v/>
      </c>
      <c r="Z237" s="221" t="str">
        <f t="shared" si="75"/>
        <v/>
      </c>
    </row>
    <row r="238" spans="25:26" ht="16.350000000000001" customHeight="1" x14ac:dyDescent="0.25">
      <c r="Y238" s="221" t="str">
        <f t="shared" si="74"/>
        <v/>
      </c>
      <c r="Z238" s="221" t="str">
        <f t="shared" si="75"/>
        <v/>
      </c>
    </row>
    <row r="239" spans="25:26" ht="16.350000000000001" customHeight="1" x14ac:dyDescent="0.25">
      <c r="Y239" s="221" t="str">
        <f t="shared" si="74"/>
        <v/>
      </c>
      <c r="Z239" s="221" t="str">
        <f t="shared" si="75"/>
        <v/>
      </c>
    </row>
    <row r="240" spans="25:26" ht="16.350000000000001" customHeight="1" x14ac:dyDescent="0.25">
      <c r="Y240" s="221" t="str">
        <f t="shared" si="74"/>
        <v/>
      </c>
      <c r="Z240" s="221" t="str">
        <f t="shared" si="75"/>
        <v/>
      </c>
    </row>
    <row r="241" spans="25:26" ht="16.350000000000001" customHeight="1" x14ac:dyDescent="0.25">
      <c r="Y241" s="221" t="str">
        <f t="shared" si="74"/>
        <v/>
      </c>
      <c r="Z241" s="221" t="str">
        <f t="shared" si="75"/>
        <v/>
      </c>
    </row>
    <row r="242" spans="25:26" ht="16.350000000000001" customHeight="1" x14ac:dyDescent="0.25">
      <c r="Y242" s="221" t="str">
        <f t="shared" si="74"/>
        <v/>
      </c>
      <c r="Z242" s="221" t="str">
        <f t="shared" si="75"/>
        <v/>
      </c>
    </row>
    <row r="243" spans="25:26" ht="16.350000000000001" customHeight="1" x14ac:dyDescent="0.25">
      <c r="Y243" s="221" t="str">
        <f t="shared" si="74"/>
        <v/>
      </c>
      <c r="Z243" s="221" t="str">
        <f t="shared" si="75"/>
        <v/>
      </c>
    </row>
    <row r="244" spans="25:26" ht="16.350000000000001" customHeight="1" x14ac:dyDescent="0.25">
      <c r="Y244" s="221" t="str">
        <f t="shared" si="74"/>
        <v/>
      </c>
      <c r="Z244" s="221" t="str">
        <f t="shared" si="75"/>
        <v/>
      </c>
    </row>
    <row r="245" spans="25:26" ht="16.350000000000001" customHeight="1" x14ac:dyDescent="0.25">
      <c r="Y245" s="221" t="str">
        <f t="shared" si="74"/>
        <v/>
      </c>
      <c r="Z245" s="221" t="str">
        <f t="shared" si="75"/>
        <v/>
      </c>
    </row>
    <row r="246" spans="25:26" ht="16.350000000000001" customHeight="1" x14ac:dyDescent="0.25">
      <c r="Y246" s="221" t="str">
        <f t="shared" si="74"/>
        <v/>
      </c>
      <c r="Z246" s="221" t="str">
        <f t="shared" si="75"/>
        <v/>
      </c>
    </row>
    <row r="247" spans="25:26" ht="16.350000000000001" customHeight="1" x14ac:dyDescent="0.25">
      <c r="Y247" s="221" t="str">
        <f t="shared" si="74"/>
        <v/>
      </c>
      <c r="Z247" s="221" t="str">
        <f t="shared" si="75"/>
        <v/>
      </c>
    </row>
    <row r="248" spans="25:26" ht="16.350000000000001" customHeight="1" x14ac:dyDescent="0.25">
      <c r="Y248" s="221" t="str">
        <f t="shared" si="74"/>
        <v/>
      </c>
      <c r="Z248" s="221" t="str">
        <f t="shared" si="75"/>
        <v/>
      </c>
    </row>
    <row r="249" spans="25:26" ht="16.350000000000001" customHeight="1" x14ac:dyDescent="0.25">
      <c r="Y249" s="221" t="str">
        <f t="shared" si="74"/>
        <v/>
      </c>
      <c r="Z249" s="221" t="str">
        <f t="shared" si="75"/>
        <v/>
      </c>
    </row>
    <row r="250" spans="25:26" ht="16.350000000000001" customHeight="1" x14ac:dyDescent="0.25">
      <c r="Y250" s="221" t="str">
        <f t="shared" si="74"/>
        <v/>
      </c>
      <c r="Z250" s="221" t="str">
        <f t="shared" si="75"/>
        <v/>
      </c>
    </row>
    <row r="251" spans="25:26" ht="16.350000000000001" customHeight="1" x14ac:dyDescent="0.25">
      <c r="Y251" s="221" t="str">
        <f t="shared" si="74"/>
        <v/>
      </c>
      <c r="Z251" s="221" t="str">
        <f t="shared" si="75"/>
        <v/>
      </c>
    </row>
    <row r="252" spans="25:26" ht="16.350000000000001" customHeight="1" x14ac:dyDescent="0.25">
      <c r="Y252" s="221" t="str">
        <f t="shared" si="74"/>
        <v/>
      </c>
      <c r="Z252" s="221" t="str">
        <f t="shared" si="75"/>
        <v/>
      </c>
    </row>
    <row r="253" spans="25:26" ht="16.350000000000001" customHeight="1" x14ac:dyDescent="0.25">
      <c r="Y253" s="221" t="str">
        <f t="shared" si="74"/>
        <v/>
      </c>
      <c r="Z253" s="221" t="str">
        <f t="shared" si="75"/>
        <v/>
      </c>
    </row>
    <row r="254" spans="25:26" ht="16.350000000000001" customHeight="1" x14ac:dyDescent="0.25">
      <c r="Y254" s="221" t="str">
        <f t="shared" si="74"/>
        <v/>
      </c>
      <c r="Z254" s="221" t="str">
        <f t="shared" si="75"/>
        <v/>
      </c>
    </row>
    <row r="255" spans="25:26" ht="16.350000000000001" customHeight="1" x14ac:dyDescent="0.25">
      <c r="Y255" s="221" t="str">
        <f t="shared" si="74"/>
        <v/>
      </c>
      <c r="Z255" s="221" t="str">
        <f t="shared" si="75"/>
        <v/>
      </c>
    </row>
    <row r="256" spans="25:26" ht="16.350000000000001" customHeight="1" x14ac:dyDescent="0.25">
      <c r="Y256" s="221" t="str">
        <f t="shared" si="74"/>
        <v/>
      </c>
      <c r="Z256" s="221" t="str">
        <f t="shared" si="75"/>
        <v/>
      </c>
    </row>
    <row r="257" spans="25:26" ht="16.350000000000001" customHeight="1" x14ac:dyDescent="0.25">
      <c r="Y257" s="221" t="str">
        <f t="shared" si="74"/>
        <v/>
      </c>
      <c r="Z257" s="221" t="str">
        <f t="shared" si="75"/>
        <v/>
      </c>
    </row>
    <row r="258" spans="25:26" ht="16.350000000000001" customHeight="1" x14ac:dyDescent="0.25">
      <c r="Y258" s="221" t="str">
        <f t="shared" si="74"/>
        <v/>
      </c>
      <c r="Z258" s="221" t="str">
        <f t="shared" si="75"/>
        <v/>
      </c>
    </row>
    <row r="259" spans="25:26" ht="16.350000000000001" customHeight="1" x14ac:dyDescent="0.25">
      <c r="Y259" s="221" t="str">
        <f t="shared" si="74"/>
        <v/>
      </c>
      <c r="Z259" s="221" t="str">
        <f t="shared" si="75"/>
        <v/>
      </c>
    </row>
    <row r="260" spans="25:26" ht="16.350000000000001" customHeight="1" x14ac:dyDescent="0.25">
      <c r="Y260" s="221" t="str">
        <f t="shared" si="74"/>
        <v/>
      </c>
      <c r="Z260" s="221" t="str">
        <f t="shared" si="75"/>
        <v/>
      </c>
    </row>
    <row r="261" spans="25:26" ht="16.350000000000001" customHeight="1" x14ac:dyDescent="0.25">
      <c r="Y261" s="221" t="str">
        <f t="shared" si="74"/>
        <v/>
      </c>
      <c r="Z261" s="221" t="str">
        <f t="shared" si="75"/>
        <v/>
      </c>
    </row>
    <row r="262" spans="25:26" ht="16.350000000000001" customHeight="1" x14ac:dyDescent="0.25">
      <c r="Y262" s="221" t="str">
        <f t="shared" si="74"/>
        <v/>
      </c>
      <c r="Z262" s="221" t="str">
        <f t="shared" si="75"/>
        <v/>
      </c>
    </row>
    <row r="263" spans="25:26" ht="16.350000000000001" customHeight="1" x14ac:dyDescent="0.25">
      <c r="Y263" s="221" t="str">
        <f t="shared" si="74"/>
        <v/>
      </c>
      <c r="Z263" s="221" t="str">
        <f t="shared" si="75"/>
        <v/>
      </c>
    </row>
    <row r="264" spans="25:26" ht="16.350000000000001" customHeight="1" x14ac:dyDescent="0.25">
      <c r="Y264" s="221" t="str">
        <f t="shared" si="74"/>
        <v/>
      </c>
      <c r="Z264" s="221" t="str">
        <f t="shared" si="75"/>
        <v/>
      </c>
    </row>
    <row r="265" spans="25:26" ht="16.350000000000001" customHeight="1" x14ac:dyDescent="0.25">
      <c r="Y265" s="221" t="str">
        <f t="shared" si="74"/>
        <v/>
      </c>
      <c r="Z265" s="221" t="str">
        <f t="shared" si="75"/>
        <v/>
      </c>
    </row>
    <row r="266" spans="25:26" ht="16.350000000000001" customHeight="1" x14ac:dyDescent="0.25">
      <c r="Y266" s="221" t="str">
        <f t="shared" si="74"/>
        <v/>
      </c>
      <c r="Z266" s="221" t="str">
        <f t="shared" si="75"/>
        <v/>
      </c>
    </row>
    <row r="267" spans="25:26" ht="16.350000000000001" customHeight="1" x14ac:dyDescent="0.25">
      <c r="Y267" s="221" t="str">
        <f t="shared" si="74"/>
        <v/>
      </c>
      <c r="Z267" s="221" t="str">
        <f t="shared" si="75"/>
        <v/>
      </c>
    </row>
    <row r="268" spans="25:26" ht="16.350000000000001" customHeight="1" x14ac:dyDescent="0.25">
      <c r="Y268" s="221" t="str">
        <f t="shared" si="74"/>
        <v/>
      </c>
      <c r="Z268" s="221" t="str">
        <f t="shared" si="75"/>
        <v/>
      </c>
    </row>
    <row r="269" spans="25:26" ht="16.350000000000001" customHeight="1" x14ac:dyDescent="0.25">
      <c r="Y269" s="221" t="str">
        <f t="shared" si="74"/>
        <v/>
      </c>
      <c r="Z269" s="221" t="str">
        <f t="shared" si="75"/>
        <v/>
      </c>
    </row>
    <row r="270" spans="25:26" ht="16.350000000000001" customHeight="1" x14ac:dyDescent="0.25">
      <c r="Y270" s="221" t="str">
        <f t="shared" si="74"/>
        <v/>
      </c>
      <c r="Z270" s="221" t="str">
        <f t="shared" si="75"/>
        <v/>
      </c>
    </row>
    <row r="271" spans="25:26" ht="16.350000000000001" customHeight="1" x14ac:dyDescent="0.25">
      <c r="Y271" s="221" t="str">
        <f t="shared" si="74"/>
        <v/>
      </c>
      <c r="Z271" s="221" t="str">
        <f t="shared" si="75"/>
        <v/>
      </c>
    </row>
    <row r="272" spans="25:26" ht="16.350000000000001" customHeight="1" x14ac:dyDescent="0.25">
      <c r="Y272" s="221" t="str">
        <f t="shared" si="74"/>
        <v/>
      </c>
      <c r="Z272" s="221" t="str">
        <f t="shared" si="75"/>
        <v/>
      </c>
    </row>
    <row r="273" spans="25:26" ht="16.350000000000001" customHeight="1" x14ac:dyDescent="0.25">
      <c r="Y273" s="221" t="str">
        <f t="shared" si="74"/>
        <v/>
      </c>
      <c r="Z273" s="221" t="str">
        <f t="shared" si="75"/>
        <v/>
      </c>
    </row>
    <row r="274" spans="25:26" ht="16.350000000000001" customHeight="1" x14ac:dyDescent="0.25">
      <c r="Y274" s="221" t="str">
        <f t="shared" si="74"/>
        <v/>
      </c>
      <c r="Z274" s="221" t="str">
        <f t="shared" si="75"/>
        <v/>
      </c>
    </row>
    <row r="275" spans="25:26" ht="16.350000000000001" customHeight="1" x14ac:dyDescent="0.25">
      <c r="Y275" s="221" t="str">
        <f t="shared" si="74"/>
        <v/>
      </c>
      <c r="Z275" s="221" t="str">
        <f t="shared" si="75"/>
        <v/>
      </c>
    </row>
    <row r="276" spans="25:26" ht="16.350000000000001" customHeight="1" x14ac:dyDescent="0.25">
      <c r="Y276" s="221" t="str">
        <f t="shared" ref="Y276:Y339" si="76">IF(AA276&lt;&gt;"","NEW","")</f>
        <v/>
      </c>
      <c r="Z276" s="221" t="str">
        <f t="shared" ref="Z276:Z339" si="77">IF(AA276&lt;&gt;"",$AA$1,"")</f>
        <v/>
      </c>
    </row>
    <row r="277" spans="25:26" ht="16.350000000000001" customHeight="1" x14ac:dyDescent="0.25">
      <c r="Y277" s="221" t="str">
        <f t="shared" si="76"/>
        <v/>
      </c>
      <c r="Z277" s="221" t="str">
        <f t="shared" si="77"/>
        <v/>
      </c>
    </row>
    <row r="278" spans="25:26" ht="16.350000000000001" customHeight="1" x14ac:dyDescent="0.25">
      <c r="Y278" s="221" t="str">
        <f t="shared" si="76"/>
        <v/>
      </c>
      <c r="Z278" s="221" t="str">
        <f t="shared" si="77"/>
        <v/>
      </c>
    </row>
    <row r="279" spans="25:26" ht="16.350000000000001" customHeight="1" x14ac:dyDescent="0.25">
      <c r="Y279" s="221" t="str">
        <f t="shared" si="76"/>
        <v/>
      </c>
      <c r="Z279" s="221" t="str">
        <f t="shared" si="77"/>
        <v/>
      </c>
    </row>
    <row r="280" spans="25:26" ht="16.350000000000001" customHeight="1" x14ac:dyDescent="0.25">
      <c r="Y280" s="221" t="str">
        <f t="shared" si="76"/>
        <v/>
      </c>
      <c r="Z280" s="221" t="str">
        <f t="shared" si="77"/>
        <v/>
      </c>
    </row>
    <row r="281" spans="25:26" ht="16.350000000000001" customHeight="1" x14ac:dyDescent="0.25">
      <c r="Y281" s="221" t="str">
        <f t="shared" si="76"/>
        <v/>
      </c>
      <c r="Z281" s="221" t="str">
        <f t="shared" si="77"/>
        <v/>
      </c>
    </row>
    <row r="282" spans="25:26" ht="16.350000000000001" customHeight="1" x14ac:dyDescent="0.25">
      <c r="Y282" s="221" t="str">
        <f t="shared" si="76"/>
        <v/>
      </c>
      <c r="Z282" s="221" t="str">
        <f t="shared" si="77"/>
        <v/>
      </c>
    </row>
    <row r="283" spans="25:26" ht="16.350000000000001" customHeight="1" x14ac:dyDescent="0.25">
      <c r="Y283" s="221" t="str">
        <f t="shared" si="76"/>
        <v/>
      </c>
      <c r="Z283" s="221" t="str">
        <f t="shared" si="77"/>
        <v/>
      </c>
    </row>
    <row r="284" spans="25:26" ht="16.350000000000001" customHeight="1" x14ac:dyDescent="0.25">
      <c r="Y284" s="221" t="str">
        <f t="shared" si="76"/>
        <v/>
      </c>
      <c r="Z284" s="221" t="str">
        <f t="shared" si="77"/>
        <v/>
      </c>
    </row>
    <row r="285" spans="25:26" ht="16.350000000000001" customHeight="1" x14ac:dyDescent="0.25">
      <c r="Y285" s="221" t="str">
        <f t="shared" si="76"/>
        <v/>
      </c>
      <c r="Z285" s="221" t="str">
        <f t="shared" si="77"/>
        <v/>
      </c>
    </row>
    <row r="286" spans="25:26" ht="16.350000000000001" customHeight="1" x14ac:dyDescent="0.25">
      <c r="Y286" s="221" t="str">
        <f t="shared" si="76"/>
        <v/>
      </c>
      <c r="Z286" s="221" t="str">
        <f t="shared" si="77"/>
        <v/>
      </c>
    </row>
    <row r="287" spans="25:26" ht="16.350000000000001" customHeight="1" x14ac:dyDescent="0.25">
      <c r="Y287" s="221" t="str">
        <f t="shared" si="76"/>
        <v/>
      </c>
      <c r="Z287" s="221" t="str">
        <f t="shared" si="77"/>
        <v/>
      </c>
    </row>
    <row r="288" spans="25:26" ht="16.350000000000001" customHeight="1" x14ac:dyDescent="0.25">
      <c r="Y288" s="221" t="str">
        <f t="shared" si="76"/>
        <v/>
      </c>
      <c r="Z288" s="221" t="str">
        <f t="shared" si="77"/>
        <v/>
      </c>
    </row>
    <row r="289" spans="25:26" ht="16.350000000000001" customHeight="1" x14ac:dyDescent="0.25">
      <c r="Y289" s="221" t="str">
        <f t="shared" si="76"/>
        <v/>
      </c>
      <c r="Z289" s="221" t="str">
        <f t="shared" si="77"/>
        <v/>
      </c>
    </row>
    <row r="290" spans="25:26" ht="16.350000000000001" customHeight="1" x14ac:dyDescent="0.25">
      <c r="Y290" s="221" t="str">
        <f t="shared" si="76"/>
        <v/>
      </c>
      <c r="Z290" s="221" t="str">
        <f t="shared" si="77"/>
        <v/>
      </c>
    </row>
    <row r="291" spans="25:26" ht="16.350000000000001" customHeight="1" x14ac:dyDescent="0.25">
      <c r="Y291" s="221" t="str">
        <f t="shared" si="76"/>
        <v/>
      </c>
      <c r="Z291" s="221" t="str">
        <f t="shared" si="77"/>
        <v/>
      </c>
    </row>
    <row r="292" spans="25:26" ht="16.350000000000001" customHeight="1" x14ac:dyDescent="0.25">
      <c r="Y292" s="221" t="str">
        <f t="shared" si="76"/>
        <v/>
      </c>
      <c r="Z292" s="221" t="str">
        <f t="shared" si="77"/>
        <v/>
      </c>
    </row>
    <row r="293" spans="25:26" ht="16.350000000000001" customHeight="1" x14ac:dyDescent="0.25">
      <c r="Y293" s="221" t="str">
        <f t="shared" si="76"/>
        <v/>
      </c>
      <c r="Z293" s="221" t="str">
        <f t="shared" si="77"/>
        <v/>
      </c>
    </row>
    <row r="294" spans="25:26" ht="16.350000000000001" customHeight="1" x14ac:dyDescent="0.25">
      <c r="Y294" s="221" t="str">
        <f t="shared" si="76"/>
        <v/>
      </c>
      <c r="Z294" s="221" t="str">
        <f t="shared" si="77"/>
        <v/>
      </c>
    </row>
    <row r="295" spans="25:26" ht="16.350000000000001" customHeight="1" x14ac:dyDescent="0.25">
      <c r="Y295" s="221" t="str">
        <f t="shared" si="76"/>
        <v/>
      </c>
      <c r="Z295" s="221" t="str">
        <f t="shared" si="77"/>
        <v/>
      </c>
    </row>
    <row r="296" spans="25:26" ht="16.350000000000001" customHeight="1" x14ac:dyDescent="0.25">
      <c r="Y296" s="221" t="str">
        <f t="shared" si="76"/>
        <v/>
      </c>
      <c r="Z296" s="221" t="str">
        <f t="shared" si="77"/>
        <v/>
      </c>
    </row>
    <row r="297" spans="25:26" ht="16.350000000000001" customHeight="1" x14ac:dyDescent="0.25">
      <c r="Y297" s="221" t="str">
        <f t="shared" si="76"/>
        <v/>
      </c>
      <c r="Z297" s="221" t="str">
        <f t="shared" si="77"/>
        <v/>
      </c>
    </row>
    <row r="298" spans="25:26" ht="16.350000000000001" customHeight="1" x14ac:dyDescent="0.25">
      <c r="Y298" s="221" t="str">
        <f t="shared" si="76"/>
        <v/>
      </c>
      <c r="Z298" s="221" t="str">
        <f t="shared" si="77"/>
        <v/>
      </c>
    </row>
    <row r="299" spans="25:26" ht="16.350000000000001" customHeight="1" x14ac:dyDescent="0.25">
      <c r="Y299" s="221" t="str">
        <f t="shared" si="76"/>
        <v/>
      </c>
      <c r="Z299" s="221" t="str">
        <f t="shared" si="77"/>
        <v/>
      </c>
    </row>
    <row r="300" spans="25:26" ht="16.350000000000001" customHeight="1" x14ac:dyDescent="0.25">
      <c r="Y300" s="221" t="str">
        <f t="shared" si="76"/>
        <v/>
      </c>
      <c r="Z300" s="221" t="str">
        <f t="shared" si="77"/>
        <v/>
      </c>
    </row>
    <row r="301" spans="25:26" ht="16.350000000000001" customHeight="1" x14ac:dyDescent="0.25">
      <c r="Y301" s="221" t="str">
        <f t="shared" si="76"/>
        <v/>
      </c>
      <c r="Z301" s="221" t="str">
        <f t="shared" si="77"/>
        <v/>
      </c>
    </row>
    <row r="302" spans="25:26" ht="16.350000000000001" customHeight="1" x14ac:dyDescent="0.25">
      <c r="Y302" s="221" t="str">
        <f t="shared" si="76"/>
        <v/>
      </c>
      <c r="Z302" s="221" t="str">
        <f t="shared" si="77"/>
        <v/>
      </c>
    </row>
    <row r="303" spans="25:26" ht="16.350000000000001" customHeight="1" x14ac:dyDescent="0.25">
      <c r="Y303" s="221" t="str">
        <f t="shared" si="76"/>
        <v/>
      </c>
      <c r="Z303" s="221" t="str">
        <f t="shared" si="77"/>
        <v/>
      </c>
    </row>
    <row r="304" spans="25:26" ht="16.350000000000001" customHeight="1" x14ac:dyDescent="0.25">
      <c r="Y304" s="221" t="str">
        <f t="shared" si="76"/>
        <v/>
      </c>
      <c r="Z304" s="221" t="str">
        <f t="shared" si="77"/>
        <v/>
      </c>
    </row>
    <row r="305" spans="25:26" ht="16.350000000000001" customHeight="1" x14ac:dyDescent="0.25">
      <c r="Y305" s="221" t="str">
        <f t="shared" si="76"/>
        <v/>
      </c>
      <c r="Z305" s="221" t="str">
        <f t="shared" si="77"/>
        <v/>
      </c>
    </row>
    <row r="306" spans="25:26" ht="16.350000000000001" customHeight="1" x14ac:dyDescent="0.25">
      <c r="Y306" s="221" t="str">
        <f t="shared" si="76"/>
        <v/>
      </c>
      <c r="Z306" s="221" t="str">
        <f t="shared" si="77"/>
        <v/>
      </c>
    </row>
    <row r="307" spans="25:26" ht="16.350000000000001" customHeight="1" x14ac:dyDescent="0.25">
      <c r="Y307" s="221" t="str">
        <f t="shared" si="76"/>
        <v/>
      </c>
      <c r="Z307" s="221" t="str">
        <f t="shared" si="77"/>
        <v/>
      </c>
    </row>
    <row r="308" spans="25:26" ht="16.350000000000001" customHeight="1" x14ac:dyDescent="0.25">
      <c r="Y308" s="221" t="str">
        <f t="shared" si="76"/>
        <v/>
      </c>
      <c r="Z308" s="221" t="str">
        <f t="shared" si="77"/>
        <v/>
      </c>
    </row>
    <row r="309" spans="25:26" ht="16.350000000000001" customHeight="1" x14ac:dyDescent="0.25">
      <c r="Y309" s="221" t="str">
        <f t="shared" si="76"/>
        <v/>
      </c>
      <c r="Z309" s="221" t="str">
        <f t="shared" si="77"/>
        <v/>
      </c>
    </row>
    <row r="310" spans="25:26" ht="16.350000000000001" customHeight="1" x14ac:dyDescent="0.25">
      <c r="Y310" s="221" t="str">
        <f t="shared" si="76"/>
        <v/>
      </c>
      <c r="Z310" s="221" t="str">
        <f t="shared" si="77"/>
        <v/>
      </c>
    </row>
    <row r="311" spans="25:26" ht="16.350000000000001" customHeight="1" x14ac:dyDescent="0.25">
      <c r="Y311" s="221" t="str">
        <f t="shared" si="76"/>
        <v/>
      </c>
      <c r="Z311" s="221" t="str">
        <f t="shared" si="77"/>
        <v/>
      </c>
    </row>
    <row r="312" spans="25:26" ht="16.350000000000001" customHeight="1" x14ac:dyDescent="0.25">
      <c r="Y312" s="221" t="str">
        <f t="shared" si="76"/>
        <v/>
      </c>
      <c r="Z312" s="221" t="str">
        <f t="shared" si="77"/>
        <v/>
      </c>
    </row>
    <row r="313" spans="25:26" ht="16.350000000000001" customHeight="1" x14ac:dyDescent="0.25">
      <c r="Y313" s="221" t="str">
        <f t="shared" si="76"/>
        <v/>
      </c>
      <c r="Z313" s="221" t="str">
        <f t="shared" si="77"/>
        <v/>
      </c>
    </row>
    <row r="314" spans="25:26" ht="16.350000000000001" customHeight="1" x14ac:dyDescent="0.25">
      <c r="Y314" s="221" t="str">
        <f t="shared" si="76"/>
        <v/>
      </c>
      <c r="Z314" s="221" t="str">
        <f t="shared" si="77"/>
        <v/>
      </c>
    </row>
    <row r="315" spans="25:26" ht="16.350000000000001" customHeight="1" x14ac:dyDescent="0.25">
      <c r="Y315" s="221" t="str">
        <f t="shared" si="76"/>
        <v/>
      </c>
      <c r="Z315" s="221" t="str">
        <f t="shared" si="77"/>
        <v/>
      </c>
    </row>
    <row r="316" spans="25:26" ht="16.350000000000001" customHeight="1" x14ac:dyDescent="0.25">
      <c r="Y316" s="221" t="str">
        <f t="shared" si="76"/>
        <v/>
      </c>
      <c r="Z316" s="221" t="str">
        <f t="shared" si="77"/>
        <v/>
      </c>
    </row>
    <row r="317" spans="25:26" ht="16.350000000000001" customHeight="1" x14ac:dyDescent="0.25">
      <c r="Y317" s="221" t="str">
        <f t="shared" si="76"/>
        <v/>
      </c>
      <c r="Z317" s="221" t="str">
        <f t="shared" si="77"/>
        <v/>
      </c>
    </row>
    <row r="318" spans="25:26" ht="16.350000000000001" customHeight="1" x14ac:dyDescent="0.25">
      <c r="Y318" s="221" t="str">
        <f t="shared" si="76"/>
        <v/>
      </c>
      <c r="Z318" s="221" t="str">
        <f t="shared" si="77"/>
        <v/>
      </c>
    </row>
    <row r="319" spans="25:26" ht="16.350000000000001" customHeight="1" x14ac:dyDescent="0.25">
      <c r="Y319" s="221" t="str">
        <f t="shared" si="76"/>
        <v/>
      </c>
      <c r="Z319" s="221" t="str">
        <f t="shared" si="77"/>
        <v/>
      </c>
    </row>
    <row r="320" spans="25:26" ht="16.350000000000001" customHeight="1" x14ac:dyDescent="0.25">
      <c r="Y320" s="221" t="str">
        <f t="shared" si="76"/>
        <v/>
      </c>
      <c r="Z320" s="221" t="str">
        <f t="shared" si="77"/>
        <v/>
      </c>
    </row>
    <row r="321" spans="25:26" ht="16.350000000000001" customHeight="1" x14ac:dyDescent="0.25">
      <c r="Y321" s="221" t="str">
        <f t="shared" si="76"/>
        <v/>
      </c>
      <c r="Z321" s="221" t="str">
        <f t="shared" si="77"/>
        <v/>
      </c>
    </row>
    <row r="322" spans="25:26" ht="16.350000000000001" customHeight="1" x14ac:dyDescent="0.25">
      <c r="Y322" s="221" t="str">
        <f t="shared" si="76"/>
        <v/>
      </c>
      <c r="Z322" s="221" t="str">
        <f t="shared" si="77"/>
        <v/>
      </c>
    </row>
    <row r="323" spans="25:26" ht="16.350000000000001" customHeight="1" x14ac:dyDescent="0.25">
      <c r="Y323" s="221" t="str">
        <f t="shared" si="76"/>
        <v/>
      </c>
      <c r="Z323" s="221" t="str">
        <f t="shared" si="77"/>
        <v/>
      </c>
    </row>
    <row r="324" spans="25:26" ht="16.350000000000001" customHeight="1" x14ac:dyDescent="0.25">
      <c r="Y324" s="221" t="str">
        <f t="shared" si="76"/>
        <v/>
      </c>
      <c r="Z324" s="221" t="str">
        <f t="shared" si="77"/>
        <v/>
      </c>
    </row>
    <row r="325" spans="25:26" ht="16.350000000000001" customHeight="1" x14ac:dyDescent="0.25">
      <c r="Y325" s="221" t="str">
        <f t="shared" si="76"/>
        <v/>
      </c>
      <c r="Z325" s="221" t="str">
        <f t="shared" si="77"/>
        <v/>
      </c>
    </row>
    <row r="326" spans="25:26" ht="16.350000000000001" customHeight="1" x14ac:dyDescent="0.25">
      <c r="Y326" s="221" t="str">
        <f t="shared" si="76"/>
        <v/>
      </c>
      <c r="Z326" s="221" t="str">
        <f t="shared" si="77"/>
        <v/>
      </c>
    </row>
    <row r="327" spans="25:26" ht="16.350000000000001" customHeight="1" x14ac:dyDescent="0.25">
      <c r="Y327" s="221" t="str">
        <f t="shared" si="76"/>
        <v/>
      </c>
      <c r="Z327" s="221" t="str">
        <f t="shared" si="77"/>
        <v/>
      </c>
    </row>
    <row r="328" spans="25:26" ht="16.350000000000001" customHeight="1" x14ac:dyDescent="0.25">
      <c r="Y328" s="221" t="str">
        <f t="shared" si="76"/>
        <v/>
      </c>
      <c r="Z328" s="221" t="str">
        <f t="shared" si="77"/>
        <v/>
      </c>
    </row>
    <row r="329" spans="25:26" ht="16.350000000000001" customHeight="1" x14ac:dyDescent="0.25">
      <c r="Y329" s="221" t="str">
        <f t="shared" si="76"/>
        <v/>
      </c>
      <c r="Z329" s="221" t="str">
        <f t="shared" si="77"/>
        <v/>
      </c>
    </row>
    <row r="330" spans="25:26" ht="16.350000000000001" customHeight="1" x14ac:dyDescent="0.25">
      <c r="Y330" s="221" t="str">
        <f t="shared" si="76"/>
        <v/>
      </c>
      <c r="Z330" s="221" t="str">
        <f t="shared" si="77"/>
        <v/>
      </c>
    </row>
    <row r="331" spans="25:26" ht="16.350000000000001" customHeight="1" x14ac:dyDescent="0.25">
      <c r="Y331" s="221" t="str">
        <f t="shared" si="76"/>
        <v/>
      </c>
      <c r="Z331" s="221" t="str">
        <f t="shared" si="77"/>
        <v/>
      </c>
    </row>
    <row r="332" spans="25:26" ht="16.350000000000001" customHeight="1" x14ac:dyDescent="0.25">
      <c r="Y332" s="221" t="str">
        <f t="shared" si="76"/>
        <v/>
      </c>
      <c r="Z332" s="221" t="str">
        <f t="shared" si="77"/>
        <v/>
      </c>
    </row>
    <row r="333" spans="25:26" ht="16.350000000000001" customHeight="1" x14ac:dyDescent="0.25">
      <c r="Y333" s="221" t="str">
        <f t="shared" si="76"/>
        <v/>
      </c>
      <c r="Z333" s="221" t="str">
        <f t="shared" si="77"/>
        <v/>
      </c>
    </row>
    <row r="334" spans="25:26" ht="16.350000000000001" customHeight="1" x14ac:dyDescent="0.25">
      <c r="Y334" s="221" t="str">
        <f t="shared" si="76"/>
        <v/>
      </c>
      <c r="Z334" s="221" t="str">
        <f t="shared" si="77"/>
        <v/>
      </c>
    </row>
    <row r="335" spans="25:26" ht="16.350000000000001" customHeight="1" x14ac:dyDescent="0.25">
      <c r="Y335" s="221" t="str">
        <f t="shared" si="76"/>
        <v/>
      </c>
      <c r="Z335" s="221" t="str">
        <f t="shared" si="77"/>
        <v/>
      </c>
    </row>
    <row r="336" spans="25:26" ht="16.350000000000001" customHeight="1" x14ac:dyDescent="0.25">
      <c r="Y336" s="221" t="str">
        <f t="shared" si="76"/>
        <v/>
      </c>
      <c r="Z336" s="221" t="str">
        <f t="shared" si="77"/>
        <v/>
      </c>
    </row>
    <row r="337" spans="25:26" ht="16.350000000000001" customHeight="1" x14ac:dyDescent="0.25">
      <c r="Y337" s="221" t="str">
        <f t="shared" si="76"/>
        <v/>
      </c>
      <c r="Z337" s="221" t="str">
        <f t="shared" si="77"/>
        <v/>
      </c>
    </row>
    <row r="338" spans="25:26" ht="16.350000000000001" customHeight="1" x14ac:dyDescent="0.25">
      <c r="Y338" s="221" t="str">
        <f t="shared" si="76"/>
        <v/>
      </c>
      <c r="Z338" s="221" t="str">
        <f t="shared" si="77"/>
        <v/>
      </c>
    </row>
    <row r="339" spans="25:26" ht="16.350000000000001" customHeight="1" x14ac:dyDescent="0.25">
      <c r="Y339" s="221" t="str">
        <f t="shared" si="76"/>
        <v/>
      </c>
      <c r="Z339" s="221" t="str">
        <f t="shared" si="77"/>
        <v/>
      </c>
    </row>
    <row r="340" spans="25:26" ht="16.350000000000001" customHeight="1" x14ac:dyDescent="0.25">
      <c r="Y340" s="221" t="str">
        <f t="shared" ref="Y340:Y403" si="78">IF(AA340&lt;&gt;"","NEW","")</f>
        <v/>
      </c>
      <c r="Z340" s="221" t="str">
        <f t="shared" ref="Z340:Z403" si="79">IF(AA340&lt;&gt;"",$AA$1,"")</f>
        <v/>
      </c>
    </row>
    <row r="341" spans="25:26" ht="16.350000000000001" customHeight="1" x14ac:dyDescent="0.25">
      <c r="Y341" s="221" t="str">
        <f t="shared" si="78"/>
        <v/>
      </c>
      <c r="Z341" s="221" t="str">
        <f t="shared" si="79"/>
        <v/>
      </c>
    </row>
    <row r="342" spans="25:26" ht="16.350000000000001" customHeight="1" x14ac:dyDescent="0.25">
      <c r="Y342" s="221" t="str">
        <f t="shared" si="78"/>
        <v/>
      </c>
      <c r="Z342" s="221" t="str">
        <f t="shared" si="79"/>
        <v/>
      </c>
    </row>
    <row r="343" spans="25:26" ht="16.350000000000001" customHeight="1" x14ac:dyDescent="0.25">
      <c r="Y343" s="221" t="str">
        <f t="shared" si="78"/>
        <v/>
      </c>
      <c r="Z343" s="221" t="str">
        <f t="shared" si="79"/>
        <v/>
      </c>
    </row>
    <row r="344" spans="25:26" ht="16.350000000000001" customHeight="1" x14ac:dyDescent="0.25">
      <c r="Y344" s="221" t="str">
        <f t="shared" si="78"/>
        <v/>
      </c>
      <c r="Z344" s="221" t="str">
        <f t="shared" si="79"/>
        <v/>
      </c>
    </row>
    <row r="345" spans="25:26" ht="16.350000000000001" customHeight="1" x14ac:dyDescent="0.25">
      <c r="Y345" s="221" t="str">
        <f t="shared" si="78"/>
        <v/>
      </c>
      <c r="Z345" s="221" t="str">
        <f t="shared" si="79"/>
        <v/>
      </c>
    </row>
    <row r="346" spans="25:26" ht="16.350000000000001" customHeight="1" x14ac:dyDescent="0.25">
      <c r="Y346" s="221" t="str">
        <f t="shared" si="78"/>
        <v/>
      </c>
      <c r="Z346" s="221" t="str">
        <f t="shared" si="79"/>
        <v/>
      </c>
    </row>
    <row r="347" spans="25:26" ht="16.350000000000001" customHeight="1" x14ac:dyDescent="0.25">
      <c r="Y347" s="221" t="str">
        <f t="shared" si="78"/>
        <v/>
      </c>
      <c r="Z347" s="221" t="str">
        <f t="shared" si="79"/>
        <v/>
      </c>
    </row>
    <row r="348" spans="25:26" ht="16.350000000000001" customHeight="1" x14ac:dyDescent="0.25">
      <c r="Y348" s="221" t="str">
        <f t="shared" si="78"/>
        <v/>
      </c>
      <c r="Z348" s="221" t="str">
        <f t="shared" si="79"/>
        <v/>
      </c>
    </row>
    <row r="349" spans="25:26" ht="16.350000000000001" customHeight="1" x14ac:dyDescent="0.25">
      <c r="Y349" s="221" t="str">
        <f t="shared" si="78"/>
        <v/>
      </c>
      <c r="Z349" s="221" t="str">
        <f t="shared" si="79"/>
        <v/>
      </c>
    </row>
    <row r="350" spans="25:26" ht="16.350000000000001" customHeight="1" x14ac:dyDescent="0.25">
      <c r="Y350" s="221" t="str">
        <f t="shared" si="78"/>
        <v/>
      </c>
      <c r="Z350" s="221" t="str">
        <f t="shared" si="79"/>
        <v/>
      </c>
    </row>
    <row r="351" spans="25:26" ht="16.350000000000001" customHeight="1" x14ac:dyDescent="0.25">
      <c r="Y351" s="221" t="str">
        <f t="shared" si="78"/>
        <v/>
      </c>
      <c r="Z351" s="221" t="str">
        <f t="shared" si="79"/>
        <v/>
      </c>
    </row>
    <row r="352" spans="25:26" ht="16.350000000000001" customHeight="1" x14ac:dyDescent="0.25">
      <c r="Y352" s="221" t="str">
        <f t="shared" si="78"/>
        <v/>
      </c>
      <c r="Z352" s="221" t="str">
        <f t="shared" si="79"/>
        <v/>
      </c>
    </row>
    <row r="353" spans="25:26" ht="16.350000000000001" customHeight="1" x14ac:dyDescent="0.25">
      <c r="Y353" s="221" t="str">
        <f t="shared" si="78"/>
        <v/>
      </c>
      <c r="Z353" s="221" t="str">
        <f t="shared" si="79"/>
        <v/>
      </c>
    </row>
    <row r="354" spans="25:26" ht="16.350000000000001" customHeight="1" x14ac:dyDescent="0.25">
      <c r="Y354" s="221" t="str">
        <f t="shared" si="78"/>
        <v/>
      </c>
      <c r="Z354" s="221" t="str">
        <f t="shared" si="79"/>
        <v/>
      </c>
    </row>
    <row r="355" spans="25:26" ht="16.350000000000001" customHeight="1" x14ac:dyDescent="0.25">
      <c r="Y355" s="221" t="str">
        <f t="shared" si="78"/>
        <v/>
      </c>
      <c r="Z355" s="221" t="str">
        <f t="shared" si="79"/>
        <v/>
      </c>
    </row>
    <row r="356" spans="25:26" ht="16.350000000000001" customHeight="1" x14ac:dyDescent="0.25">
      <c r="Y356" s="221" t="str">
        <f t="shared" si="78"/>
        <v/>
      </c>
      <c r="Z356" s="221" t="str">
        <f t="shared" si="79"/>
        <v/>
      </c>
    </row>
    <row r="357" spans="25:26" ht="16.350000000000001" customHeight="1" x14ac:dyDescent="0.25">
      <c r="Y357" s="221" t="str">
        <f t="shared" si="78"/>
        <v/>
      </c>
      <c r="Z357" s="221" t="str">
        <f t="shared" si="79"/>
        <v/>
      </c>
    </row>
    <row r="358" spans="25:26" ht="16.350000000000001" customHeight="1" x14ac:dyDescent="0.25">
      <c r="Y358" s="221" t="str">
        <f t="shared" si="78"/>
        <v/>
      </c>
      <c r="Z358" s="221" t="str">
        <f t="shared" si="79"/>
        <v/>
      </c>
    </row>
    <row r="359" spans="25:26" ht="16.350000000000001" customHeight="1" x14ac:dyDescent="0.25">
      <c r="Y359" s="221" t="str">
        <f t="shared" si="78"/>
        <v/>
      </c>
      <c r="Z359" s="221" t="str">
        <f t="shared" si="79"/>
        <v/>
      </c>
    </row>
    <row r="360" spans="25:26" ht="16.350000000000001" customHeight="1" x14ac:dyDescent="0.25">
      <c r="Y360" s="221" t="str">
        <f t="shared" si="78"/>
        <v/>
      </c>
      <c r="Z360" s="221" t="str">
        <f t="shared" si="79"/>
        <v/>
      </c>
    </row>
    <row r="361" spans="25:26" ht="16.350000000000001" customHeight="1" x14ac:dyDescent="0.25">
      <c r="Y361" s="221" t="str">
        <f t="shared" si="78"/>
        <v/>
      </c>
      <c r="Z361" s="221" t="str">
        <f t="shared" si="79"/>
        <v/>
      </c>
    </row>
    <row r="362" spans="25:26" ht="16.350000000000001" customHeight="1" x14ac:dyDescent="0.25">
      <c r="Y362" s="221" t="str">
        <f t="shared" si="78"/>
        <v/>
      </c>
      <c r="Z362" s="221" t="str">
        <f t="shared" si="79"/>
        <v/>
      </c>
    </row>
    <row r="363" spans="25:26" ht="16.350000000000001" customHeight="1" x14ac:dyDescent="0.25">
      <c r="Y363" s="221" t="str">
        <f t="shared" si="78"/>
        <v/>
      </c>
      <c r="Z363" s="221" t="str">
        <f t="shared" si="79"/>
        <v/>
      </c>
    </row>
    <row r="364" spans="25:26" ht="16.350000000000001" customHeight="1" x14ac:dyDescent="0.25">
      <c r="Y364" s="221" t="str">
        <f t="shared" si="78"/>
        <v/>
      </c>
      <c r="Z364" s="221" t="str">
        <f t="shared" si="79"/>
        <v/>
      </c>
    </row>
    <row r="365" spans="25:26" ht="16.350000000000001" customHeight="1" x14ac:dyDescent="0.25">
      <c r="Y365" s="221" t="str">
        <f t="shared" si="78"/>
        <v/>
      </c>
      <c r="Z365" s="221" t="str">
        <f t="shared" si="79"/>
        <v/>
      </c>
    </row>
    <row r="366" spans="25:26" ht="16.350000000000001" customHeight="1" x14ac:dyDescent="0.25">
      <c r="Y366" s="221" t="str">
        <f t="shared" si="78"/>
        <v/>
      </c>
      <c r="Z366" s="221" t="str">
        <f t="shared" si="79"/>
        <v/>
      </c>
    </row>
    <row r="367" spans="25:26" ht="16.350000000000001" customHeight="1" x14ac:dyDescent="0.25">
      <c r="Y367" s="221" t="str">
        <f t="shared" si="78"/>
        <v/>
      </c>
      <c r="Z367" s="221" t="str">
        <f t="shared" si="79"/>
        <v/>
      </c>
    </row>
    <row r="368" spans="25:26" ht="16.350000000000001" customHeight="1" x14ac:dyDescent="0.25">
      <c r="Y368" s="221" t="str">
        <f t="shared" si="78"/>
        <v/>
      </c>
      <c r="Z368" s="221" t="str">
        <f t="shared" si="79"/>
        <v/>
      </c>
    </row>
    <row r="369" spans="25:26" ht="16.350000000000001" customHeight="1" x14ac:dyDescent="0.25">
      <c r="Y369" s="221" t="str">
        <f t="shared" si="78"/>
        <v/>
      </c>
      <c r="Z369" s="221" t="str">
        <f t="shared" si="79"/>
        <v/>
      </c>
    </row>
    <row r="370" spans="25:26" ht="16.350000000000001" customHeight="1" x14ac:dyDescent="0.25">
      <c r="Y370" s="221" t="str">
        <f t="shared" si="78"/>
        <v/>
      </c>
      <c r="Z370" s="221" t="str">
        <f t="shared" si="79"/>
        <v/>
      </c>
    </row>
    <row r="371" spans="25:26" ht="16.350000000000001" customHeight="1" x14ac:dyDescent="0.25">
      <c r="Y371" s="221" t="str">
        <f t="shared" si="78"/>
        <v/>
      </c>
      <c r="Z371" s="221" t="str">
        <f t="shared" si="79"/>
        <v/>
      </c>
    </row>
    <row r="372" spans="25:26" ht="16.350000000000001" customHeight="1" x14ac:dyDescent="0.25">
      <c r="Y372" s="221" t="str">
        <f t="shared" si="78"/>
        <v/>
      </c>
      <c r="Z372" s="221" t="str">
        <f t="shared" si="79"/>
        <v/>
      </c>
    </row>
    <row r="373" spans="25:26" ht="16.350000000000001" customHeight="1" x14ac:dyDescent="0.25">
      <c r="Y373" s="221" t="str">
        <f t="shared" si="78"/>
        <v/>
      </c>
      <c r="Z373" s="221" t="str">
        <f t="shared" si="79"/>
        <v/>
      </c>
    </row>
    <row r="374" spans="25:26" ht="16.350000000000001" customHeight="1" x14ac:dyDescent="0.25">
      <c r="Y374" s="221" t="str">
        <f t="shared" si="78"/>
        <v/>
      </c>
      <c r="Z374" s="221" t="str">
        <f t="shared" si="79"/>
        <v/>
      </c>
    </row>
    <row r="375" spans="25:26" ht="16.350000000000001" customHeight="1" x14ac:dyDescent="0.25">
      <c r="Y375" s="221" t="str">
        <f t="shared" si="78"/>
        <v/>
      </c>
      <c r="Z375" s="221" t="str">
        <f t="shared" si="79"/>
        <v/>
      </c>
    </row>
    <row r="376" spans="25:26" ht="16.350000000000001" customHeight="1" x14ac:dyDescent="0.25">
      <c r="Y376" s="221" t="str">
        <f t="shared" si="78"/>
        <v/>
      </c>
      <c r="Z376" s="221" t="str">
        <f t="shared" si="79"/>
        <v/>
      </c>
    </row>
    <row r="377" spans="25:26" ht="16.350000000000001" customHeight="1" x14ac:dyDescent="0.25">
      <c r="Y377" s="221" t="str">
        <f t="shared" si="78"/>
        <v/>
      </c>
      <c r="Z377" s="221" t="str">
        <f t="shared" si="79"/>
        <v/>
      </c>
    </row>
    <row r="378" spans="25:26" ht="16.350000000000001" customHeight="1" x14ac:dyDescent="0.25">
      <c r="Y378" s="221" t="str">
        <f t="shared" si="78"/>
        <v/>
      </c>
      <c r="Z378" s="221" t="str">
        <f t="shared" si="79"/>
        <v/>
      </c>
    </row>
    <row r="379" spans="25:26" ht="16.350000000000001" customHeight="1" x14ac:dyDescent="0.25">
      <c r="Y379" s="221" t="str">
        <f t="shared" si="78"/>
        <v/>
      </c>
      <c r="Z379" s="221" t="str">
        <f t="shared" si="79"/>
        <v/>
      </c>
    </row>
    <row r="380" spans="25:26" ht="16.350000000000001" customHeight="1" x14ac:dyDescent="0.25">
      <c r="Y380" s="221" t="str">
        <f t="shared" si="78"/>
        <v/>
      </c>
      <c r="Z380" s="221" t="str">
        <f t="shared" si="79"/>
        <v/>
      </c>
    </row>
    <row r="381" spans="25:26" ht="16.350000000000001" customHeight="1" x14ac:dyDescent="0.25">
      <c r="Y381" s="221" t="str">
        <f t="shared" si="78"/>
        <v/>
      </c>
      <c r="Z381" s="221" t="str">
        <f t="shared" si="79"/>
        <v/>
      </c>
    </row>
    <row r="382" spans="25:26" ht="16.350000000000001" customHeight="1" x14ac:dyDescent="0.25">
      <c r="Y382" s="221" t="str">
        <f t="shared" si="78"/>
        <v/>
      </c>
      <c r="Z382" s="221" t="str">
        <f t="shared" si="79"/>
        <v/>
      </c>
    </row>
    <row r="383" spans="25:26" ht="16.350000000000001" customHeight="1" x14ac:dyDescent="0.25">
      <c r="Y383" s="221" t="str">
        <f t="shared" si="78"/>
        <v/>
      </c>
      <c r="Z383" s="221" t="str">
        <f t="shared" si="79"/>
        <v/>
      </c>
    </row>
    <row r="384" spans="25:26" ht="16.350000000000001" customHeight="1" x14ac:dyDescent="0.25">
      <c r="Y384" s="221" t="str">
        <f t="shared" si="78"/>
        <v/>
      </c>
      <c r="Z384" s="221" t="str">
        <f t="shared" si="79"/>
        <v/>
      </c>
    </row>
    <row r="385" spans="25:26" ht="16.350000000000001" customHeight="1" x14ac:dyDescent="0.25">
      <c r="Y385" s="221" t="str">
        <f t="shared" si="78"/>
        <v/>
      </c>
      <c r="Z385" s="221" t="str">
        <f t="shared" si="79"/>
        <v/>
      </c>
    </row>
    <row r="386" spans="25:26" ht="16.350000000000001" customHeight="1" x14ac:dyDescent="0.25">
      <c r="Y386" s="221" t="str">
        <f t="shared" si="78"/>
        <v/>
      </c>
      <c r="Z386" s="221" t="str">
        <f t="shared" si="79"/>
        <v/>
      </c>
    </row>
    <row r="387" spans="25:26" ht="16.350000000000001" customHeight="1" x14ac:dyDescent="0.25">
      <c r="Y387" s="221" t="str">
        <f t="shared" si="78"/>
        <v/>
      </c>
      <c r="Z387" s="221" t="str">
        <f t="shared" si="79"/>
        <v/>
      </c>
    </row>
    <row r="388" spans="25:26" ht="16.350000000000001" customHeight="1" x14ac:dyDescent="0.25">
      <c r="Y388" s="221" t="str">
        <f t="shared" si="78"/>
        <v/>
      </c>
      <c r="Z388" s="221" t="str">
        <f t="shared" si="79"/>
        <v/>
      </c>
    </row>
    <row r="389" spans="25:26" ht="16.350000000000001" customHeight="1" x14ac:dyDescent="0.25">
      <c r="Y389" s="221" t="str">
        <f t="shared" si="78"/>
        <v/>
      </c>
      <c r="Z389" s="221" t="str">
        <f t="shared" si="79"/>
        <v/>
      </c>
    </row>
    <row r="390" spans="25:26" ht="16.350000000000001" customHeight="1" x14ac:dyDescent="0.25">
      <c r="Y390" s="221" t="str">
        <f t="shared" si="78"/>
        <v/>
      </c>
      <c r="Z390" s="221" t="str">
        <f t="shared" si="79"/>
        <v/>
      </c>
    </row>
    <row r="391" spans="25:26" ht="16.350000000000001" customHeight="1" x14ac:dyDescent="0.25">
      <c r="Y391" s="221" t="str">
        <f t="shared" si="78"/>
        <v/>
      </c>
      <c r="Z391" s="221" t="str">
        <f t="shared" si="79"/>
        <v/>
      </c>
    </row>
    <row r="392" spans="25:26" ht="16.350000000000001" customHeight="1" x14ac:dyDescent="0.25">
      <c r="Y392" s="221" t="str">
        <f t="shared" si="78"/>
        <v/>
      </c>
      <c r="Z392" s="221" t="str">
        <f t="shared" si="79"/>
        <v/>
      </c>
    </row>
    <row r="393" spans="25:26" ht="16.350000000000001" customHeight="1" x14ac:dyDescent="0.25">
      <c r="Y393" s="221" t="str">
        <f t="shared" si="78"/>
        <v/>
      </c>
      <c r="Z393" s="221" t="str">
        <f t="shared" si="79"/>
        <v/>
      </c>
    </row>
    <row r="394" spans="25:26" ht="16.350000000000001" customHeight="1" x14ac:dyDescent="0.25">
      <c r="Y394" s="221" t="str">
        <f t="shared" si="78"/>
        <v/>
      </c>
      <c r="Z394" s="221" t="str">
        <f t="shared" si="79"/>
        <v/>
      </c>
    </row>
    <row r="395" spans="25:26" ht="16.350000000000001" customHeight="1" x14ac:dyDescent="0.25">
      <c r="Y395" s="221" t="str">
        <f t="shared" si="78"/>
        <v/>
      </c>
      <c r="Z395" s="221" t="str">
        <f t="shared" si="79"/>
        <v/>
      </c>
    </row>
    <row r="396" spans="25:26" ht="16.350000000000001" customHeight="1" x14ac:dyDescent="0.25">
      <c r="Y396" s="221" t="str">
        <f t="shared" si="78"/>
        <v/>
      </c>
      <c r="Z396" s="221" t="str">
        <f t="shared" si="79"/>
        <v/>
      </c>
    </row>
    <row r="397" spans="25:26" ht="16.350000000000001" customHeight="1" x14ac:dyDescent="0.25">
      <c r="Y397" s="221" t="str">
        <f t="shared" si="78"/>
        <v/>
      </c>
      <c r="Z397" s="221" t="str">
        <f t="shared" si="79"/>
        <v/>
      </c>
    </row>
    <row r="398" spans="25:26" ht="16.350000000000001" customHeight="1" x14ac:dyDescent="0.25">
      <c r="Y398" s="221" t="str">
        <f t="shared" si="78"/>
        <v/>
      </c>
      <c r="Z398" s="221" t="str">
        <f t="shared" si="79"/>
        <v/>
      </c>
    </row>
    <row r="399" spans="25:26" ht="16.350000000000001" customHeight="1" x14ac:dyDescent="0.25">
      <c r="Y399" s="221" t="str">
        <f t="shared" si="78"/>
        <v/>
      </c>
      <c r="Z399" s="221" t="str">
        <f t="shared" si="79"/>
        <v/>
      </c>
    </row>
    <row r="400" spans="25:26" ht="16.350000000000001" customHeight="1" x14ac:dyDescent="0.25">
      <c r="Y400" s="221" t="str">
        <f t="shared" si="78"/>
        <v/>
      </c>
      <c r="Z400" s="221" t="str">
        <f t="shared" si="79"/>
        <v/>
      </c>
    </row>
    <row r="401" spans="25:26" ht="16.350000000000001" customHeight="1" x14ac:dyDescent="0.25">
      <c r="Y401" s="221" t="str">
        <f t="shared" si="78"/>
        <v/>
      </c>
      <c r="Z401" s="221" t="str">
        <f t="shared" si="79"/>
        <v/>
      </c>
    </row>
    <row r="402" spans="25:26" ht="16.350000000000001" customHeight="1" x14ac:dyDescent="0.25">
      <c r="Y402" s="221" t="str">
        <f t="shared" si="78"/>
        <v/>
      </c>
      <c r="Z402" s="221" t="str">
        <f t="shared" si="79"/>
        <v/>
      </c>
    </row>
    <row r="403" spans="25:26" ht="16.350000000000001" customHeight="1" x14ac:dyDescent="0.25">
      <c r="Y403" s="221" t="str">
        <f t="shared" si="78"/>
        <v/>
      </c>
      <c r="Z403" s="221" t="str">
        <f t="shared" si="79"/>
        <v/>
      </c>
    </row>
    <row r="404" spans="25:26" ht="16.350000000000001" customHeight="1" x14ac:dyDescent="0.25">
      <c r="Y404" s="221" t="str">
        <f t="shared" ref="Y404:Y467" si="80">IF(AA404&lt;&gt;"","NEW","")</f>
        <v/>
      </c>
      <c r="Z404" s="221" t="str">
        <f t="shared" ref="Z404:Z467" si="81">IF(AA404&lt;&gt;"",$AA$1,"")</f>
        <v/>
      </c>
    </row>
    <row r="405" spans="25:26" ht="16.350000000000001" customHeight="1" x14ac:dyDescent="0.25">
      <c r="Y405" s="221" t="str">
        <f t="shared" si="80"/>
        <v/>
      </c>
      <c r="Z405" s="221" t="str">
        <f t="shared" si="81"/>
        <v/>
      </c>
    </row>
    <row r="406" spans="25:26" ht="16.350000000000001" customHeight="1" x14ac:dyDescent="0.25">
      <c r="Y406" s="221" t="str">
        <f t="shared" si="80"/>
        <v/>
      </c>
      <c r="Z406" s="221" t="str">
        <f t="shared" si="81"/>
        <v/>
      </c>
    </row>
    <row r="407" spans="25:26" ht="16.350000000000001" customHeight="1" x14ac:dyDescent="0.25">
      <c r="Y407" s="221" t="str">
        <f t="shared" si="80"/>
        <v/>
      </c>
      <c r="Z407" s="221" t="str">
        <f t="shared" si="81"/>
        <v/>
      </c>
    </row>
    <row r="408" spans="25:26" ht="16.350000000000001" customHeight="1" x14ac:dyDescent="0.25">
      <c r="Y408" s="221" t="str">
        <f t="shared" si="80"/>
        <v/>
      </c>
      <c r="Z408" s="221" t="str">
        <f t="shared" si="81"/>
        <v/>
      </c>
    </row>
    <row r="409" spans="25:26" ht="16.350000000000001" customHeight="1" x14ac:dyDescent="0.25">
      <c r="Y409" s="221" t="str">
        <f t="shared" si="80"/>
        <v/>
      </c>
      <c r="Z409" s="221" t="str">
        <f t="shared" si="81"/>
        <v/>
      </c>
    </row>
    <row r="410" spans="25:26" ht="16.350000000000001" customHeight="1" x14ac:dyDescent="0.25">
      <c r="Y410" s="221" t="str">
        <f t="shared" si="80"/>
        <v/>
      </c>
      <c r="Z410" s="221" t="str">
        <f t="shared" si="81"/>
        <v/>
      </c>
    </row>
    <row r="411" spans="25:26" ht="16.350000000000001" customHeight="1" x14ac:dyDescent="0.25">
      <c r="Y411" s="221" t="str">
        <f t="shared" si="80"/>
        <v/>
      </c>
      <c r="Z411" s="221" t="str">
        <f t="shared" si="81"/>
        <v/>
      </c>
    </row>
    <row r="412" spans="25:26" ht="16.350000000000001" customHeight="1" x14ac:dyDescent="0.25">
      <c r="Y412" s="221" t="str">
        <f t="shared" si="80"/>
        <v/>
      </c>
      <c r="Z412" s="221" t="str">
        <f t="shared" si="81"/>
        <v/>
      </c>
    </row>
    <row r="413" spans="25:26" ht="16.350000000000001" customHeight="1" x14ac:dyDescent="0.25">
      <c r="Y413" s="221" t="str">
        <f t="shared" si="80"/>
        <v/>
      </c>
      <c r="Z413" s="221" t="str">
        <f t="shared" si="81"/>
        <v/>
      </c>
    </row>
    <row r="414" spans="25:26" ht="16.350000000000001" customHeight="1" x14ac:dyDescent="0.25">
      <c r="Y414" s="221" t="str">
        <f t="shared" si="80"/>
        <v/>
      </c>
      <c r="Z414" s="221" t="str">
        <f t="shared" si="81"/>
        <v/>
      </c>
    </row>
    <row r="415" spans="25:26" ht="16.350000000000001" customHeight="1" x14ac:dyDescent="0.25">
      <c r="Y415" s="221" t="str">
        <f t="shared" si="80"/>
        <v/>
      </c>
      <c r="Z415" s="221" t="str">
        <f t="shared" si="81"/>
        <v/>
      </c>
    </row>
    <row r="416" spans="25:26" ht="16.350000000000001" customHeight="1" x14ac:dyDescent="0.25">
      <c r="Y416" s="221" t="str">
        <f t="shared" si="80"/>
        <v/>
      </c>
      <c r="Z416" s="221" t="str">
        <f t="shared" si="81"/>
        <v/>
      </c>
    </row>
    <row r="417" spans="25:26" ht="16.350000000000001" customHeight="1" x14ac:dyDescent="0.25">
      <c r="Y417" s="221" t="str">
        <f t="shared" si="80"/>
        <v/>
      </c>
      <c r="Z417" s="221" t="str">
        <f t="shared" si="81"/>
        <v/>
      </c>
    </row>
    <row r="418" spans="25:26" ht="16.350000000000001" customHeight="1" x14ac:dyDescent="0.25">
      <c r="Y418" s="221" t="str">
        <f t="shared" si="80"/>
        <v/>
      </c>
      <c r="Z418" s="221" t="str">
        <f t="shared" si="81"/>
        <v/>
      </c>
    </row>
    <row r="419" spans="25:26" ht="16.350000000000001" customHeight="1" x14ac:dyDescent="0.25">
      <c r="Y419" s="221" t="str">
        <f t="shared" si="80"/>
        <v/>
      </c>
      <c r="Z419" s="221" t="str">
        <f t="shared" si="81"/>
        <v/>
      </c>
    </row>
    <row r="420" spans="25:26" ht="16.350000000000001" customHeight="1" x14ac:dyDescent="0.25">
      <c r="Y420" s="221" t="str">
        <f t="shared" si="80"/>
        <v/>
      </c>
      <c r="Z420" s="221" t="str">
        <f t="shared" si="81"/>
        <v/>
      </c>
    </row>
    <row r="421" spans="25:26" ht="16.350000000000001" customHeight="1" x14ac:dyDescent="0.25">
      <c r="Y421" s="221" t="str">
        <f t="shared" si="80"/>
        <v/>
      </c>
      <c r="Z421" s="221" t="str">
        <f t="shared" si="81"/>
        <v/>
      </c>
    </row>
    <row r="422" spans="25:26" ht="16.350000000000001" customHeight="1" x14ac:dyDescent="0.25">
      <c r="Y422" s="221" t="str">
        <f t="shared" si="80"/>
        <v/>
      </c>
      <c r="Z422" s="221" t="str">
        <f t="shared" si="81"/>
        <v/>
      </c>
    </row>
    <row r="423" spans="25:26" ht="16.350000000000001" customHeight="1" x14ac:dyDescent="0.25">
      <c r="Y423" s="221" t="str">
        <f t="shared" si="80"/>
        <v/>
      </c>
      <c r="Z423" s="221" t="str">
        <f t="shared" si="81"/>
        <v/>
      </c>
    </row>
    <row r="424" spans="25:26" ht="16.350000000000001" customHeight="1" x14ac:dyDescent="0.25">
      <c r="Y424" s="221" t="str">
        <f t="shared" si="80"/>
        <v/>
      </c>
      <c r="Z424" s="221" t="str">
        <f t="shared" si="81"/>
        <v/>
      </c>
    </row>
    <row r="425" spans="25:26" ht="16.350000000000001" customHeight="1" x14ac:dyDescent="0.25">
      <c r="Y425" s="221" t="str">
        <f t="shared" si="80"/>
        <v/>
      </c>
      <c r="Z425" s="221" t="str">
        <f t="shared" si="81"/>
        <v/>
      </c>
    </row>
    <row r="426" spans="25:26" ht="16.350000000000001" customHeight="1" x14ac:dyDescent="0.25">
      <c r="Y426" s="221" t="str">
        <f t="shared" si="80"/>
        <v/>
      </c>
      <c r="Z426" s="221" t="str">
        <f t="shared" si="81"/>
        <v/>
      </c>
    </row>
    <row r="427" spans="25:26" ht="16.350000000000001" customHeight="1" x14ac:dyDescent="0.25">
      <c r="Y427" s="221" t="str">
        <f t="shared" si="80"/>
        <v/>
      </c>
      <c r="Z427" s="221" t="str">
        <f t="shared" si="81"/>
        <v/>
      </c>
    </row>
    <row r="428" spans="25:26" ht="16.350000000000001" customHeight="1" x14ac:dyDescent="0.25">
      <c r="Y428" s="221" t="str">
        <f t="shared" si="80"/>
        <v/>
      </c>
      <c r="Z428" s="221" t="str">
        <f t="shared" si="81"/>
        <v/>
      </c>
    </row>
    <row r="429" spans="25:26" ht="16.350000000000001" customHeight="1" x14ac:dyDescent="0.25">
      <c r="Y429" s="221" t="str">
        <f t="shared" si="80"/>
        <v/>
      </c>
      <c r="Z429" s="221" t="str">
        <f t="shared" si="81"/>
        <v/>
      </c>
    </row>
    <row r="430" spans="25:26" ht="16.350000000000001" customHeight="1" x14ac:dyDescent="0.25">
      <c r="Y430" s="221" t="str">
        <f t="shared" si="80"/>
        <v/>
      </c>
      <c r="Z430" s="221" t="str">
        <f t="shared" si="81"/>
        <v/>
      </c>
    </row>
    <row r="431" spans="25:26" ht="16.350000000000001" customHeight="1" x14ac:dyDescent="0.25">
      <c r="Y431" s="221" t="str">
        <f t="shared" si="80"/>
        <v/>
      </c>
      <c r="Z431" s="221" t="str">
        <f t="shared" si="81"/>
        <v/>
      </c>
    </row>
    <row r="432" spans="25:26" ht="16.350000000000001" customHeight="1" x14ac:dyDescent="0.25">
      <c r="Y432" s="221" t="str">
        <f t="shared" si="80"/>
        <v/>
      </c>
      <c r="Z432" s="221" t="str">
        <f t="shared" si="81"/>
        <v/>
      </c>
    </row>
    <row r="433" spans="25:26" ht="16.350000000000001" customHeight="1" x14ac:dyDescent="0.25">
      <c r="Y433" s="221" t="str">
        <f t="shared" si="80"/>
        <v/>
      </c>
      <c r="Z433" s="221" t="str">
        <f t="shared" si="81"/>
        <v/>
      </c>
    </row>
    <row r="434" spans="25:26" ht="16.350000000000001" customHeight="1" x14ac:dyDescent="0.25">
      <c r="Y434" s="221" t="str">
        <f t="shared" si="80"/>
        <v/>
      </c>
      <c r="Z434" s="221" t="str">
        <f t="shared" si="81"/>
        <v/>
      </c>
    </row>
    <row r="435" spans="25:26" ht="16.350000000000001" customHeight="1" x14ac:dyDescent="0.25">
      <c r="Y435" s="221" t="str">
        <f t="shared" si="80"/>
        <v/>
      </c>
      <c r="Z435" s="221" t="str">
        <f t="shared" si="81"/>
        <v/>
      </c>
    </row>
    <row r="436" spans="25:26" ht="16.350000000000001" customHeight="1" x14ac:dyDescent="0.25">
      <c r="Y436" s="221" t="str">
        <f t="shared" si="80"/>
        <v/>
      </c>
      <c r="Z436" s="221" t="str">
        <f t="shared" si="81"/>
        <v/>
      </c>
    </row>
    <row r="437" spans="25:26" ht="16.350000000000001" customHeight="1" x14ac:dyDescent="0.25">
      <c r="Y437" s="221" t="str">
        <f t="shared" si="80"/>
        <v/>
      </c>
      <c r="Z437" s="221" t="str">
        <f t="shared" si="81"/>
        <v/>
      </c>
    </row>
    <row r="438" spans="25:26" ht="16.350000000000001" customHeight="1" x14ac:dyDescent="0.25">
      <c r="Y438" s="221" t="str">
        <f t="shared" si="80"/>
        <v/>
      </c>
      <c r="Z438" s="221" t="str">
        <f t="shared" si="81"/>
        <v/>
      </c>
    </row>
    <row r="439" spans="25:26" ht="16.350000000000001" customHeight="1" x14ac:dyDescent="0.25">
      <c r="Y439" s="221" t="str">
        <f t="shared" si="80"/>
        <v/>
      </c>
      <c r="Z439" s="221" t="str">
        <f t="shared" si="81"/>
        <v/>
      </c>
    </row>
    <row r="440" spans="25:26" ht="16.350000000000001" customHeight="1" x14ac:dyDescent="0.25">
      <c r="Y440" s="221" t="str">
        <f t="shared" si="80"/>
        <v/>
      </c>
      <c r="Z440" s="221" t="str">
        <f t="shared" si="81"/>
        <v/>
      </c>
    </row>
    <row r="441" spans="25:26" ht="16.350000000000001" customHeight="1" x14ac:dyDescent="0.25">
      <c r="Y441" s="221" t="str">
        <f t="shared" si="80"/>
        <v/>
      </c>
      <c r="Z441" s="221" t="str">
        <f t="shared" si="81"/>
        <v/>
      </c>
    </row>
    <row r="442" spans="25:26" ht="16.350000000000001" customHeight="1" x14ac:dyDescent="0.25">
      <c r="Y442" s="221" t="str">
        <f t="shared" si="80"/>
        <v/>
      </c>
      <c r="Z442" s="221" t="str">
        <f t="shared" si="81"/>
        <v/>
      </c>
    </row>
    <row r="443" spans="25:26" ht="16.350000000000001" customHeight="1" x14ac:dyDescent="0.25">
      <c r="Y443" s="221" t="str">
        <f t="shared" si="80"/>
        <v/>
      </c>
      <c r="Z443" s="221" t="str">
        <f t="shared" si="81"/>
        <v/>
      </c>
    </row>
    <row r="444" spans="25:26" ht="16.350000000000001" customHeight="1" x14ac:dyDescent="0.25">
      <c r="Y444" s="221" t="str">
        <f t="shared" si="80"/>
        <v/>
      </c>
      <c r="Z444" s="221" t="str">
        <f t="shared" si="81"/>
        <v/>
      </c>
    </row>
    <row r="445" spans="25:26" ht="16.350000000000001" customHeight="1" x14ac:dyDescent="0.25">
      <c r="Y445" s="221" t="str">
        <f t="shared" si="80"/>
        <v/>
      </c>
      <c r="Z445" s="221" t="str">
        <f t="shared" si="81"/>
        <v/>
      </c>
    </row>
    <row r="446" spans="25:26" ht="16.350000000000001" customHeight="1" x14ac:dyDescent="0.25">
      <c r="Y446" s="221" t="str">
        <f t="shared" si="80"/>
        <v/>
      </c>
      <c r="Z446" s="221" t="str">
        <f t="shared" si="81"/>
        <v/>
      </c>
    </row>
    <row r="447" spans="25:26" ht="16.350000000000001" customHeight="1" x14ac:dyDescent="0.25">
      <c r="Y447" s="221" t="str">
        <f t="shared" si="80"/>
        <v/>
      </c>
      <c r="Z447" s="221" t="str">
        <f t="shared" si="81"/>
        <v/>
      </c>
    </row>
    <row r="448" spans="25:26" ht="16.350000000000001" customHeight="1" x14ac:dyDescent="0.25">
      <c r="Y448" s="221" t="str">
        <f t="shared" si="80"/>
        <v/>
      </c>
      <c r="Z448" s="221" t="str">
        <f t="shared" si="81"/>
        <v/>
      </c>
    </row>
    <row r="449" spans="25:26" ht="16.350000000000001" customHeight="1" x14ac:dyDescent="0.25">
      <c r="Y449" s="221" t="str">
        <f t="shared" si="80"/>
        <v/>
      </c>
      <c r="Z449" s="221" t="str">
        <f t="shared" si="81"/>
        <v/>
      </c>
    </row>
    <row r="450" spans="25:26" ht="16.350000000000001" customHeight="1" x14ac:dyDescent="0.25">
      <c r="Y450" s="221" t="str">
        <f t="shared" si="80"/>
        <v/>
      </c>
      <c r="Z450" s="221" t="str">
        <f t="shared" si="81"/>
        <v/>
      </c>
    </row>
    <row r="451" spans="25:26" ht="16.350000000000001" customHeight="1" x14ac:dyDescent="0.25">
      <c r="Y451" s="221" t="str">
        <f t="shared" si="80"/>
        <v/>
      </c>
      <c r="Z451" s="221" t="str">
        <f t="shared" si="81"/>
        <v/>
      </c>
    </row>
    <row r="452" spans="25:26" ht="16.350000000000001" customHeight="1" x14ac:dyDescent="0.25">
      <c r="Y452" s="221" t="str">
        <f t="shared" si="80"/>
        <v/>
      </c>
      <c r="Z452" s="221" t="str">
        <f t="shared" si="81"/>
        <v/>
      </c>
    </row>
    <row r="453" spans="25:26" ht="16.350000000000001" customHeight="1" x14ac:dyDescent="0.25">
      <c r="Y453" s="221" t="str">
        <f t="shared" si="80"/>
        <v/>
      </c>
      <c r="Z453" s="221" t="str">
        <f t="shared" si="81"/>
        <v/>
      </c>
    </row>
    <row r="454" spans="25:26" ht="16.350000000000001" customHeight="1" x14ac:dyDescent="0.25">
      <c r="Y454" s="221" t="str">
        <f t="shared" si="80"/>
        <v/>
      </c>
      <c r="Z454" s="221" t="str">
        <f t="shared" si="81"/>
        <v/>
      </c>
    </row>
    <row r="455" spans="25:26" ht="16.350000000000001" customHeight="1" x14ac:dyDescent="0.25">
      <c r="Y455" s="221" t="str">
        <f t="shared" si="80"/>
        <v/>
      </c>
      <c r="Z455" s="221" t="str">
        <f t="shared" si="81"/>
        <v/>
      </c>
    </row>
    <row r="456" spans="25:26" ht="16.350000000000001" customHeight="1" x14ac:dyDescent="0.25">
      <c r="Y456" s="221" t="str">
        <f t="shared" si="80"/>
        <v/>
      </c>
      <c r="Z456" s="221" t="str">
        <f t="shared" si="81"/>
        <v/>
      </c>
    </row>
    <row r="457" spans="25:26" ht="16.350000000000001" customHeight="1" x14ac:dyDescent="0.25">
      <c r="Y457" s="221" t="str">
        <f t="shared" si="80"/>
        <v/>
      </c>
      <c r="Z457" s="221" t="str">
        <f t="shared" si="81"/>
        <v/>
      </c>
    </row>
    <row r="458" spans="25:26" ht="16.350000000000001" customHeight="1" x14ac:dyDescent="0.25">
      <c r="Y458" s="221" t="str">
        <f t="shared" si="80"/>
        <v/>
      </c>
      <c r="Z458" s="221" t="str">
        <f t="shared" si="81"/>
        <v/>
      </c>
    </row>
    <row r="459" spans="25:26" ht="16.350000000000001" customHeight="1" x14ac:dyDescent="0.25">
      <c r="Y459" s="221" t="str">
        <f t="shared" si="80"/>
        <v/>
      </c>
      <c r="Z459" s="221" t="str">
        <f t="shared" si="81"/>
        <v/>
      </c>
    </row>
    <row r="460" spans="25:26" ht="16.350000000000001" customHeight="1" x14ac:dyDescent="0.25">
      <c r="Y460" s="221" t="str">
        <f t="shared" si="80"/>
        <v/>
      </c>
      <c r="Z460" s="221" t="str">
        <f t="shared" si="81"/>
        <v/>
      </c>
    </row>
    <row r="461" spans="25:26" ht="16.350000000000001" customHeight="1" x14ac:dyDescent="0.25">
      <c r="Y461" s="221" t="str">
        <f t="shared" si="80"/>
        <v/>
      </c>
      <c r="Z461" s="221" t="str">
        <f t="shared" si="81"/>
        <v/>
      </c>
    </row>
    <row r="462" spans="25:26" ht="16.350000000000001" customHeight="1" x14ac:dyDescent="0.25">
      <c r="Y462" s="221" t="str">
        <f t="shared" si="80"/>
        <v/>
      </c>
      <c r="Z462" s="221" t="str">
        <f t="shared" si="81"/>
        <v/>
      </c>
    </row>
    <row r="463" spans="25:26" ht="16.350000000000001" customHeight="1" x14ac:dyDescent="0.25">
      <c r="Y463" s="221" t="str">
        <f t="shared" si="80"/>
        <v/>
      </c>
      <c r="Z463" s="221" t="str">
        <f t="shared" si="81"/>
        <v/>
      </c>
    </row>
    <row r="464" spans="25:26" ht="16.350000000000001" customHeight="1" x14ac:dyDescent="0.25">
      <c r="Y464" s="221" t="str">
        <f t="shared" si="80"/>
        <v/>
      </c>
      <c r="Z464" s="221" t="str">
        <f t="shared" si="81"/>
        <v/>
      </c>
    </row>
    <row r="465" spans="25:26" ht="16.350000000000001" customHeight="1" x14ac:dyDescent="0.25">
      <c r="Y465" s="221" t="str">
        <f t="shared" si="80"/>
        <v/>
      </c>
      <c r="Z465" s="221" t="str">
        <f t="shared" si="81"/>
        <v/>
      </c>
    </row>
    <row r="466" spans="25:26" ht="16.350000000000001" customHeight="1" x14ac:dyDescent="0.25">
      <c r="Y466" s="221" t="str">
        <f t="shared" si="80"/>
        <v/>
      </c>
      <c r="Z466" s="221" t="str">
        <f t="shared" si="81"/>
        <v/>
      </c>
    </row>
    <row r="467" spans="25:26" ht="16.350000000000001" customHeight="1" x14ac:dyDescent="0.25">
      <c r="Y467" s="221" t="str">
        <f t="shared" si="80"/>
        <v/>
      </c>
      <c r="Z467" s="221" t="str">
        <f t="shared" si="81"/>
        <v/>
      </c>
    </row>
    <row r="468" spans="25:26" ht="16.350000000000001" customHeight="1" x14ac:dyDescent="0.25">
      <c r="Y468" s="221" t="str">
        <f t="shared" ref="Y468:Y531" si="82">IF(AA468&lt;&gt;"","NEW","")</f>
        <v/>
      </c>
      <c r="Z468" s="221" t="str">
        <f t="shared" ref="Z468:Z531" si="83">IF(AA468&lt;&gt;"",$AA$1,"")</f>
        <v/>
      </c>
    </row>
    <row r="469" spans="25:26" ht="16.350000000000001" customHeight="1" x14ac:dyDescent="0.25">
      <c r="Y469" s="221" t="str">
        <f t="shared" si="82"/>
        <v/>
      </c>
      <c r="Z469" s="221" t="str">
        <f t="shared" si="83"/>
        <v/>
      </c>
    </row>
    <row r="470" spans="25:26" ht="16.350000000000001" customHeight="1" x14ac:dyDescent="0.25">
      <c r="Y470" s="221" t="str">
        <f t="shared" si="82"/>
        <v/>
      </c>
      <c r="Z470" s="221" t="str">
        <f t="shared" si="83"/>
        <v/>
      </c>
    </row>
    <row r="471" spans="25:26" ht="16.350000000000001" customHeight="1" x14ac:dyDescent="0.25">
      <c r="Y471" s="221" t="str">
        <f t="shared" si="82"/>
        <v/>
      </c>
      <c r="Z471" s="221" t="str">
        <f t="shared" si="83"/>
        <v/>
      </c>
    </row>
    <row r="472" spans="25:26" ht="16.350000000000001" customHeight="1" x14ac:dyDescent="0.25">
      <c r="Y472" s="221" t="str">
        <f t="shared" si="82"/>
        <v/>
      </c>
      <c r="Z472" s="221" t="str">
        <f t="shared" si="83"/>
        <v/>
      </c>
    </row>
    <row r="473" spans="25:26" ht="16.350000000000001" customHeight="1" x14ac:dyDescent="0.25">
      <c r="Y473" s="221" t="str">
        <f t="shared" si="82"/>
        <v/>
      </c>
      <c r="Z473" s="221" t="str">
        <f t="shared" si="83"/>
        <v/>
      </c>
    </row>
    <row r="474" spans="25:26" ht="16.350000000000001" customHeight="1" x14ac:dyDescent="0.25">
      <c r="Y474" s="221" t="str">
        <f t="shared" si="82"/>
        <v/>
      </c>
      <c r="Z474" s="221" t="str">
        <f t="shared" si="83"/>
        <v/>
      </c>
    </row>
    <row r="475" spans="25:26" ht="16.350000000000001" customHeight="1" x14ac:dyDescent="0.25">
      <c r="Y475" s="221" t="str">
        <f t="shared" si="82"/>
        <v/>
      </c>
      <c r="Z475" s="221" t="str">
        <f t="shared" si="83"/>
        <v/>
      </c>
    </row>
    <row r="476" spans="25:26" ht="16.350000000000001" customHeight="1" x14ac:dyDescent="0.25">
      <c r="Y476" s="221" t="str">
        <f t="shared" si="82"/>
        <v/>
      </c>
      <c r="Z476" s="221" t="str">
        <f t="shared" si="83"/>
        <v/>
      </c>
    </row>
    <row r="477" spans="25:26" ht="16.350000000000001" customHeight="1" x14ac:dyDescent="0.25">
      <c r="Y477" s="221" t="str">
        <f t="shared" si="82"/>
        <v/>
      </c>
      <c r="Z477" s="221" t="str">
        <f t="shared" si="83"/>
        <v/>
      </c>
    </row>
    <row r="478" spans="25:26" ht="16.350000000000001" customHeight="1" x14ac:dyDescent="0.25">
      <c r="Y478" s="221" t="str">
        <f t="shared" si="82"/>
        <v/>
      </c>
      <c r="Z478" s="221" t="str">
        <f t="shared" si="83"/>
        <v/>
      </c>
    </row>
    <row r="479" spans="25:26" ht="16.350000000000001" customHeight="1" x14ac:dyDescent="0.25">
      <c r="Y479" s="221" t="str">
        <f t="shared" si="82"/>
        <v/>
      </c>
      <c r="Z479" s="221" t="str">
        <f t="shared" si="83"/>
        <v/>
      </c>
    </row>
    <row r="480" spans="25:26" ht="16.350000000000001" customHeight="1" x14ac:dyDescent="0.25">
      <c r="Y480" s="221" t="str">
        <f t="shared" si="82"/>
        <v/>
      </c>
      <c r="Z480" s="221" t="str">
        <f t="shared" si="83"/>
        <v/>
      </c>
    </row>
    <row r="481" spans="25:26" ht="16.350000000000001" customHeight="1" x14ac:dyDescent="0.25">
      <c r="Y481" s="221" t="str">
        <f t="shared" si="82"/>
        <v/>
      </c>
      <c r="Z481" s="221" t="str">
        <f t="shared" si="83"/>
        <v/>
      </c>
    </row>
    <row r="482" spans="25:26" ht="16.350000000000001" customHeight="1" x14ac:dyDescent="0.25">
      <c r="Y482" s="221" t="str">
        <f t="shared" si="82"/>
        <v/>
      </c>
      <c r="Z482" s="221" t="str">
        <f t="shared" si="83"/>
        <v/>
      </c>
    </row>
    <row r="483" spans="25:26" ht="16.350000000000001" customHeight="1" x14ac:dyDescent="0.25">
      <c r="Y483" s="221" t="str">
        <f t="shared" si="82"/>
        <v/>
      </c>
      <c r="Z483" s="221" t="str">
        <f t="shared" si="83"/>
        <v/>
      </c>
    </row>
    <row r="484" spans="25:26" ht="16.350000000000001" customHeight="1" x14ac:dyDescent="0.25">
      <c r="Y484" s="221" t="str">
        <f t="shared" si="82"/>
        <v/>
      </c>
      <c r="Z484" s="221" t="str">
        <f t="shared" si="83"/>
        <v/>
      </c>
    </row>
    <row r="485" spans="25:26" ht="16.350000000000001" customHeight="1" x14ac:dyDescent="0.25">
      <c r="Y485" s="221" t="str">
        <f t="shared" si="82"/>
        <v/>
      </c>
      <c r="Z485" s="221" t="str">
        <f t="shared" si="83"/>
        <v/>
      </c>
    </row>
    <row r="486" spans="25:26" ht="16.350000000000001" customHeight="1" x14ac:dyDescent="0.25">
      <c r="Y486" s="221" t="str">
        <f t="shared" si="82"/>
        <v/>
      </c>
      <c r="Z486" s="221" t="str">
        <f t="shared" si="83"/>
        <v/>
      </c>
    </row>
    <row r="487" spans="25:26" ht="16.350000000000001" customHeight="1" x14ac:dyDescent="0.25">
      <c r="Y487" s="221" t="str">
        <f t="shared" si="82"/>
        <v/>
      </c>
      <c r="Z487" s="221" t="str">
        <f t="shared" si="83"/>
        <v/>
      </c>
    </row>
    <row r="488" spans="25:26" ht="16.350000000000001" customHeight="1" x14ac:dyDescent="0.25">
      <c r="Y488" s="221" t="str">
        <f t="shared" si="82"/>
        <v/>
      </c>
      <c r="Z488" s="221" t="str">
        <f t="shared" si="83"/>
        <v/>
      </c>
    </row>
    <row r="489" spans="25:26" ht="16.350000000000001" customHeight="1" x14ac:dyDescent="0.25">
      <c r="Y489" s="221" t="str">
        <f t="shared" si="82"/>
        <v/>
      </c>
      <c r="Z489" s="221" t="str">
        <f t="shared" si="83"/>
        <v/>
      </c>
    </row>
    <row r="490" spans="25:26" ht="16.350000000000001" customHeight="1" x14ac:dyDescent="0.25">
      <c r="Y490" s="221" t="str">
        <f t="shared" si="82"/>
        <v/>
      </c>
      <c r="Z490" s="221" t="str">
        <f t="shared" si="83"/>
        <v/>
      </c>
    </row>
    <row r="491" spans="25:26" ht="16.350000000000001" customHeight="1" x14ac:dyDescent="0.25">
      <c r="Y491" s="221" t="str">
        <f t="shared" si="82"/>
        <v/>
      </c>
      <c r="Z491" s="221" t="str">
        <f t="shared" si="83"/>
        <v/>
      </c>
    </row>
    <row r="492" spans="25:26" ht="16.350000000000001" customHeight="1" x14ac:dyDescent="0.25">
      <c r="Y492" s="221" t="str">
        <f t="shared" si="82"/>
        <v/>
      </c>
      <c r="Z492" s="221" t="str">
        <f t="shared" si="83"/>
        <v/>
      </c>
    </row>
    <row r="493" spans="25:26" ht="16.350000000000001" customHeight="1" x14ac:dyDescent="0.25">
      <c r="Y493" s="221" t="str">
        <f t="shared" si="82"/>
        <v/>
      </c>
      <c r="Z493" s="221" t="str">
        <f t="shared" si="83"/>
        <v/>
      </c>
    </row>
    <row r="494" spans="25:26" ht="16.350000000000001" customHeight="1" x14ac:dyDescent="0.25">
      <c r="Y494" s="221" t="str">
        <f t="shared" si="82"/>
        <v/>
      </c>
      <c r="Z494" s="221" t="str">
        <f t="shared" si="83"/>
        <v/>
      </c>
    </row>
    <row r="495" spans="25:26" ht="16.350000000000001" customHeight="1" x14ac:dyDescent="0.25">
      <c r="Y495" s="221" t="str">
        <f t="shared" si="82"/>
        <v/>
      </c>
      <c r="Z495" s="221" t="str">
        <f t="shared" si="83"/>
        <v/>
      </c>
    </row>
    <row r="496" spans="25:26" ht="16.350000000000001" customHeight="1" x14ac:dyDescent="0.25">
      <c r="Y496" s="221" t="str">
        <f t="shared" si="82"/>
        <v/>
      </c>
      <c r="Z496" s="221" t="str">
        <f t="shared" si="83"/>
        <v/>
      </c>
    </row>
    <row r="497" spans="25:26" ht="16.350000000000001" customHeight="1" x14ac:dyDescent="0.25">
      <c r="Y497" s="221" t="str">
        <f t="shared" si="82"/>
        <v/>
      </c>
      <c r="Z497" s="221" t="str">
        <f t="shared" si="83"/>
        <v/>
      </c>
    </row>
    <row r="498" spans="25:26" ht="16.350000000000001" customHeight="1" x14ac:dyDescent="0.25">
      <c r="Y498" s="221" t="str">
        <f t="shared" si="82"/>
        <v/>
      </c>
      <c r="Z498" s="221" t="str">
        <f t="shared" si="83"/>
        <v/>
      </c>
    </row>
    <row r="499" spans="25:26" ht="16.350000000000001" customHeight="1" x14ac:dyDescent="0.25">
      <c r="Y499" s="221" t="str">
        <f t="shared" si="82"/>
        <v/>
      </c>
      <c r="Z499" s="221" t="str">
        <f t="shared" si="83"/>
        <v/>
      </c>
    </row>
    <row r="500" spans="25:26" ht="16.350000000000001" customHeight="1" x14ac:dyDescent="0.25">
      <c r="Y500" s="221" t="str">
        <f t="shared" si="82"/>
        <v/>
      </c>
      <c r="Z500" s="221" t="str">
        <f t="shared" si="83"/>
        <v/>
      </c>
    </row>
    <row r="501" spans="25:26" ht="16.350000000000001" customHeight="1" x14ac:dyDescent="0.25">
      <c r="Y501" s="221" t="str">
        <f t="shared" si="82"/>
        <v/>
      </c>
      <c r="Z501" s="221" t="str">
        <f t="shared" si="83"/>
        <v/>
      </c>
    </row>
    <row r="502" spans="25:26" ht="16.350000000000001" customHeight="1" x14ac:dyDescent="0.25">
      <c r="Y502" s="221" t="str">
        <f t="shared" si="82"/>
        <v/>
      </c>
      <c r="Z502" s="221" t="str">
        <f t="shared" si="83"/>
        <v/>
      </c>
    </row>
    <row r="503" spans="25:26" ht="16.350000000000001" customHeight="1" x14ac:dyDescent="0.25">
      <c r="Y503" s="221" t="str">
        <f t="shared" si="82"/>
        <v/>
      </c>
      <c r="Z503" s="221" t="str">
        <f t="shared" si="83"/>
        <v/>
      </c>
    </row>
    <row r="504" spans="25:26" ht="16.350000000000001" customHeight="1" x14ac:dyDescent="0.25">
      <c r="Y504" s="221" t="str">
        <f t="shared" si="82"/>
        <v/>
      </c>
      <c r="Z504" s="221" t="str">
        <f t="shared" si="83"/>
        <v/>
      </c>
    </row>
    <row r="505" spans="25:26" ht="16.350000000000001" customHeight="1" x14ac:dyDescent="0.25">
      <c r="Y505" s="221" t="str">
        <f t="shared" si="82"/>
        <v/>
      </c>
      <c r="Z505" s="221" t="str">
        <f t="shared" si="83"/>
        <v/>
      </c>
    </row>
    <row r="506" spans="25:26" ht="16.350000000000001" customHeight="1" x14ac:dyDescent="0.25">
      <c r="Y506" s="221" t="str">
        <f t="shared" si="82"/>
        <v/>
      </c>
      <c r="Z506" s="221" t="str">
        <f t="shared" si="83"/>
        <v/>
      </c>
    </row>
    <row r="507" spans="25:26" ht="16.350000000000001" customHeight="1" x14ac:dyDescent="0.25">
      <c r="Y507" s="221" t="str">
        <f t="shared" si="82"/>
        <v/>
      </c>
      <c r="Z507" s="221" t="str">
        <f t="shared" si="83"/>
        <v/>
      </c>
    </row>
    <row r="508" spans="25:26" ht="16.350000000000001" customHeight="1" x14ac:dyDescent="0.25">
      <c r="Y508" s="221" t="str">
        <f t="shared" si="82"/>
        <v/>
      </c>
      <c r="Z508" s="221" t="str">
        <f t="shared" si="83"/>
        <v/>
      </c>
    </row>
    <row r="509" spans="25:26" ht="16.350000000000001" customHeight="1" x14ac:dyDescent="0.25">
      <c r="Y509" s="221" t="str">
        <f t="shared" si="82"/>
        <v/>
      </c>
      <c r="Z509" s="221" t="str">
        <f t="shared" si="83"/>
        <v/>
      </c>
    </row>
    <row r="510" spans="25:26" ht="16.350000000000001" customHeight="1" x14ac:dyDescent="0.25">
      <c r="Y510" s="221" t="str">
        <f t="shared" si="82"/>
        <v/>
      </c>
      <c r="Z510" s="221" t="str">
        <f t="shared" si="83"/>
        <v/>
      </c>
    </row>
    <row r="511" spans="25:26" ht="16.350000000000001" customHeight="1" x14ac:dyDescent="0.25">
      <c r="Y511" s="221" t="str">
        <f t="shared" si="82"/>
        <v/>
      </c>
      <c r="Z511" s="221" t="str">
        <f t="shared" si="83"/>
        <v/>
      </c>
    </row>
    <row r="512" spans="25:26" ht="16.350000000000001" customHeight="1" x14ac:dyDescent="0.25">
      <c r="Y512" s="221" t="str">
        <f t="shared" si="82"/>
        <v/>
      </c>
      <c r="Z512" s="221" t="str">
        <f t="shared" si="83"/>
        <v/>
      </c>
    </row>
    <row r="513" spans="25:26" ht="16.350000000000001" customHeight="1" x14ac:dyDescent="0.25">
      <c r="Y513" s="221" t="str">
        <f t="shared" si="82"/>
        <v/>
      </c>
      <c r="Z513" s="221" t="str">
        <f t="shared" si="83"/>
        <v/>
      </c>
    </row>
    <row r="514" spans="25:26" ht="16.350000000000001" customHeight="1" x14ac:dyDescent="0.25">
      <c r="Y514" s="221" t="str">
        <f t="shared" si="82"/>
        <v/>
      </c>
      <c r="Z514" s="221" t="str">
        <f t="shared" si="83"/>
        <v/>
      </c>
    </row>
    <row r="515" spans="25:26" ht="16.350000000000001" customHeight="1" x14ac:dyDescent="0.25">
      <c r="Y515" s="221" t="str">
        <f t="shared" si="82"/>
        <v/>
      </c>
      <c r="Z515" s="221" t="str">
        <f t="shared" si="83"/>
        <v/>
      </c>
    </row>
    <row r="516" spans="25:26" ht="16.350000000000001" customHeight="1" x14ac:dyDescent="0.25">
      <c r="Y516" s="221" t="str">
        <f t="shared" si="82"/>
        <v/>
      </c>
      <c r="Z516" s="221" t="str">
        <f t="shared" si="83"/>
        <v/>
      </c>
    </row>
    <row r="517" spans="25:26" ht="16.350000000000001" customHeight="1" x14ac:dyDescent="0.25">
      <c r="Y517" s="221" t="str">
        <f t="shared" si="82"/>
        <v/>
      </c>
      <c r="Z517" s="221" t="str">
        <f t="shared" si="83"/>
        <v/>
      </c>
    </row>
    <row r="518" spans="25:26" ht="16.350000000000001" customHeight="1" x14ac:dyDescent="0.25">
      <c r="Y518" s="221" t="str">
        <f t="shared" si="82"/>
        <v/>
      </c>
      <c r="Z518" s="221" t="str">
        <f t="shared" si="83"/>
        <v/>
      </c>
    </row>
    <row r="519" spans="25:26" ht="16.350000000000001" customHeight="1" x14ac:dyDescent="0.25">
      <c r="Y519" s="221" t="str">
        <f t="shared" si="82"/>
        <v/>
      </c>
      <c r="Z519" s="221" t="str">
        <f t="shared" si="83"/>
        <v/>
      </c>
    </row>
    <row r="520" spans="25:26" ht="16.350000000000001" customHeight="1" x14ac:dyDescent="0.25">
      <c r="Y520" s="221" t="str">
        <f t="shared" si="82"/>
        <v/>
      </c>
      <c r="Z520" s="221" t="str">
        <f t="shared" si="83"/>
        <v/>
      </c>
    </row>
    <row r="521" spans="25:26" ht="16.350000000000001" customHeight="1" x14ac:dyDescent="0.25">
      <c r="Y521" s="221" t="str">
        <f t="shared" si="82"/>
        <v/>
      </c>
      <c r="Z521" s="221" t="str">
        <f t="shared" si="83"/>
        <v/>
      </c>
    </row>
    <row r="522" spans="25:26" ht="16.350000000000001" customHeight="1" x14ac:dyDescent="0.25">
      <c r="Y522" s="221" t="str">
        <f t="shared" si="82"/>
        <v/>
      </c>
      <c r="Z522" s="221" t="str">
        <f t="shared" si="83"/>
        <v/>
      </c>
    </row>
    <row r="523" spans="25:26" ht="16.350000000000001" customHeight="1" x14ac:dyDescent="0.25">
      <c r="Y523" s="221" t="str">
        <f t="shared" si="82"/>
        <v/>
      </c>
      <c r="Z523" s="221" t="str">
        <f t="shared" si="83"/>
        <v/>
      </c>
    </row>
    <row r="524" spans="25:26" ht="16.350000000000001" customHeight="1" x14ac:dyDescent="0.25">
      <c r="Y524" s="221" t="str">
        <f t="shared" si="82"/>
        <v/>
      </c>
      <c r="Z524" s="221" t="str">
        <f t="shared" si="83"/>
        <v/>
      </c>
    </row>
    <row r="525" spans="25:26" ht="16.350000000000001" customHeight="1" x14ac:dyDescent="0.25">
      <c r="Y525" s="221" t="str">
        <f t="shared" si="82"/>
        <v/>
      </c>
      <c r="Z525" s="221" t="str">
        <f t="shared" si="83"/>
        <v/>
      </c>
    </row>
    <row r="526" spans="25:26" ht="16.350000000000001" customHeight="1" x14ac:dyDescent="0.25">
      <c r="Y526" s="221" t="str">
        <f t="shared" si="82"/>
        <v/>
      </c>
      <c r="Z526" s="221" t="str">
        <f t="shared" si="83"/>
        <v/>
      </c>
    </row>
    <row r="527" spans="25:26" ht="16.350000000000001" customHeight="1" x14ac:dyDescent="0.25">
      <c r="Y527" s="221" t="str">
        <f t="shared" si="82"/>
        <v/>
      </c>
      <c r="Z527" s="221" t="str">
        <f t="shared" si="83"/>
        <v/>
      </c>
    </row>
    <row r="528" spans="25:26" ht="16.350000000000001" customHeight="1" x14ac:dyDescent="0.25">
      <c r="Y528" s="221" t="str">
        <f t="shared" si="82"/>
        <v/>
      </c>
      <c r="Z528" s="221" t="str">
        <f t="shared" si="83"/>
        <v/>
      </c>
    </row>
    <row r="529" spans="25:26" ht="16.350000000000001" customHeight="1" x14ac:dyDescent="0.25">
      <c r="Y529" s="221" t="str">
        <f t="shared" si="82"/>
        <v/>
      </c>
      <c r="Z529" s="221" t="str">
        <f t="shared" si="83"/>
        <v/>
      </c>
    </row>
    <row r="530" spans="25:26" ht="16.350000000000001" customHeight="1" x14ac:dyDescent="0.25">
      <c r="Y530" s="221" t="str">
        <f t="shared" si="82"/>
        <v/>
      </c>
      <c r="Z530" s="221" t="str">
        <f t="shared" si="83"/>
        <v/>
      </c>
    </row>
    <row r="531" spans="25:26" ht="16.350000000000001" customHeight="1" x14ac:dyDescent="0.25">
      <c r="Y531" s="221" t="str">
        <f t="shared" si="82"/>
        <v/>
      </c>
      <c r="Z531" s="221" t="str">
        <f t="shared" si="83"/>
        <v/>
      </c>
    </row>
    <row r="532" spans="25:26" ht="16.350000000000001" customHeight="1" x14ac:dyDescent="0.25">
      <c r="Y532" s="221" t="str">
        <f t="shared" ref="Y532:Y595" si="84">IF(AA532&lt;&gt;"","NEW","")</f>
        <v/>
      </c>
      <c r="Z532" s="221" t="str">
        <f t="shared" ref="Z532:Z595" si="85">IF(AA532&lt;&gt;"",$AA$1,"")</f>
        <v/>
      </c>
    </row>
    <row r="533" spans="25:26" ht="16.350000000000001" customHeight="1" x14ac:dyDescent="0.25">
      <c r="Y533" s="221" t="str">
        <f t="shared" si="84"/>
        <v/>
      </c>
      <c r="Z533" s="221" t="str">
        <f t="shared" si="85"/>
        <v/>
      </c>
    </row>
    <row r="534" spans="25:26" ht="16.350000000000001" customHeight="1" x14ac:dyDescent="0.25">
      <c r="Y534" s="221" t="str">
        <f t="shared" si="84"/>
        <v/>
      </c>
      <c r="Z534" s="221" t="str">
        <f t="shared" si="85"/>
        <v/>
      </c>
    </row>
    <row r="535" spans="25:26" ht="16.350000000000001" customHeight="1" x14ac:dyDescent="0.25">
      <c r="Y535" s="221" t="str">
        <f t="shared" si="84"/>
        <v/>
      </c>
      <c r="Z535" s="221" t="str">
        <f t="shared" si="85"/>
        <v/>
      </c>
    </row>
    <row r="536" spans="25:26" ht="16.350000000000001" customHeight="1" x14ac:dyDescent="0.25">
      <c r="Y536" s="221" t="str">
        <f t="shared" si="84"/>
        <v/>
      </c>
      <c r="Z536" s="221" t="str">
        <f t="shared" si="85"/>
        <v/>
      </c>
    </row>
    <row r="537" spans="25:26" ht="16.350000000000001" customHeight="1" x14ac:dyDescent="0.25">
      <c r="Y537" s="221" t="str">
        <f t="shared" si="84"/>
        <v/>
      </c>
      <c r="Z537" s="221" t="str">
        <f t="shared" si="85"/>
        <v/>
      </c>
    </row>
    <row r="538" spans="25:26" ht="16.350000000000001" customHeight="1" x14ac:dyDescent="0.25">
      <c r="Y538" s="221" t="str">
        <f t="shared" si="84"/>
        <v/>
      </c>
      <c r="Z538" s="221" t="str">
        <f t="shared" si="85"/>
        <v/>
      </c>
    </row>
    <row r="539" spans="25:26" ht="16.350000000000001" customHeight="1" x14ac:dyDescent="0.25">
      <c r="Y539" s="221" t="str">
        <f t="shared" si="84"/>
        <v/>
      </c>
      <c r="Z539" s="221" t="str">
        <f t="shared" si="85"/>
        <v/>
      </c>
    </row>
    <row r="540" spans="25:26" ht="16.350000000000001" customHeight="1" x14ac:dyDescent="0.25">
      <c r="Y540" s="221" t="str">
        <f t="shared" si="84"/>
        <v/>
      </c>
      <c r="Z540" s="221" t="str">
        <f t="shared" si="85"/>
        <v/>
      </c>
    </row>
    <row r="541" spans="25:26" ht="16.350000000000001" customHeight="1" x14ac:dyDescent="0.25">
      <c r="Y541" s="221" t="str">
        <f t="shared" si="84"/>
        <v/>
      </c>
      <c r="Z541" s="221" t="str">
        <f t="shared" si="85"/>
        <v/>
      </c>
    </row>
    <row r="542" spans="25:26" ht="16.350000000000001" customHeight="1" x14ac:dyDescent="0.25">
      <c r="Y542" s="221" t="str">
        <f t="shared" si="84"/>
        <v/>
      </c>
      <c r="Z542" s="221" t="str">
        <f t="shared" si="85"/>
        <v/>
      </c>
    </row>
    <row r="543" spans="25:26" ht="16.350000000000001" customHeight="1" x14ac:dyDescent="0.25">
      <c r="Y543" s="221" t="str">
        <f t="shared" si="84"/>
        <v/>
      </c>
      <c r="Z543" s="221" t="str">
        <f t="shared" si="85"/>
        <v/>
      </c>
    </row>
    <row r="544" spans="25:26" ht="16.350000000000001" customHeight="1" x14ac:dyDescent="0.25">
      <c r="Y544" s="221" t="str">
        <f t="shared" si="84"/>
        <v/>
      </c>
      <c r="Z544" s="221" t="str">
        <f t="shared" si="85"/>
        <v/>
      </c>
    </row>
    <row r="545" spans="25:26" ht="16.350000000000001" customHeight="1" x14ac:dyDescent="0.25">
      <c r="Y545" s="221" t="str">
        <f t="shared" si="84"/>
        <v/>
      </c>
      <c r="Z545" s="221" t="str">
        <f t="shared" si="85"/>
        <v/>
      </c>
    </row>
    <row r="546" spans="25:26" ht="16.350000000000001" customHeight="1" x14ac:dyDescent="0.25">
      <c r="Y546" s="221" t="str">
        <f t="shared" si="84"/>
        <v/>
      </c>
      <c r="Z546" s="221" t="str">
        <f t="shared" si="85"/>
        <v/>
      </c>
    </row>
    <row r="547" spans="25:26" ht="16.350000000000001" customHeight="1" x14ac:dyDescent="0.25">
      <c r="Y547" s="221" t="str">
        <f t="shared" si="84"/>
        <v/>
      </c>
      <c r="Z547" s="221" t="str">
        <f t="shared" si="85"/>
        <v/>
      </c>
    </row>
    <row r="548" spans="25:26" ht="16.350000000000001" customHeight="1" x14ac:dyDescent="0.25">
      <c r="Y548" s="221" t="str">
        <f t="shared" si="84"/>
        <v/>
      </c>
      <c r="Z548" s="221" t="str">
        <f t="shared" si="85"/>
        <v/>
      </c>
    </row>
    <row r="549" spans="25:26" ht="16.350000000000001" customHeight="1" x14ac:dyDescent="0.25">
      <c r="Y549" s="221" t="str">
        <f t="shared" si="84"/>
        <v/>
      </c>
      <c r="Z549" s="221" t="str">
        <f t="shared" si="85"/>
        <v/>
      </c>
    </row>
    <row r="550" spans="25:26" ht="16.350000000000001" customHeight="1" x14ac:dyDescent="0.25">
      <c r="Y550" s="221" t="str">
        <f t="shared" si="84"/>
        <v/>
      </c>
      <c r="Z550" s="221" t="str">
        <f t="shared" si="85"/>
        <v/>
      </c>
    </row>
    <row r="551" spans="25:26" ht="16.350000000000001" customHeight="1" x14ac:dyDescent="0.25">
      <c r="Y551" s="221" t="str">
        <f t="shared" si="84"/>
        <v/>
      </c>
      <c r="Z551" s="221" t="str">
        <f t="shared" si="85"/>
        <v/>
      </c>
    </row>
    <row r="552" spans="25:26" ht="16.350000000000001" customHeight="1" x14ac:dyDescent="0.25">
      <c r="Y552" s="221" t="str">
        <f t="shared" si="84"/>
        <v/>
      </c>
      <c r="Z552" s="221" t="str">
        <f t="shared" si="85"/>
        <v/>
      </c>
    </row>
    <row r="553" spans="25:26" ht="16.350000000000001" customHeight="1" x14ac:dyDescent="0.25">
      <c r="Y553" s="221" t="str">
        <f t="shared" si="84"/>
        <v/>
      </c>
      <c r="Z553" s="221" t="str">
        <f t="shared" si="85"/>
        <v/>
      </c>
    </row>
    <row r="554" spans="25:26" ht="16.350000000000001" customHeight="1" x14ac:dyDescent="0.25">
      <c r="Y554" s="221" t="str">
        <f t="shared" si="84"/>
        <v/>
      </c>
      <c r="Z554" s="221" t="str">
        <f t="shared" si="85"/>
        <v/>
      </c>
    </row>
    <row r="555" spans="25:26" ht="16.350000000000001" customHeight="1" x14ac:dyDescent="0.25">
      <c r="Y555" s="221" t="str">
        <f t="shared" si="84"/>
        <v/>
      </c>
      <c r="Z555" s="221" t="str">
        <f t="shared" si="85"/>
        <v/>
      </c>
    </row>
    <row r="556" spans="25:26" ht="16.350000000000001" customHeight="1" x14ac:dyDescent="0.25">
      <c r="Y556" s="221" t="str">
        <f t="shared" si="84"/>
        <v/>
      </c>
      <c r="Z556" s="221" t="str">
        <f t="shared" si="85"/>
        <v/>
      </c>
    </row>
    <row r="557" spans="25:26" ht="16.350000000000001" customHeight="1" x14ac:dyDescent="0.25">
      <c r="Y557" s="221" t="str">
        <f t="shared" si="84"/>
        <v/>
      </c>
      <c r="Z557" s="221" t="str">
        <f t="shared" si="85"/>
        <v/>
      </c>
    </row>
    <row r="558" spans="25:26" ht="16.350000000000001" customHeight="1" x14ac:dyDescent="0.25">
      <c r="Y558" s="221" t="str">
        <f t="shared" si="84"/>
        <v/>
      </c>
      <c r="Z558" s="221" t="str">
        <f t="shared" si="85"/>
        <v/>
      </c>
    </row>
    <row r="559" spans="25:26" ht="16.350000000000001" customHeight="1" x14ac:dyDescent="0.25">
      <c r="Y559" s="221" t="str">
        <f t="shared" si="84"/>
        <v/>
      </c>
      <c r="Z559" s="221" t="str">
        <f t="shared" si="85"/>
        <v/>
      </c>
    </row>
    <row r="560" spans="25:26" ht="16.350000000000001" customHeight="1" x14ac:dyDescent="0.25">
      <c r="Y560" s="221" t="str">
        <f t="shared" si="84"/>
        <v/>
      </c>
      <c r="Z560" s="221" t="str">
        <f t="shared" si="85"/>
        <v/>
      </c>
    </row>
    <row r="561" spans="25:26" ht="16.350000000000001" customHeight="1" x14ac:dyDescent="0.25">
      <c r="Y561" s="221" t="str">
        <f t="shared" si="84"/>
        <v/>
      </c>
      <c r="Z561" s="221" t="str">
        <f t="shared" si="85"/>
        <v/>
      </c>
    </row>
    <row r="562" spans="25:26" ht="16.350000000000001" customHeight="1" x14ac:dyDescent="0.25">
      <c r="Y562" s="221" t="str">
        <f t="shared" si="84"/>
        <v/>
      </c>
      <c r="Z562" s="221" t="str">
        <f t="shared" si="85"/>
        <v/>
      </c>
    </row>
    <row r="563" spans="25:26" ht="16.350000000000001" customHeight="1" x14ac:dyDescent="0.25">
      <c r="Y563" s="221" t="str">
        <f t="shared" si="84"/>
        <v/>
      </c>
      <c r="Z563" s="221" t="str">
        <f t="shared" si="85"/>
        <v/>
      </c>
    </row>
    <row r="564" spans="25:26" ht="16.350000000000001" customHeight="1" x14ac:dyDescent="0.25">
      <c r="Y564" s="221" t="str">
        <f t="shared" si="84"/>
        <v/>
      </c>
      <c r="Z564" s="221" t="str">
        <f t="shared" si="85"/>
        <v/>
      </c>
    </row>
    <row r="565" spans="25:26" ht="16.350000000000001" customHeight="1" x14ac:dyDescent="0.25">
      <c r="Y565" s="221" t="str">
        <f t="shared" si="84"/>
        <v/>
      </c>
      <c r="Z565" s="221" t="str">
        <f t="shared" si="85"/>
        <v/>
      </c>
    </row>
    <row r="566" spans="25:26" ht="16.350000000000001" customHeight="1" x14ac:dyDescent="0.25">
      <c r="Y566" s="221" t="str">
        <f t="shared" si="84"/>
        <v/>
      </c>
      <c r="Z566" s="221" t="str">
        <f t="shared" si="85"/>
        <v/>
      </c>
    </row>
    <row r="567" spans="25:26" ht="16.350000000000001" customHeight="1" x14ac:dyDescent="0.25">
      <c r="Y567" s="221" t="str">
        <f t="shared" si="84"/>
        <v/>
      </c>
      <c r="Z567" s="221" t="str">
        <f t="shared" si="85"/>
        <v/>
      </c>
    </row>
    <row r="568" spans="25:26" ht="16.350000000000001" customHeight="1" x14ac:dyDescent="0.25">
      <c r="Y568" s="221" t="str">
        <f t="shared" si="84"/>
        <v/>
      </c>
      <c r="Z568" s="221" t="str">
        <f t="shared" si="85"/>
        <v/>
      </c>
    </row>
    <row r="569" spans="25:26" ht="16.350000000000001" customHeight="1" x14ac:dyDescent="0.25">
      <c r="Y569" s="221" t="str">
        <f t="shared" si="84"/>
        <v/>
      </c>
      <c r="Z569" s="221" t="str">
        <f t="shared" si="85"/>
        <v/>
      </c>
    </row>
    <row r="570" spans="25:26" ht="16.350000000000001" customHeight="1" x14ac:dyDescent="0.25">
      <c r="Y570" s="221" t="str">
        <f t="shared" si="84"/>
        <v/>
      </c>
      <c r="Z570" s="221" t="str">
        <f t="shared" si="85"/>
        <v/>
      </c>
    </row>
    <row r="571" spans="25:26" ht="16.350000000000001" customHeight="1" x14ac:dyDescent="0.25">
      <c r="Y571" s="221" t="str">
        <f t="shared" si="84"/>
        <v/>
      </c>
      <c r="Z571" s="221" t="str">
        <f t="shared" si="85"/>
        <v/>
      </c>
    </row>
    <row r="572" spans="25:26" ht="16.350000000000001" customHeight="1" x14ac:dyDescent="0.25">
      <c r="Y572" s="221" t="str">
        <f t="shared" si="84"/>
        <v/>
      </c>
      <c r="Z572" s="221" t="str">
        <f t="shared" si="85"/>
        <v/>
      </c>
    </row>
    <row r="573" spans="25:26" ht="16.350000000000001" customHeight="1" x14ac:dyDescent="0.25">
      <c r="Y573" s="221" t="str">
        <f t="shared" si="84"/>
        <v/>
      </c>
      <c r="Z573" s="221" t="str">
        <f t="shared" si="85"/>
        <v/>
      </c>
    </row>
    <row r="574" spans="25:26" ht="16.350000000000001" customHeight="1" x14ac:dyDescent="0.25">
      <c r="Y574" s="221" t="str">
        <f t="shared" si="84"/>
        <v/>
      </c>
      <c r="Z574" s="221" t="str">
        <f t="shared" si="85"/>
        <v/>
      </c>
    </row>
    <row r="575" spans="25:26" ht="16.350000000000001" customHeight="1" x14ac:dyDescent="0.25">
      <c r="Y575" s="221" t="str">
        <f t="shared" si="84"/>
        <v/>
      </c>
      <c r="Z575" s="221" t="str">
        <f t="shared" si="85"/>
        <v/>
      </c>
    </row>
    <row r="576" spans="25:26" ht="16.350000000000001" customHeight="1" x14ac:dyDescent="0.25">
      <c r="Y576" s="221" t="str">
        <f t="shared" si="84"/>
        <v/>
      </c>
      <c r="Z576" s="221" t="str">
        <f t="shared" si="85"/>
        <v/>
      </c>
    </row>
    <row r="577" spans="25:26" ht="16.350000000000001" customHeight="1" x14ac:dyDescent="0.25">
      <c r="Y577" s="221" t="str">
        <f t="shared" si="84"/>
        <v/>
      </c>
      <c r="Z577" s="221" t="str">
        <f t="shared" si="85"/>
        <v/>
      </c>
    </row>
    <row r="578" spans="25:26" ht="16.350000000000001" customHeight="1" x14ac:dyDescent="0.25">
      <c r="Y578" s="221" t="str">
        <f t="shared" si="84"/>
        <v/>
      </c>
      <c r="Z578" s="221" t="str">
        <f t="shared" si="85"/>
        <v/>
      </c>
    </row>
    <row r="579" spans="25:26" ht="16.350000000000001" customHeight="1" x14ac:dyDescent="0.25">
      <c r="Y579" s="221" t="str">
        <f t="shared" si="84"/>
        <v/>
      </c>
      <c r="Z579" s="221" t="str">
        <f t="shared" si="85"/>
        <v/>
      </c>
    </row>
    <row r="580" spans="25:26" ht="16.350000000000001" customHeight="1" x14ac:dyDescent="0.25">
      <c r="Y580" s="221" t="str">
        <f t="shared" si="84"/>
        <v/>
      </c>
      <c r="Z580" s="221" t="str">
        <f t="shared" si="85"/>
        <v/>
      </c>
    </row>
    <row r="581" spans="25:26" ht="16.350000000000001" customHeight="1" x14ac:dyDescent="0.25">
      <c r="Y581" s="221" t="str">
        <f t="shared" si="84"/>
        <v/>
      </c>
      <c r="Z581" s="221" t="str">
        <f t="shared" si="85"/>
        <v/>
      </c>
    </row>
    <row r="582" spans="25:26" ht="16.350000000000001" customHeight="1" x14ac:dyDescent="0.25">
      <c r="Y582" s="221" t="str">
        <f t="shared" si="84"/>
        <v/>
      </c>
      <c r="Z582" s="221" t="str">
        <f t="shared" si="85"/>
        <v/>
      </c>
    </row>
    <row r="583" spans="25:26" ht="16.350000000000001" customHeight="1" x14ac:dyDescent="0.25">
      <c r="Y583" s="221" t="str">
        <f t="shared" si="84"/>
        <v/>
      </c>
      <c r="Z583" s="221" t="str">
        <f t="shared" si="85"/>
        <v/>
      </c>
    </row>
    <row r="584" spans="25:26" ht="16.350000000000001" customHeight="1" x14ac:dyDescent="0.25">
      <c r="Y584" s="221" t="str">
        <f t="shared" si="84"/>
        <v/>
      </c>
      <c r="Z584" s="221" t="str">
        <f t="shared" si="85"/>
        <v/>
      </c>
    </row>
    <row r="585" spans="25:26" ht="16.350000000000001" customHeight="1" x14ac:dyDescent="0.25">
      <c r="Y585" s="221" t="str">
        <f t="shared" si="84"/>
        <v/>
      </c>
      <c r="Z585" s="221" t="str">
        <f t="shared" si="85"/>
        <v/>
      </c>
    </row>
    <row r="586" spans="25:26" ht="16.350000000000001" customHeight="1" x14ac:dyDescent="0.25">
      <c r="Y586" s="221" t="str">
        <f t="shared" si="84"/>
        <v/>
      </c>
      <c r="Z586" s="221" t="str">
        <f t="shared" si="85"/>
        <v/>
      </c>
    </row>
    <row r="587" spans="25:26" ht="16.350000000000001" customHeight="1" x14ac:dyDescent="0.25">
      <c r="Y587" s="221" t="str">
        <f t="shared" si="84"/>
        <v/>
      </c>
      <c r="Z587" s="221" t="str">
        <f t="shared" si="85"/>
        <v/>
      </c>
    </row>
    <row r="588" spans="25:26" ht="16.350000000000001" customHeight="1" x14ac:dyDescent="0.25">
      <c r="Y588" s="221" t="str">
        <f t="shared" si="84"/>
        <v/>
      </c>
      <c r="Z588" s="221" t="str">
        <f t="shared" si="85"/>
        <v/>
      </c>
    </row>
    <row r="589" spans="25:26" ht="16.350000000000001" customHeight="1" x14ac:dyDescent="0.25">
      <c r="Y589" s="221" t="str">
        <f t="shared" si="84"/>
        <v/>
      </c>
      <c r="Z589" s="221" t="str">
        <f t="shared" si="85"/>
        <v/>
      </c>
    </row>
    <row r="590" spans="25:26" ht="16.350000000000001" customHeight="1" x14ac:dyDescent="0.25">
      <c r="Y590" s="221" t="str">
        <f t="shared" si="84"/>
        <v/>
      </c>
      <c r="Z590" s="221" t="str">
        <f t="shared" si="85"/>
        <v/>
      </c>
    </row>
    <row r="591" spans="25:26" ht="16.350000000000001" customHeight="1" x14ac:dyDescent="0.25">
      <c r="Y591" s="221" t="str">
        <f t="shared" si="84"/>
        <v/>
      </c>
      <c r="Z591" s="221" t="str">
        <f t="shared" si="85"/>
        <v/>
      </c>
    </row>
    <row r="592" spans="25:26" ht="16.350000000000001" customHeight="1" x14ac:dyDescent="0.25">
      <c r="Y592" s="221" t="str">
        <f t="shared" si="84"/>
        <v/>
      </c>
      <c r="Z592" s="221" t="str">
        <f t="shared" si="85"/>
        <v/>
      </c>
    </row>
    <row r="593" spans="25:26" ht="16.350000000000001" customHeight="1" x14ac:dyDescent="0.25">
      <c r="Y593" s="221" t="str">
        <f t="shared" si="84"/>
        <v/>
      </c>
      <c r="Z593" s="221" t="str">
        <f t="shared" si="85"/>
        <v/>
      </c>
    </row>
    <row r="594" spans="25:26" ht="16.350000000000001" customHeight="1" x14ac:dyDescent="0.25">
      <c r="Y594" s="221" t="str">
        <f t="shared" si="84"/>
        <v/>
      </c>
      <c r="Z594" s="221" t="str">
        <f t="shared" si="85"/>
        <v/>
      </c>
    </row>
    <row r="595" spans="25:26" ht="16.350000000000001" customHeight="1" x14ac:dyDescent="0.25">
      <c r="Y595" s="221" t="str">
        <f t="shared" si="84"/>
        <v/>
      </c>
      <c r="Z595" s="221" t="str">
        <f t="shared" si="85"/>
        <v/>
      </c>
    </row>
    <row r="596" spans="25:26" ht="16.350000000000001" customHeight="1" x14ac:dyDescent="0.25">
      <c r="Y596" s="221" t="str">
        <f t="shared" ref="Y596:Y659" si="86">IF(AA596&lt;&gt;"","NEW","")</f>
        <v/>
      </c>
      <c r="Z596" s="221" t="str">
        <f t="shared" ref="Z596:Z659" si="87">IF(AA596&lt;&gt;"",$AA$1,"")</f>
        <v/>
      </c>
    </row>
    <row r="597" spans="25:26" ht="16.350000000000001" customHeight="1" x14ac:dyDescent="0.25">
      <c r="Y597" s="221" t="str">
        <f t="shared" si="86"/>
        <v/>
      </c>
      <c r="Z597" s="221" t="str">
        <f t="shared" si="87"/>
        <v/>
      </c>
    </row>
    <row r="598" spans="25:26" ht="16.350000000000001" customHeight="1" x14ac:dyDescent="0.25">
      <c r="Y598" s="221" t="str">
        <f t="shared" si="86"/>
        <v/>
      </c>
      <c r="Z598" s="221" t="str">
        <f t="shared" si="87"/>
        <v/>
      </c>
    </row>
    <row r="599" spans="25:26" ht="16.350000000000001" customHeight="1" x14ac:dyDescent="0.25">
      <c r="Y599" s="221" t="str">
        <f t="shared" si="86"/>
        <v/>
      </c>
      <c r="Z599" s="221" t="str">
        <f t="shared" si="87"/>
        <v/>
      </c>
    </row>
    <row r="600" spans="25:26" ht="16.350000000000001" customHeight="1" x14ac:dyDescent="0.25">
      <c r="Y600" s="221" t="str">
        <f t="shared" si="86"/>
        <v/>
      </c>
      <c r="Z600" s="221" t="str">
        <f t="shared" si="87"/>
        <v/>
      </c>
    </row>
    <row r="601" spans="25:26" ht="16.350000000000001" customHeight="1" x14ac:dyDescent="0.25">
      <c r="Y601" s="221" t="str">
        <f t="shared" si="86"/>
        <v/>
      </c>
      <c r="Z601" s="221" t="str">
        <f t="shared" si="87"/>
        <v/>
      </c>
    </row>
    <row r="602" spans="25:26" ht="16.350000000000001" customHeight="1" x14ac:dyDescent="0.25">
      <c r="Y602" s="221" t="str">
        <f t="shared" si="86"/>
        <v/>
      </c>
      <c r="Z602" s="221" t="str">
        <f t="shared" si="87"/>
        <v/>
      </c>
    </row>
    <row r="603" spans="25:26" ht="16.350000000000001" customHeight="1" x14ac:dyDescent="0.25">
      <c r="Y603" s="221" t="str">
        <f t="shared" si="86"/>
        <v/>
      </c>
      <c r="Z603" s="221" t="str">
        <f t="shared" si="87"/>
        <v/>
      </c>
    </row>
    <row r="604" spans="25:26" ht="16.350000000000001" customHeight="1" x14ac:dyDescent="0.25">
      <c r="Y604" s="221" t="str">
        <f t="shared" si="86"/>
        <v/>
      </c>
      <c r="Z604" s="221" t="str">
        <f t="shared" si="87"/>
        <v/>
      </c>
    </row>
    <row r="605" spans="25:26" ht="16.350000000000001" customHeight="1" x14ac:dyDescent="0.25">
      <c r="Y605" s="221" t="str">
        <f t="shared" si="86"/>
        <v/>
      </c>
      <c r="Z605" s="221" t="str">
        <f t="shared" si="87"/>
        <v/>
      </c>
    </row>
    <row r="606" spans="25:26" ht="16.350000000000001" customHeight="1" x14ac:dyDescent="0.25">
      <c r="Y606" s="221" t="str">
        <f t="shared" si="86"/>
        <v/>
      </c>
      <c r="Z606" s="221" t="str">
        <f t="shared" si="87"/>
        <v/>
      </c>
    </row>
    <row r="607" spans="25:26" ht="16.350000000000001" customHeight="1" x14ac:dyDescent="0.25">
      <c r="Y607" s="221" t="str">
        <f t="shared" si="86"/>
        <v/>
      </c>
      <c r="Z607" s="221" t="str">
        <f t="shared" si="87"/>
        <v/>
      </c>
    </row>
    <row r="608" spans="25:26" ht="16.350000000000001" customHeight="1" x14ac:dyDescent="0.25">
      <c r="Y608" s="221" t="str">
        <f t="shared" si="86"/>
        <v/>
      </c>
      <c r="Z608" s="221" t="str">
        <f t="shared" si="87"/>
        <v/>
      </c>
    </row>
    <row r="609" spans="25:26" ht="16.350000000000001" customHeight="1" x14ac:dyDescent="0.25">
      <c r="Y609" s="221" t="str">
        <f t="shared" si="86"/>
        <v/>
      </c>
      <c r="Z609" s="221" t="str">
        <f t="shared" si="87"/>
        <v/>
      </c>
    </row>
    <row r="610" spans="25:26" ht="16.350000000000001" customHeight="1" x14ac:dyDescent="0.25">
      <c r="Y610" s="221" t="str">
        <f t="shared" si="86"/>
        <v/>
      </c>
      <c r="Z610" s="221" t="str">
        <f t="shared" si="87"/>
        <v/>
      </c>
    </row>
    <row r="611" spans="25:26" ht="16.350000000000001" customHeight="1" x14ac:dyDescent="0.25">
      <c r="Y611" s="221" t="str">
        <f t="shared" si="86"/>
        <v/>
      </c>
      <c r="Z611" s="221" t="str">
        <f t="shared" si="87"/>
        <v/>
      </c>
    </row>
    <row r="612" spans="25:26" ht="16.350000000000001" customHeight="1" x14ac:dyDescent="0.25">
      <c r="Y612" s="221" t="str">
        <f t="shared" si="86"/>
        <v/>
      </c>
      <c r="Z612" s="221" t="str">
        <f t="shared" si="87"/>
        <v/>
      </c>
    </row>
    <row r="613" spans="25:26" ht="16.350000000000001" customHeight="1" x14ac:dyDescent="0.25">
      <c r="Y613" s="221" t="str">
        <f t="shared" si="86"/>
        <v/>
      </c>
      <c r="Z613" s="221" t="str">
        <f t="shared" si="87"/>
        <v/>
      </c>
    </row>
    <row r="614" spans="25:26" ht="16.350000000000001" customHeight="1" x14ac:dyDescent="0.25">
      <c r="Y614" s="221" t="str">
        <f t="shared" si="86"/>
        <v/>
      </c>
      <c r="Z614" s="221" t="str">
        <f t="shared" si="87"/>
        <v/>
      </c>
    </row>
    <row r="615" spans="25:26" ht="16.350000000000001" customHeight="1" x14ac:dyDescent="0.25">
      <c r="Y615" s="221" t="str">
        <f t="shared" si="86"/>
        <v/>
      </c>
      <c r="Z615" s="221" t="str">
        <f t="shared" si="87"/>
        <v/>
      </c>
    </row>
    <row r="616" spans="25:26" ht="16.350000000000001" customHeight="1" x14ac:dyDescent="0.25">
      <c r="Y616" s="221" t="str">
        <f t="shared" si="86"/>
        <v/>
      </c>
      <c r="Z616" s="221" t="str">
        <f t="shared" si="87"/>
        <v/>
      </c>
    </row>
    <row r="617" spans="25:26" ht="16.350000000000001" customHeight="1" x14ac:dyDescent="0.25">
      <c r="Y617" s="221" t="str">
        <f t="shared" si="86"/>
        <v/>
      </c>
      <c r="Z617" s="221" t="str">
        <f t="shared" si="87"/>
        <v/>
      </c>
    </row>
    <row r="618" spans="25:26" ht="16.350000000000001" customHeight="1" x14ac:dyDescent="0.25">
      <c r="Y618" s="221" t="str">
        <f t="shared" si="86"/>
        <v/>
      </c>
      <c r="Z618" s="221" t="str">
        <f t="shared" si="87"/>
        <v/>
      </c>
    </row>
    <row r="619" spans="25:26" ht="16.350000000000001" customHeight="1" x14ac:dyDescent="0.25">
      <c r="Y619" s="221" t="str">
        <f t="shared" si="86"/>
        <v/>
      </c>
      <c r="Z619" s="221" t="str">
        <f t="shared" si="87"/>
        <v/>
      </c>
    </row>
    <row r="620" spans="25:26" ht="16.350000000000001" customHeight="1" x14ac:dyDescent="0.25">
      <c r="Y620" s="221" t="str">
        <f t="shared" si="86"/>
        <v/>
      </c>
      <c r="Z620" s="221" t="str">
        <f t="shared" si="87"/>
        <v/>
      </c>
    </row>
    <row r="621" spans="25:26" ht="16.350000000000001" customHeight="1" x14ac:dyDescent="0.25">
      <c r="Y621" s="221" t="str">
        <f t="shared" si="86"/>
        <v/>
      </c>
      <c r="Z621" s="221" t="str">
        <f t="shared" si="87"/>
        <v/>
      </c>
    </row>
    <row r="622" spans="25:26" ht="16.350000000000001" customHeight="1" x14ac:dyDescent="0.25">
      <c r="Y622" s="221" t="str">
        <f t="shared" si="86"/>
        <v/>
      </c>
      <c r="Z622" s="221" t="str">
        <f t="shared" si="87"/>
        <v/>
      </c>
    </row>
    <row r="623" spans="25:26" ht="16.350000000000001" customHeight="1" x14ac:dyDescent="0.25">
      <c r="Y623" s="221" t="str">
        <f t="shared" si="86"/>
        <v/>
      </c>
      <c r="Z623" s="221" t="str">
        <f t="shared" si="87"/>
        <v/>
      </c>
    </row>
    <row r="624" spans="25:26" ht="16.350000000000001" customHeight="1" x14ac:dyDescent="0.25">
      <c r="Y624" s="221" t="str">
        <f t="shared" si="86"/>
        <v/>
      </c>
      <c r="Z624" s="221" t="str">
        <f t="shared" si="87"/>
        <v/>
      </c>
    </row>
    <row r="625" spans="25:26" ht="16.350000000000001" customHeight="1" x14ac:dyDescent="0.25">
      <c r="Y625" s="221" t="str">
        <f t="shared" si="86"/>
        <v/>
      </c>
      <c r="Z625" s="221" t="str">
        <f t="shared" si="87"/>
        <v/>
      </c>
    </row>
    <row r="626" spans="25:26" ht="16.350000000000001" customHeight="1" x14ac:dyDescent="0.25">
      <c r="Y626" s="221" t="str">
        <f t="shared" si="86"/>
        <v/>
      </c>
      <c r="Z626" s="221" t="str">
        <f t="shared" si="87"/>
        <v/>
      </c>
    </row>
    <row r="627" spans="25:26" ht="16.350000000000001" customHeight="1" x14ac:dyDescent="0.25">
      <c r="Y627" s="221" t="str">
        <f t="shared" si="86"/>
        <v/>
      </c>
      <c r="Z627" s="221" t="str">
        <f t="shared" si="87"/>
        <v/>
      </c>
    </row>
    <row r="628" spans="25:26" ht="16.350000000000001" customHeight="1" x14ac:dyDescent="0.25">
      <c r="Y628" s="221" t="str">
        <f t="shared" si="86"/>
        <v/>
      </c>
      <c r="Z628" s="221" t="str">
        <f t="shared" si="87"/>
        <v/>
      </c>
    </row>
    <row r="629" spans="25:26" ht="16.350000000000001" customHeight="1" x14ac:dyDescent="0.25">
      <c r="Y629" s="221" t="str">
        <f t="shared" si="86"/>
        <v/>
      </c>
      <c r="Z629" s="221" t="str">
        <f t="shared" si="87"/>
        <v/>
      </c>
    </row>
    <row r="630" spans="25:26" ht="16.350000000000001" customHeight="1" x14ac:dyDescent="0.25">
      <c r="Y630" s="221" t="str">
        <f t="shared" si="86"/>
        <v/>
      </c>
      <c r="Z630" s="221" t="str">
        <f t="shared" si="87"/>
        <v/>
      </c>
    </row>
    <row r="631" spans="25:26" ht="16.350000000000001" customHeight="1" x14ac:dyDescent="0.25">
      <c r="Y631" s="221" t="str">
        <f t="shared" si="86"/>
        <v/>
      </c>
      <c r="Z631" s="221" t="str">
        <f t="shared" si="87"/>
        <v/>
      </c>
    </row>
    <row r="632" spans="25:26" ht="16.350000000000001" customHeight="1" x14ac:dyDescent="0.25">
      <c r="Y632" s="221" t="str">
        <f t="shared" si="86"/>
        <v/>
      </c>
      <c r="Z632" s="221" t="str">
        <f t="shared" si="87"/>
        <v/>
      </c>
    </row>
    <row r="633" spans="25:26" ht="16.350000000000001" customHeight="1" x14ac:dyDescent="0.25">
      <c r="Y633" s="221" t="str">
        <f t="shared" si="86"/>
        <v/>
      </c>
      <c r="Z633" s="221" t="str">
        <f t="shared" si="87"/>
        <v/>
      </c>
    </row>
    <row r="634" spans="25:26" ht="16.350000000000001" customHeight="1" x14ac:dyDescent="0.25">
      <c r="Y634" s="221" t="str">
        <f t="shared" si="86"/>
        <v/>
      </c>
      <c r="Z634" s="221" t="str">
        <f t="shared" si="87"/>
        <v/>
      </c>
    </row>
    <row r="635" spans="25:26" ht="16.350000000000001" customHeight="1" x14ac:dyDescent="0.25">
      <c r="Y635" s="221" t="str">
        <f t="shared" si="86"/>
        <v/>
      </c>
      <c r="Z635" s="221" t="str">
        <f t="shared" si="87"/>
        <v/>
      </c>
    </row>
    <row r="636" spans="25:26" ht="16.350000000000001" customHeight="1" x14ac:dyDescent="0.25">
      <c r="Y636" s="221" t="str">
        <f t="shared" si="86"/>
        <v/>
      </c>
      <c r="Z636" s="221" t="str">
        <f t="shared" si="87"/>
        <v/>
      </c>
    </row>
    <row r="637" spans="25:26" ht="16.350000000000001" customHeight="1" x14ac:dyDescent="0.25">
      <c r="Y637" s="221" t="str">
        <f t="shared" si="86"/>
        <v/>
      </c>
      <c r="Z637" s="221" t="str">
        <f t="shared" si="87"/>
        <v/>
      </c>
    </row>
    <row r="638" spans="25:26" ht="16.350000000000001" customHeight="1" x14ac:dyDescent="0.25">
      <c r="Y638" s="221" t="str">
        <f t="shared" si="86"/>
        <v/>
      </c>
      <c r="Z638" s="221" t="str">
        <f t="shared" si="87"/>
        <v/>
      </c>
    </row>
    <row r="639" spans="25:26" ht="16.350000000000001" customHeight="1" x14ac:dyDescent="0.25">
      <c r="Y639" s="221" t="str">
        <f t="shared" si="86"/>
        <v/>
      </c>
      <c r="Z639" s="221" t="str">
        <f t="shared" si="87"/>
        <v/>
      </c>
    </row>
    <row r="640" spans="25:26" ht="16.350000000000001" customHeight="1" x14ac:dyDescent="0.25">
      <c r="Y640" s="221" t="str">
        <f t="shared" si="86"/>
        <v/>
      </c>
      <c r="Z640" s="221" t="str">
        <f t="shared" si="87"/>
        <v/>
      </c>
    </row>
    <row r="641" spans="25:26" ht="16.350000000000001" customHeight="1" x14ac:dyDescent="0.25">
      <c r="Y641" s="221" t="str">
        <f t="shared" si="86"/>
        <v/>
      </c>
      <c r="Z641" s="221" t="str">
        <f t="shared" si="87"/>
        <v/>
      </c>
    </row>
    <row r="642" spans="25:26" ht="16.350000000000001" customHeight="1" x14ac:dyDescent="0.25">
      <c r="Y642" s="221" t="str">
        <f t="shared" si="86"/>
        <v/>
      </c>
      <c r="Z642" s="221" t="str">
        <f t="shared" si="87"/>
        <v/>
      </c>
    </row>
    <row r="643" spans="25:26" ht="16.350000000000001" customHeight="1" x14ac:dyDescent="0.25">
      <c r="Y643" s="221" t="str">
        <f t="shared" si="86"/>
        <v/>
      </c>
      <c r="Z643" s="221" t="str">
        <f t="shared" si="87"/>
        <v/>
      </c>
    </row>
    <row r="644" spans="25:26" ht="16.350000000000001" customHeight="1" x14ac:dyDescent="0.25">
      <c r="Y644" s="221" t="str">
        <f t="shared" si="86"/>
        <v/>
      </c>
      <c r="Z644" s="221" t="str">
        <f t="shared" si="87"/>
        <v/>
      </c>
    </row>
    <row r="645" spans="25:26" ht="16.350000000000001" customHeight="1" x14ac:dyDescent="0.25">
      <c r="Y645" s="221" t="str">
        <f t="shared" si="86"/>
        <v/>
      </c>
      <c r="Z645" s="221" t="str">
        <f t="shared" si="87"/>
        <v/>
      </c>
    </row>
    <row r="646" spans="25:26" ht="16.350000000000001" customHeight="1" x14ac:dyDescent="0.25">
      <c r="Y646" s="221" t="str">
        <f t="shared" si="86"/>
        <v/>
      </c>
      <c r="Z646" s="221" t="str">
        <f t="shared" si="87"/>
        <v/>
      </c>
    </row>
    <row r="647" spans="25:26" ht="16.350000000000001" customHeight="1" x14ac:dyDescent="0.25">
      <c r="Y647" s="221" t="str">
        <f t="shared" si="86"/>
        <v/>
      </c>
      <c r="Z647" s="221" t="str">
        <f t="shared" si="87"/>
        <v/>
      </c>
    </row>
    <row r="648" spans="25:26" ht="16.350000000000001" customHeight="1" x14ac:dyDescent="0.25">
      <c r="Y648" s="221" t="str">
        <f t="shared" si="86"/>
        <v/>
      </c>
      <c r="Z648" s="221" t="str">
        <f t="shared" si="87"/>
        <v/>
      </c>
    </row>
    <row r="649" spans="25:26" ht="16.350000000000001" customHeight="1" x14ac:dyDescent="0.25">
      <c r="Y649" s="221" t="str">
        <f t="shared" si="86"/>
        <v/>
      </c>
      <c r="Z649" s="221" t="str">
        <f t="shared" si="87"/>
        <v/>
      </c>
    </row>
    <row r="650" spans="25:26" ht="16.350000000000001" customHeight="1" x14ac:dyDescent="0.25">
      <c r="Y650" s="221" t="str">
        <f t="shared" si="86"/>
        <v/>
      </c>
      <c r="Z650" s="221" t="str">
        <f t="shared" si="87"/>
        <v/>
      </c>
    </row>
    <row r="651" spans="25:26" ht="16.350000000000001" customHeight="1" x14ac:dyDescent="0.25">
      <c r="Y651" s="221" t="str">
        <f t="shared" si="86"/>
        <v/>
      </c>
      <c r="Z651" s="221" t="str">
        <f t="shared" si="87"/>
        <v/>
      </c>
    </row>
    <row r="652" spans="25:26" ht="16.350000000000001" customHeight="1" x14ac:dyDescent="0.25">
      <c r="Y652" s="221" t="str">
        <f t="shared" si="86"/>
        <v/>
      </c>
      <c r="Z652" s="221" t="str">
        <f t="shared" si="87"/>
        <v/>
      </c>
    </row>
    <row r="653" spans="25:26" ht="16.350000000000001" customHeight="1" x14ac:dyDescent="0.25">
      <c r="Y653" s="221" t="str">
        <f t="shared" si="86"/>
        <v/>
      </c>
      <c r="Z653" s="221" t="str">
        <f t="shared" si="87"/>
        <v/>
      </c>
    </row>
    <row r="654" spans="25:26" ht="16.350000000000001" customHeight="1" x14ac:dyDescent="0.25">
      <c r="Y654" s="221" t="str">
        <f t="shared" si="86"/>
        <v/>
      </c>
      <c r="Z654" s="221" t="str">
        <f t="shared" si="87"/>
        <v/>
      </c>
    </row>
    <row r="655" spans="25:26" ht="16.350000000000001" customHeight="1" x14ac:dyDescent="0.25">
      <c r="Y655" s="221" t="str">
        <f t="shared" si="86"/>
        <v/>
      </c>
      <c r="Z655" s="221" t="str">
        <f t="shared" si="87"/>
        <v/>
      </c>
    </row>
    <row r="656" spans="25:26" ht="16.350000000000001" customHeight="1" x14ac:dyDescent="0.25">
      <c r="Y656" s="221" t="str">
        <f t="shared" si="86"/>
        <v/>
      </c>
      <c r="Z656" s="221" t="str">
        <f t="shared" si="87"/>
        <v/>
      </c>
    </row>
    <row r="657" spans="25:26" ht="16.350000000000001" customHeight="1" x14ac:dyDescent="0.25">
      <c r="Y657" s="221" t="str">
        <f t="shared" si="86"/>
        <v/>
      </c>
      <c r="Z657" s="221" t="str">
        <f t="shared" si="87"/>
        <v/>
      </c>
    </row>
    <row r="658" spans="25:26" ht="16.350000000000001" customHeight="1" x14ac:dyDescent="0.25">
      <c r="Y658" s="221" t="str">
        <f t="shared" si="86"/>
        <v/>
      </c>
      <c r="Z658" s="221" t="str">
        <f t="shared" si="87"/>
        <v/>
      </c>
    </row>
    <row r="659" spans="25:26" ht="16.350000000000001" customHeight="1" x14ac:dyDescent="0.25">
      <c r="Y659" s="221" t="str">
        <f t="shared" si="86"/>
        <v/>
      </c>
      <c r="Z659" s="221" t="str">
        <f t="shared" si="87"/>
        <v/>
      </c>
    </row>
    <row r="660" spans="25:26" ht="16.350000000000001" customHeight="1" x14ac:dyDescent="0.25">
      <c r="Y660" s="221" t="str">
        <f t="shared" ref="Y660:Y723" si="88">IF(AA660&lt;&gt;"","NEW","")</f>
        <v/>
      </c>
      <c r="Z660" s="221" t="str">
        <f t="shared" ref="Z660:Z723" si="89">IF(AA660&lt;&gt;"",$AA$1,"")</f>
        <v/>
      </c>
    </row>
    <row r="661" spans="25:26" ht="16.350000000000001" customHeight="1" x14ac:dyDescent="0.25">
      <c r="Y661" s="221" t="str">
        <f t="shared" si="88"/>
        <v/>
      </c>
      <c r="Z661" s="221" t="str">
        <f t="shared" si="89"/>
        <v/>
      </c>
    </row>
    <row r="662" spans="25:26" ht="16.350000000000001" customHeight="1" x14ac:dyDescent="0.25">
      <c r="Y662" s="221" t="str">
        <f t="shared" si="88"/>
        <v/>
      </c>
      <c r="Z662" s="221" t="str">
        <f t="shared" si="89"/>
        <v/>
      </c>
    </row>
    <row r="663" spans="25:26" ht="16.350000000000001" customHeight="1" x14ac:dyDescent="0.25">
      <c r="Y663" s="221" t="str">
        <f t="shared" si="88"/>
        <v/>
      </c>
      <c r="Z663" s="221" t="str">
        <f t="shared" si="89"/>
        <v/>
      </c>
    </row>
    <row r="664" spans="25:26" ht="16.350000000000001" customHeight="1" x14ac:dyDescent="0.25">
      <c r="Y664" s="221" t="str">
        <f t="shared" si="88"/>
        <v/>
      </c>
      <c r="Z664" s="221" t="str">
        <f t="shared" si="89"/>
        <v/>
      </c>
    </row>
    <row r="665" spans="25:26" ht="16.350000000000001" customHeight="1" x14ac:dyDescent="0.25">
      <c r="Y665" s="221" t="str">
        <f t="shared" si="88"/>
        <v/>
      </c>
      <c r="Z665" s="221" t="str">
        <f t="shared" si="89"/>
        <v/>
      </c>
    </row>
    <row r="666" spans="25:26" ht="16.350000000000001" customHeight="1" x14ac:dyDescent="0.25">
      <c r="Y666" s="221" t="str">
        <f t="shared" si="88"/>
        <v/>
      </c>
      <c r="Z666" s="221" t="str">
        <f t="shared" si="89"/>
        <v/>
      </c>
    </row>
    <row r="667" spans="25:26" ht="16.350000000000001" customHeight="1" x14ac:dyDescent="0.25">
      <c r="Y667" s="221" t="str">
        <f t="shared" si="88"/>
        <v/>
      </c>
      <c r="Z667" s="221" t="str">
        <f t="shared" si="89"/>
        <v/>
      </c>
    </row>
    <row r="668" spans="25:26" ht="16.350000000000001" customHeight="1" x14ac:dyDescent="0.25">
      <c r="Y668" s="221" t="str">
        <f t="shared" si="88"/>
        <v/>
      </c>
      <c r="Z668" s="221" t="str">
        <f t="shared" si="89"/>
        <v/>
      </c>
    </row>
    <row r="669" spans="25:26" ht="16.350000000000001" customHeight="1" x14ac:dyDescent="0.25">
      <c r="Y669" s="221" t="str">
        <f t="shared" si="88"/>
        <v/>
      </c>
      <c r="Z669" s="221" t="str">
        <f t="shared" si="89"/>
        <v/>
      </c>
    </row>
    <row r="670" spans="25:26" ht="16.350000000000001" customHeight="1" x14ac:dyDescent="0.25">
      <c r="Y670" s="221" t="str">
        <f t="shared" si="88"/>
        <v/>
      </c>
      <c r="Z670" s="221" t="str">
        <f t="shared" si="89"/>
        <v/>
      </c>
    </row>
    <row r="671" spans="25:26" ht="16.350000000000001" customHeight="1" x14ac:dyDescent="0.25">
      <c r="Y671" s="221" t="str">
        <f t="shared" si="88"/>
        <v/>
      </c>
      <c r="Z671" s="221" t="str">
        <f t="shared" si="89"/>
        <v/>
      </c>
    </row>
    <row r="672" spans="25:26" ht="16.350000000000001" customHeight="1" x14ac:dyDescent="0.25">
      <c r="Y672" s="221" t="str">
        <f t="shared" si="88"/>
        <v/>
      </c>
      <c r="Z672" s="221" t="str">
        <f t="shared" si="89"/>
        <v/>
      </c>
    </row>
    <row r="673" spans="25:26" ht="16.350000000000001" customHeight="1" x14ac:dyDescent="0.25">
      <c r="Y673" s="221" t="str">
        <f t="shared" si="88"/>
        <v/>
      </c>
      <c r="Z673" s="221" t="str">
        <f t="shared" si="89"/>
        <v/>
      </c>
    </row>
    <row r="674" spans="25:26" ht="16.350000000000001" customHeight="1" x14ac:dyDescent="0.25">
      <c r="Y674" s="221" t="str">
        <f t="shared" si="88"/>
        <v/>
      </c>
      <c r="Z674" s="221" t="str">
        <f t="shared" si="89"/>
        <v/>
      </c>
    </row>
    <row r="675" spans="25:26" ht="16.350000000000001" customHeight="1" x14ac:dyDescent="0.25">
      <c r="Y675" s="221" t="str">
        <f t="shared" si="88"/>
        <v/>
      </c>
      <c r="Z675" s="221" t="str">
        <f t="shared" si="89"/>
        <v/>
      </c>
    </row>
    <row r="676" spans="25:26" ht="16.350000000000001" customHeight="1" x14ac:dyDescent="0.25">
      <c r="Y676" s="221" t="str">
        <f t="shared" si="88"/>
        <v/>
      </c>
      <c r="Z676" s="221" t="str">
        <f t="shared" si="89"/>
        <v/>
      </c>
    </row>
    <row r="677" spans="25:26" ht="16.350000000000001" customHeight="1" x14ac:dyDescent="0.25">
      <c r="Y677" s="221" t="str">
        <f t="shared" si="88"/>
        <v/>
      </c>
      <c r="Z677" s="221" t="str">
        <f t="shared" si="89"/>
        <v/>
      </c>
    </row>
    <row r="678" spans="25:26" ht="16.350000000000001" customHeight="1" x14ac:dyDescent="0.25">
      <c r="Y678" s="221" t="str">
        <f t="shared" si="88"/>
        <v/>
      </c>
      <c r="Z678" s="221" t="str">
        <f t="shared" si="89"/>
        <v/>
      </c>
    </row>
    <row r="679" spans="25:26" ht="16.350000000000001" customHeight="1" x14ac:dyDescent="0.25">
      <c r="Y679" s="221" t="str">
        <f t="shared" si="88"/>
        <v/>
      </c>
      <c r="Z679" s="221" t="str">
        <f t="shared" si="89"/>
        <v/>
      </c>
    </row>
    <row r="680" spans="25:26" ht="16.350000000000001" customHeight="1" x14ac:dyDescent="0.25">
      <c r="Y680" s="221" t="str">
        <f t="shared" si="88"/>
        <v/>
      </c>
      <c r="Z680" s="221" t="str">
        <f t="shared" si="89"/>
        <v/>
      </c>
    </row>
    <row r="681" spans="25:26" ht="16.350000000000001" customHeight="1" x14ac:dyDescent="0.25">
      <c r="Y681" s="221" t="str">
        <f t="shared" si="88"/>
        <v/>
      </c>
      <c r="Z681" s="221" t="str">
        <f t="shared" si="89"/>
        <v/>
      </c>
    </row>
    <row r="682" spans="25:26" ht="16.350000000000001" customHeight="1" x14ac:dyDescent="0.25">
      <c r="Y682" s="221" t="str">
        <f t="shared" si="88"/>
        <v/>
      </c>
      <c r="Z682" s="221" t="str">
        <f t="shared" si="89"/>
        <v/>
      </c>
    </row>
    <row r="683" spans="25:26" ht="16.350000000000001" customHeight="1" x14ac:dyDescent="0.25">
      <c r="Y683" s="221" t="str">
        <f t="shared" si="88"/>
        <v/>
      </c>
      <c r="Z683" s="221" t="str">
        <f t="shared" si="89"/>
        <v/>
      </c>
    </row>
    <row r="684" spans="25:26" ht="16.350000000000001" customHeight="1" x14ac:dyDescent="0.25">
      <c r="Y684" s="221" t="str">
        <f t="shared" si="88"/>
        <v/>
      </c>
      <c r="Z684" s="221" t="str">
        <f t="shared" si="89"/>
        <v/>
      </c>
    </row>
    <row r="685" spans="25:26" ht="16.350000000000001" customHeight="1" x14ac:dyDescent="0.25">
      <c r="Y685" s="221" t="str">
        <f t="shared" si="88"/>
        <v/>
      </c>
      <c r="Z685" s="221" t="str">
        <f t="shared" si="89"/>
        <v/>
      </c>
    </row>
    <row r="686" spans="25:26" ht="16.350000000000001" customHeight="1" x14ac:dyDescent="0.25">
      <c r="Y686" s="221" t="str">
        <f t="shared" si="88"/>
        <v/>
      </c>
      <c r="Z686" s="221" t="str">
        <f t="shared" si="89"/>
        <v/>
      </c>
    </row>
    <row r="687" spans="25:26" ht="16.350000000000001" customHeight="1" x14ac:dyDescent="0.25">
      <c r="Y687" s="221" t="str">
        <f t="shared" si="88"/>
        <v/>
      </c>
      <c r="Z687" s="221" t="str">
        <f t="shared" si="89"/>
        <v/>
      </c>
    </row>
    <row r="688" spans="25:26" ht="16.350000000000001" customHeight="1" x14ac:dyDescent="0.25">
      <c r="Y688" s="221" t="str">
        <f t="shared" si="88"/>
        <v/>
      </c>
      <c r="Z688" s="221" t="str">
        <f t="shared" si="89"/>
        <v/>
      </c>
    </row>
    <row r="689" spans="25:26" ht="16.350000000000001" customHeight="1" x14ac:dyDescent="0.25">
      <c r="Y689" s="221" t="str">
        <f t="shared" si="88"/>
        <v/>
      </c>
      <c r="Z689" s="221" t="str">
        <f t="shared" si="89"/>
        <v/>
      </c>
    </row>
    <row r="690" spans="25:26" ht="16.350000000000001" customHeight="1" x14ac:dyDescent="0.25">
      <c r="Y690" s="221" t="str">
        <f t="shared" si="88"/>
        <v/>
      </c>
      <c r="Z690" s="221" t="str">
        <f t="shared" si="89"/>
        <v/>
      </c>
    </row>
    <row r="691" spans="25:26" ht="16.350000000000001" customHeight="1" x14ac:dyDescent="0.25">
      <c r="Y691" s="221" t="str">
        <f t="shared" si="88"/>
        <v/>
      </c>
      <c r="Z691" s="221" t="str">
        <f t="shared" si="89"/>
        <v/>
      </c>
    </row>
    <row r="692" spans="25:26" ht="16.350000000000001" customHeight="1" x14ac:dyDescent="0.25">
      <c r="Y692" s="221" t="str">
        <f t="shared" si="88"/>
        <v/>
      </c>
      <c r="Z692" s="221" t="str">
        <f t="shared" si="89"/>
        <v/>
      </c>
    </row>
    <row r="693" spans="25:26" ht="16.350000000000001" customHeight="1" x14ac:dyDescent="0.25">
      <c r="Y693" s="221" t="str">
        <f t="shared" si="88"/>
        <v/>
      </c>
      <c r="Z693" s="221" t="str">
        <f t="shared" si="89"/>
        <v/>
      </c>
    </row>
    <row r="694" spans="25:26" ht="16.350000000000001" customHeight="1" x14ac:dyDescent="0.25">
      <c r="Y694" s="221" t="str">
        <f t="shared" si="88"/>
        <v/>
      </c>
      <c r="Z694" s="221" t="str">
        <f t="shared" si="89"/>
        <v/>
      </c>
    </row>
    <row r="695" spans="25:26" ht="16.350000000000001" customHeight="1" x14ac:dyDescent="0.25">
      <c r="Y695" s="221" t="str">
        <f t="shared" si="88"/>
        <v/>
      </c>
      <c r="Z695" s="221" t="str">
        <f t="shared" si="89"/>
        <v/>
      </c>
    </row>
    <row r="696" spans="25:26" ht="16.350000000000001" customHeight="1" x14ac:dyDescent="0.25">
      <c r="Y696" s="221" t="str">
        <f t="shared" si="88"/>
        <v/>
      </c>
      <c r="Z696" s="221" t="str">
        <f t="shared" si="89"/>
        <v/>
      </c>
    </row>
    <row r="697" spans="25:26" ht="16.350000000000001" customHeight="1" x14ac:dyDescent="0.25">
      <c r="Y697" s="221" t="str">
        <f t="shared" si="88"/>
        <v/>
      </c>
      <c r="Z697" s="221" t="str">
        <f t="shared" si="89"/>
        <v/>
      </c>
    </row>
    <row r="698" spans="25:26" ht="16.350000000000001" customHeight="1" x14ac:dyDescent="0.25">
      <c r="Y698" s="221" t="str">
        <f t="shared" si="88"/>
        <v/>
      </c>
      <c r="Z698" s="221" t="str">
        <f t="shared" si="89"/>
        <v/>
      </c>
    </row>
    <row r="699" spans="25:26" ht="16.350000000000001" customHeight="1" x14ac:dyDescent="0.25">
      <c r="Y699" s="221" t="str">
        <f t="shared" si="88"/>
        <v/>
      </c>
      <c r="Z699" s="221" t="str">
        <f t="shared" si="89"/>
        <v/>
      </c>
    </row>
    <row r="700" spans="25:26" ht="16.350000000000001" customHeight="1" x14ac:dyDescent="0.25">
      <c r="Y700" s="221" t="str">
        <f t="shared" si="88"/>
        <v/>
      </c>
      <c r="Z700" s="221" t="str">
        <f t="shared" si="89"/>
        <v/>
      </c>
    </row>
    <row r="701" spans="25:26" ht="16.350000000000001" customHeight="1" x14ac:dyDescent="0.25">
      <c r="Y701" s="221" t="str">
        <f t="shared" si="88"/>
        <v/>
      </c>
      <c r="Z701" s="221" t="str">
        <f t="shared" si="89"/>
        <v/>
      </c>
    </row>
    <row r="702" spans="25:26" ht="16.350000000000001" customHeight="1" x14ac:dyDescent="0.25">
      <c r="Y702" s="221" t="str">
        <f t="shared" si="88"/>
        <v/>
      </c>
      <c r="Z702" s="221" t="str">
        <f t="shared" si="89"/>
        <v/>
      </c>
    </row>
    <row r="703" spans="25:26" ht="16.350000000000001" customHeight="1" x14ac:dyDescent="0.25">
      <c r="Y703" s="221" t="str">
        <f t="shared" si="88"/>
        <v/>
      </c>
      <c r="Z703" s="221" t="str">
        <f t="shared" si="89"/>
        <v/>
      </c>
    </row>
    <row r="704" spans="25:26" ht="16.350000000000001" customHeight="1" x14ac:dyDescent="0.25">
      <c r="Y704" s="221" t="str">
        <f t="shared" si="88"/>
        <v/>
      </c>
      <c r="Z704" s="221" t="str">
        <f t="shared" si="89"/>
        <v/>
      </c>
    </row>
    <row r="705" spans="25:26" ht="16.350000000000001" customHeight="1" x14ac:dyDescent="0.25">
      <c r="Y705" s="221" t="str">
        <f t="shared" si="88"/>
        <v/>
      </c>
      <c r="Z705" s="221" t="str">
        <f t="shared" si="89"/>
        <v/>
      </c>
    </row>
    <row r="706" spans="25:26" ht="16.350000000000001" customHeight="1" x14ac:dyDescent="0.25">
      <c r="Y706" s="221" t="str">
        <f t="shared" si="88"/>
        <v/>
      </c>
      <c r="Z706" s="221" t="str">
        <f t="shared" si="89"/>
        <v/>
      </c>
    </row>
    <row r="707" spans="25:26" ht="16.350000000000001" customHeight="1" x14ac:dyDescent="0.25">
      <c r="Y707" s="221" t="str">
        <f t="shared" si="88"/>
        <v/>
      </c>
      <c r="Z707" s="221" t="str">
        <f t="shared" si="89"/>
        <v/>
      </c>
    </row>
    <row r="708" spans="25:26" ht="16.350000000000001" customHeight="1" x14ac:dyDescent="0.25">
      <c r="Y708" s="221" t="str">
        <f t="shared" si="88"/>
        <v/>
      </c>
      <c r="Z708" s="221" t="str">
        <f t="shared" si="89"/>
        <v/>
      </c>
    </row>
    <row r="709" spans="25:26" ht="16.350000000000001" customHeight="1" x14ac:dyDescent="0.25">
      <c r="Y709" s="221" t="str">
        <f t="shared" si="88"/>
        <v/>
      </c>
      <c r="Z709" s="221" t="str">
        <f t="shared" si="89"/>
        <v/>
      </c>
    </row>
    <row r="710" spans="25:26" ht="16.350000000000001" customHeight="1" x14ac:dyDescent="0.25">
      <c r="Y710" s="221" t="str">
        <f t="shared" si="88"/>
        <v/>
      </c>
      <c r="Z710" s="221" t="str">
        <f t="shared" si="89"/>
        <v/>
      </c>
    </row>
    <row r="711" spans="25:26" ht="16.350000000000001" customHeight="1" x14ac:dyDescent="0.25">
      <c r="Y711" s="221" t="str">
        <f t="shared" si="88"/>
        <v/>
      </c>
      <c r="Z711" s="221" t="str">
        <f t="shared" si="89"/>
        <v/>
      </c>
    </row>
    <row r="712" spans="25:26" ht="16.350000000000001" customHeight="1" x14ac:dyDescent="0.25">
      <c r="Y712" s="221" t="str">
        <f t="shared" si="88"/>
        <v/>
      </c>
      <c r="Z712" s="221" t="str">
        <f t="shared" si="89"/>
        <v/>
      </c>
    </row>
    <row r="713" spans="25:26" ht="16.350000000000001" customHeight="1" x14ac:dyDescent="0.25">
      <c r="Y713" s="221" t="str">
        <f t="shared" si="88"/>
        <v/>
      </c>
      <c r="Z713" s="221" t="str">
        <f t="shared" si="89"/>
        <v/>
      </c>
    </row>
    <row r="714" spans="25:26" ht="16.350000000000001" customHeight="1" x14ac:dyDescent="0.25">
      <c r="Y714" s="221" t="str">
        <f t="shared" si="88"/>
        <v/>
      </c>
      <c r="Z714" s="221" t="str">
        <f t="shared" si="89"/>
        <v/>
      </c>
    </row>
    <row r="715" spans="25:26" ht="16.350000000000001" customHeight="1" x14ac:dyDescent="0.25">
      <c r="Y715" s="221" t="str">
        <f t="shared" si="88"/>
        <v/>
      </c>
      <c r="Z715" s="221" t="str">
        <f t="shared" si="89"/>
        <v/>
      </c>
    </row>
    <row r="716" spans="25:26" ht="16.350000000000001" customHeight="1" x14ac:dyDescent="0.25">
      <c r="Y716" s="221" t="str">
        <f t="shared" si="88"/>
        <v/>
      </c>
      <c r="Z716" s="221" t="str">
        <f t="shared" si="89"/>
        <v/>
      </c>
    </row>
    <row r="717" spans="25:26" ht="16.350000000000001" customHeight="1" x14ac:dyDescent="0.25">
      <c r="Y717" s="221" t="str">
        <f t="shared" si="88"/>
        <v/>
      </c>
      <c r="Z717" s="221" t="str">
        <f t="shared" si="89"/>
        <v/>
      </c>
    </row>
    <row r="718" spans="25:26" ht="16.350000000000001" customHeight="1" x14ac:dyDescent="0.25">
      <c r="Y718" s="221" t="str">
        <f t="shared" si="88"/>
        <v/>
      </c>
      <c r="Z718" s="221" t="str">
        <f t="shared" si="89"/>
        <v/>
      </c>
    </row>
    <row r="719" spans="25:26" ht="16.350000000000001" customHeight="1" x14ac:dyDescent="0.25">
      <c r="Y719" s="221" t="str">
        <f t="shared" si="88"/>
        <v/>
      </c>
      <c r="Z719" s="221" t="str">
        <f t="shared" si="89"/>
        <v/>
      </c>
    </row>
    <row r="720" spans="25:26" ht="16.350000000000001" customHeight="1" x14ac:dyDescent="0.25">
      <c r="Y720" s="221" t="str">
        <f t="shared" si="88"/>
        <v/>
      </c>
      <c r="Z720" s="221" t="str">
        <f t="shared" si="89"/>
        <v/>
      </c>
    </row>
    <row r="721" spans="25:26" ht="16.350000000000001" customHeight="1" x14ac:dyDescent="0.25">
      <c r="Y721" s="221" t="str">
        <f t="shared" si="88"/>
        <v/>
      </c>
      <c r="Z721" s="221" t="str">
        <f t="shared" si="89"/>
        <v/>
      </c>
    </row>
    <row r="722" spans="25:26" ht="16.350000000000001" customHeight="1" x14ac:dyDescent="0.25">
      <c r="Y722" s="221" t="str">
        <f t="shared" si="88"/>
        <v/>
      </c>
      <c r="Z722" s="221" t="str">
        <f t="shared" si="89"/>
        <v/>
      </c>
    </row>
    <row r="723" spans="25:26" ht="16.350000000000001" customHeight="1" x14ac:dyDescent="0.25">
      <c r="Y723" s="221" t="str">
        <f t="shared" si="88"/>
        <v/>
      </c>
      <c r="Z723" s="221" t="str">
        <f t="shared" si="89"/>
        <v/>
      </c>
    </row>
    <row r="724" spans="25:26" ht="16.350000000000001" customHeight="1" x14ac:dyDescent="0.25">
      <c r="Y724" s="221" t="str">
        <f t="shared" ref="Y724:Y787" si="90">IF(AA724&lt;&gt;"","NEW","")</f>
        <v/>
      </c>
      <c r="Z724" s="221" t="str">
        <f t="shared" ref="Z724:Z787" si="91">IF(AA724&lt;&gt;"",$AA$1,"")</f>
        <v/>
      </c>
    </row>
    <row r="725" spans="25:26" ht="16.350000000000001" customHeight="1" x14ac:dyDescent="0.25">
      <c r="Y725" s="221" t="str">
        <f t="shared" si="90"/>
        <v/>
      </c>
      <c r="Z725" s="221" t="str">
        <f t="shared" si="91"/>
        <v/>
      </c>
    </row>
    <row r="726" spans="25:26" ht="16.350000000000001" customHeight="1" x14ac:dyDescent="0.25">
      <c r="Y726" s="221" t="str">
        <f t="shared" si="90"/>
        <v/>
      </c>
      <c r="Z726" s="221" t="str">
        <f t="shared" si="91"/>
        <v/>
      </c>
    </row>
    <row r="727" spans="25:26" ht="16.350000000000001" customHeight="1" x14ac:dyDescent="0.25">
      <c r="Y727" s="221" t="str">
        <f t="shared" si="90"/>
        <v/>
      </c>
      <c r="Z727" s="221" t="str">
        <f t="shared" si="91"/>
        <v/>
      </c>
    </row>
    <row r="728" spans="25:26" ht="16.350000000000001" customHeight="1" x14ac:dyDescent="0.25">
      <c r="Y728" s="221" t="str">
        <f t="shared" si="90"/>
        <v/>
      </c>
      <c r="Z728" s="221" t="str">
        <f t="shared" si="91"/>
        <v/>
      </c>
    </row>
    <row r="729" spans="25:26" ht="16.350000000000001" customHeight="1" x14ac:dyDescent="0.25">
      <c r="Y729" s="221" t="str">
        <f t="shared" si="90"/>
        <v/>
      </c>
      <c r="Z729" s="221" t="str">
        <f t="shared" si="91"/>
        <v/>
      </c>
    </row>
    <row r="730" spans="25:26" ht="16.350000000000001" customHeight="1" x14ac:dyDescent="0.25">
      <c r="Y730" s="221" t="str">
        <f t="shared" si="90"/>
        <v/>
      </c>
      <c r="Z730" s="221" t="str">
        <f t="shared" si="91"/>
        <v/>
      </c>
    </row>
    <row r="731" spans="25:26" ht="16.350000000000001" customHeight="1" x14ac:dyDescent="0.25">
      <c r="Y731" s="221" t="str">
        <f t="shared" si="90"/>
        <v/>
      </c>
      <c r="Z731" s="221" t="str">
        <f t="shared" si="91"/>
        <v/>
      </c>
    </row>
    <row r="732" spans="25:26" ht="16.350000000000001" customHeight="1" x14ac:dyDescent="0.25">
      <c r="Y732" s="221" t="str">
        <f t="shared" si="90"/>
        <v/>
      </c>
      <c r="Z732" s="221" t="str">
        <f t="shared" si="91"/>
        <v/>
      </c>
    </row>
    <row r="733" spans="25:26" ht="16.350000000000001" customHeight="1" x14ac:dyDescent="0.25">
      <c r="Y733" s="221" t="str">
        <f t="shared" si="90"/>
        <v/>
      </c>
      <c r="Z733" s="221" t="str">
        <f t="shared" si="91"/>
        <v/>
      </c>
    </row>
    <row r="734" spans="25:26" ht="16.350000000000001" customHeight="1" x14ac:dyDescent="0.25">
      <c r="Y734" s="221" t="str">
        <f t="shared" si="90"/>
        <v/>
      </c>
      <c r="Z734" s="221" t="str">
        <f t="shared" si="91"/>
        <v/>
      </c>
    </row>
    <row r="735" spans="25:26" ht="16.350000000000001" customHeight="1" x14ac:dyDescent="0.25">
      <c r="Y735" s="221" t="str">
        <f t="shared" si="90"/>
        <v/>
      </c>
      <c r="Z735" s="221" t="str">
        <f t="shared" si="91"/>
        <v/>
      </c>
    </row>
    <row r="736" spans="25:26" ht="16.350000000000001" customHeight="1" x14ac:dyDescent="0.25">
      <c r="Y736" s="221" t="str">
        <f t="shared" si="90"/>
        <v/>
      </c>
      <c r="Z736" s="221" t="str">
        <f t="shared" si="91"/>
        <v/>
      </c>
    </row>
    <row r="737" spans="25:26" ht="16.350000000000001" customHeight="1" x14ac:dyDescent="0.25">
      <c r="Y737" s="221" t="str">
        <f t="shared" si="90"/>
        <v/>
      </c>
      <c r="Z737" s="221" t="str">
        <f t="shared" si="91"/>
        <v/>
      </c>
    </row>
    <row r="738" spans="25:26" ht="16.350000000000001" customHeight="1" x14ac:dyDescent="0.25">
      <c r="Y738" s="221" t="str">
        <f t="shared" si="90"/>
        <v/>
      </c>
      <c r="Z738" s="221" t="str">
        <f t="shared" si="91"/>
        <v/>
      </c>
    </row>
    <row r="739" spans="25:26" ht="16.350000000000001" customHeight="1" x14ac:dyDescent="0.25">
      <c r="Y739" s="221" t="str">
        <f t="shared" si="90"/>
        <v/>
      </c>
      <c r="Z739" s="221" t="str">
        <f t="shared" si="91"/>
        <v/>
      </c>
    </row>
    <row r="740" spans="25:26" ht="16.350000000000001" customHeight="1" x14ac:dyDescent="0.25">
      <c r="Y740" s="221" t="str">
        <f t="shared" si="90"/>
        <v/>
      </c>
      <c r="Z740" s="221" t="str">
        <f t="shared" si="91"/>
        <v/>
      </c>
    </row>
    <row r="741" spans="25:26" ht="16.350000000000001" customHeight="1" x14ac:dyDescent="0.25">
      <c r="Y741" s="221" t="str">
        <f t="shared" si="90"/>
        <v/>
      </c>
      <c r="Z741" s="221" t="str">
        <f t="shared" si="91"/>
        <v/>
      </c>
    </row>
    <row r="742" spans="25:26" ht="16.350000000000001" customHeight="1" x14ac:dyDescent="0.25">
      <c r="Y742" s="221" t="str">
        <f t="shared" si="90"/>
        <v/>
      </c>
      <c r="Z742" s="221" t="str">
        <f t="shared" si="91"/>
        <v/>
      </c>
    </row>
    <row r="743" spans="25:26" ht="16.350000000000001" customHeight="1" x14ac:dyDescent="0.25">
      <c r="Y743" s="221" t="str">
        <f t="shared" si="90"/>
        <v/>
      </c>
      <c r="Z743" s="221" t="str">
        <f t="shared" si="91"/>
        <v/>
      </c>
    </row>
    <row r="744" spans="25:26" ht="16.350000000000001" customHeight="1" x14ac:dyDescent="0.25">
      <c r="Y744" s="221" t="str">
        <f t="shared" si="90"/>
        <v/>
      </c>
      <c r="Z744" s="221" t="str">
        <f t="shared" si="91"/>
        <v/>
      </c>
    </row>
    <row r="745" spans="25:26" ht="16.350000000000001" customHeight="1" x14ac:dyDescent="0.25">
      <c r="Y745" s="221" t="str">
        <f t="shared" si="90"/>
        <v/>
      </c>
      <c r="Z745" s="221" t="str">
        <f t="shared" si="91"/>
        <v/>
      </c>
    </row>
    <row r="746" spans="25:26" ht="16.350000000000001" customHeight="1" x14ac:dyDescent="0.25">
      <c r="Y746" s="221" t="str">
        <f t="shared" si="90"/>
        <v/>
      </c>
      <c r="Z746" s="221" t="str">
        <f t="shared" si="91"/>
        <v/>
      </c>
    </row>
    <row r="747" spans="25:26" ht="16.350000000000001" customHeight="1" x14ac:dyDescent="0.25">
      <c r="Y747" s="221" t="str">
        <f t="shared" si="90"/>
        <v/>
      </c>
      <c r="Z747" s="221" t="str">
        <f t="shared" si="91"/>
        <v/>
      </c>
    </row>
    <row r="748" spans="25:26" ht="16.350000000000001" customHeight="1" x14ac:dyDescent="0.25">
      <c r="Y748" s="221" t="str">
        <f t="shared" si="90"/>
        <v/>
      </c>
      <c r="Z748" s="221" t="str">
        <f t="shared" si="91"/>
        <v/>
      </c>
    </row>
    <row r="749" spans="25:26" ht="16.350000000000001" customHeight="1" x14ac:dyDescent="0.25">
      <c r="Y749" s="221" t="str">
        <f t="shared" si="90"/>
        <v/>
      </c>
      <c r="Z749" s="221" t="str">
        <f t="shared" si="91"/>
        <v/>
      </c>
    </row>
    <row r="750" spans="25:26" ht="16.350000000000001" customHeight="1" x14ac:dyDescent="0.25">
      <c r="Y750" s="221" t="str">
        <f t="shared" si="90"/>
        <v/>
      </c>
      <c r="Z750" s="221" t="str">
        <f t="shared" si="91"/>
        <v/>
      </c>
    </row>
    <row r="751" spans="25:26" ht="16.350000000000001" customHeight="1" x14ac:dyDescent="0.25">
      <c r="Y751" s="221" t="str">
        <f t="shared" si="90"/>
        <v/>
      </c>
      <c r="Z751" s="221" t="str">
        <f t="shared" si="91"/>
        <v/>
      </c>
    </row>
    <row r="752" spans="25:26" ht="16.350000000000001" customHeight="1" x14ac:dyDescent="0.25">
      <c r="Y752" s="221" t="str">
        <f t="shared" si="90"/>
        <v/>
      </c>
      <c r="Z752" s="221" t="str">
        <f t="shared" si="91"/>
        <v/>
      </c>
    </row>
    <row r="753" spans="25:26" ht="16.350000000000001" customHeight="1" x14ac:dyDescent="0.25">
      <c r="Y753" s="221" t="str">
        <f t="shared" si="90"/>
        <v/>
      </c>
      <c r="Z753" s="221" t="str">
        <f t="shared" si="91"/>
        <v/>
      </c>
    </row>
    <row r="754" spans="25:26" ht="16.350000000000001" customHeight="1" x14ac:dyDescent="0.25">
      <c r="Y754" s="221" t="str">
        <f t="shared" si="90"/>
        <v/>
      </c>
      <c r="Z754" s="221" t="str">
        <f t="shared" si="91"/>
        <v/>
      </c>
    </row>
    <row r="755" spans="25:26" ht="16.350000000000001" customHeight="1" x14ac:dyDescent="0.25">
      <c r="Y755" s="221" t="str">
        <f t="shared" si="90"/>
        <v/>
      </c>
      <c r="Z755" s="221" t="str">
        <f t="shared" si="91"/>
        <v/>
      </c>
    </row>
    <row r="756" spans="25:26" ht="16.350000000000001" customHeight="1" x14ac:dyDescent="0.25">
      <c r="Y756" s="221" t="str">
        <f t="shared" si="90"/>
        <v/>
      </c>
      <c r="Z756" s="221" t="str">
        <f t="shared" si="91"/>
        <v/>
      </c>
    </row>
    <row r="757" spans="25:26" ht="16.350000000000001" customHeight="1" x14ac:dyDescent="0.25">
      <c r="Y757" s="221" t="str">
        <f t="shared" si="90"/>
        <v/>
      </c>
      <c r="Z757" s="221" t="str">
        <f t="shared" si="91"/>
        <v/>
      </c>
    </row>
    <row r="758" spans="25:26" ht="16.350000000000001" customHeight="1" x14ac:dyDescent="0.25">
      <c r="Y758" s="221" t="str">
        <f t="shared" si="90"/>
        <v/>
      </c>
      <c r="Z758" s="221" t="str">
        <f t="shared" si="91"/>
        <v/>
      </c>
    </row>
    <row r="759" spans="25:26" ht="16.350000000000001" customHeight="1" x14ac:dyDescent="0.25">
      <c r="Y759" s="221" t="str">
        <f t="shared" si="90"/>
        <v/>
      </c>
      <c r="Z759" s="221" t="str">
        <f t="shared" si="91"/>
        <v/>
      </c>
    </row>
    <row r="760" spans="25:26" ht="16.350000000000001" customHeight="1" x14ac:dyDescent="0.25">
      <c r="Y760" s="221" t="str">
        <f t="shared" si="90"/>
        <v/>
      </c>
      <c r="Z760" s="221" t="str">
        <f t="shared" si="91"/>
        <v/>
      </c>
    </row>
    <row r="761" spans="25:26" ht="16.350000000000001" customHeight="1" x14ac:dyDescent="0.25">
      <c r="Y761" s="221" t="str">
        <f t="shared" si="90"/>
        <v/>
      </c>
      <c r="Z761" s="221" t="str">
        <f t="shared" si="91"/>
        <v/>
      </c>
    </row>
    <row r="762" spans="25:26" ht="16.350000000000001" customHeight="1" x14ac:dyDescent="0.25">
      <c r="Y762" s="221" t="str">
        <f t="shared" si="90"/>
        <v/>
      </c>
      <c r="Z762" s="221" t="str">
        <f t="shared" si="91"/>
        <v/>
      </c>
    </row>
    <row r="763" spans="25:26" ht="16.350000000000001" customHeight="1" x14ac:dyDescent="0.25">
      <c r="Y763" s="221" t="str">
        <f t="shared" si="90"/>
        <v/>
      </c>
      <c r="Z763" s="221" t="str">
        <f t="shared" si="91"/>
        <v/>
      </c>
    </row>
    <row r="764" spans="25:26" ht="16.350000000000001" customHeight="1" x14ac:dyDescent="0.25">
      <c r="Y764" s="221" t="str">
        <f t="shared" si="90"/>
        <v/>
      </c>
      <c r="Z764" s="221" t="str">
        <f t="shared" si="91"/>
        <v/>
      </c>
    </row>
    <row r="765" spans="25:26" ht="16.350000000000001" customHeight="1" x14ac:dyDescent="0.25">
      <c r="Y765" s="221" t="str">
        <f t="shared" si="90"/>
        <v/>
      </c>
      <c r="Z765" s="221" t="str">
        <f t="shared" si="91"/>
        <v/>
      </c>
    </row>
    <row r="766" spans="25:26" ht="16.350000000000001" customHeight="1" x14ac:dyDescent="0.25">
      <c r="Y766" s="221" t="str">
        <f t="shared" si="90"/>
        <v/>
      </c>
      <c r="Z766" s="221" t="str">
        <f t="shared" si="91"/>
        <v/>
      </c>
    </row>
    <row r="767" spans="25:26" ht="16.350000000000001" customHeight="1" x14ac:dyDescent="0.25">
      <c r="Y767" s="221" t="str">
        <f t="shared" si="90"/>
        <v/>
      </c>
      <c r="Z767" s="221" t="str">
        <f t="shared" si="91"/>
        <v/>
      </c>
    </row>
    <row r="768" spans="25:26" ht="16.350000000000001" customHeight="1" x14ac:dyDescent="0.25">
      <c r="Y768" s="221" t="str">
        <f t="shared" si="90"/>
        <v/>
      </c>
      <c r="Z768" s="221" t="str">
        <f t="shared" si="91"/>
        <v/>
      </c>
    </row>
    <row r="769" spans="25:26" ht="16.350000000000001" customHeight="1" x14ac:dyDescent="0.25">
      <c r="Y769" s="221" t="str">
        <f t="shared" si="90"/>
        <v/>
      </c>
      <c r="Z769" s="221" t="str">
        <f t="shared" si="91"/>
        <v/>
      </c>
    </row>
    <row r="770" spans="25:26" ht="16.350000000000001" customHeight="1" x14ac:dyDescent="0.25">
      <c r="Y770" s="221" t="str">
        <f t="shared" si="90"/>
        <v/>
      </c>
      <c r="Z770" s="221" t="str">
        <f t="shared" si="91"/>
        <v/>
      </c>
    </row>
    <row r="771" spans="25:26" ht="16.350000000000001" customHeight="1" x14ac:dyDescent="0.25">
      <c r="Y771" s="221" t="str">
        <f t="shared" si="90"/>
        <v/>
      </c>
      <c r="Z771" s="221" t="str">
        <f t="shared" si="91"/>
        <v/>
      </c>
    </row>
    <row r="772" spans="25:26" ht="16.350000000000001" customHeight="1" x14ac:dyDescent="0.25">
      <c r="Y772" s="221" t="str">
        <f t="shared" si="90"/>
        <v/>
      </c>
      <c r="Z772" s="221" t="str">
        <f t="shared" si="91"/>
        <v/>
      </c>
    </row>
    <row r="773" spans="25:26" ht="16.350000000000001" customHeight="1" x14ac:dyDescent="0.25">
      <c r="Y773" s="221" t="str">
        <f t="shared" si="90"/>
        <v/>
      </c>
      <c r="Z773" s="221" t="str">
        <f t="shared" si="91"/>
        <v/>
      </c>
    </row>
    <row r="774" spans="25:26" ht="16.350000000000001" customHeight="1" x14ac:dyDescent="0.25">
      <c r="Y774" s="221" t="str">
        <f t="shared" si="90"/>
        <v/>
      </c>
      <c r="Z774" s="221" t="str">
        <f t="shared" si="91"/>
        <v/>
      </c>
    </row>
    <row r="775" spans="25:26" ht="16.350000000000001" customHeight="1" x14ac:dyDescent="0.25">
      <c r="Y775" s="221" t="str">
        <f t="shared" si="90"/>
        <v/>
      </c>
      <c r="Z775" s="221" t="str">
        <f t="shared" si="91"/>
        <v/>
      </c>
    </row>
    <row r="776" spans="25:26" ht="16.350000000000001" customHeight="1" x14ac:dyDescent="0.25">
      <c r="Y776" s="221" t="str">
        <f t="shared" si="90"/>
        <v/>
      </c>
      <c r="Z776" s="221" t="str">
        <f t="shared" si="91"/>
        <v/>
      </c>
    </row>
    <row r="777" spans="25:26" ht="16.350000000000001" customHeight="1" x14ac:dyDescent="0.25">
      <c r="Y777" s="221" t="str">
        <f t="shared" si="90"/>
        <v/>
      </c>
      <c r="Z777" s="221" t="str">
        <f t="shared" si="91"/>
        <v/>
      </c>
    </row>
    <row r="778" spans="25:26" ht="16.350000000000001" customHeight="1" x14ac:dyDescent="0.25">
      <c r="Y778" s="221" t="str">
        <f t="shared" si="90"/>
        <v/>
      </c>
      <c r="Z778" s="221" t="str">
        <f t="shared" si="91"/>
        <v/>
      </c>
    </row>
    <row r="779" spans="25:26" ht="16.350000000000001" customHeight="1" x14ac:dyDescent="0.25">
      <c r="Y779" s="221" t="str">
        <f t="shared" si="90"/>
        <v/>
      </c>
      <c r="Z779" s="221" t="str">
        <f t="shared" si="91"/>
        <v/>
      </c>
    </row>
    <row r="780" spans="25:26" ht="16.350000000000001" customHeight="1" x14ac:dyDescent="0.25">
      <c r="Y780" s="221" t="str">
        <f t="shared" si="90"/>
        <v/>
      </c>
      <c r="Z780" s="221" t="str">
        <f t="shared" si="91"/>
        <v/>
      </c>
    </row>
    <row r="781" spans="25:26" ht="16.350000000000001" customHeight="1" x14ac:dyDescent="0.25">
      <c r="Y781" s="221" t="str">
        <f t="shared" si="90"/>
        <v/>
      </c>
      <c r="Z781" s="221" t="str">
        <f t="shared" si="91"/>
        <v/>
      </c>
    </row>
    <row r="782" spans="25:26" ht="16.350000000000001" customHeight="1" x14ac:dyDescent="0.25">
      <c r="Y782" s="221" t="str">
        <f t="shared" si="90"/>
        <v/>
      </c>
      <c r="Z782" s="221" t="str">
        <f t="shared" si="91"/>
        <v/>
      </c>
    </row>
    <row r="783" spans="25:26" ht="16.350000000000001" customHeight="1" x14ac:dyDescent="0.25">
      <c r="Y783" s="221" t="str">
        <f t="shared" si="90"/>
        <v/>
      </c>
      <c r="Z783" s="221" t="str">
        <f t="shared" si="91"/>
        <v/>
      </c>
    </row>
    <row r="784" spans="25:26" ht="16.350000000000001" customHeight="1" x14ac:dyDescent="0.25">
      <c r="Y784" s="221" t="str">
        <f t="shared" si="90"/>
        <v/>
      </c>
      <c r="Z784" s="221" t="str">
        <f t="shared" si="91"/>
        <v/>
      </c>
    </row>
    <row r="785" spans="25:26" ht="16.350000000000001" customHeight="1" x14ac:dyDescent="0.25">
      <c r="Y785" s="221" t="str">
        <f t="shared" si="90"/>
        <v/>
      </c>
      <c r="Z785" s="221" t="str">
        <f t="shared" si="91"/>
        <v/>
      </c>
    </row>
    <row r="786" spans="25:26" ht="16.350000000000001" customHeight="1" x14ac:dyDescent="0.25">
      <c r="Y786" s="221" t="str">
        <f t="shared" si="90"/>
        <v/>
      </c>
      <c r="Z786" s="221" t="str">
        <f t="shared" si="91"/>
        <v/>
      </c>
    </row>
    <row r="787" spans="25:26" ht="16.350000000000001" customHeight="1" x14ac:dyDescent="0.25">
      <c r="Y787" s="221" t="str">
        <f t="shared" si="90"/>
        <v/>
      </c>
      <c r="Z787" s="221" t="str">
        <f t="shared" si="91"/>
        <v/>
      </c>
    </row>
    <row r="788" spans="25:26" ht="16.350000000000001" customHeight="1" x14ac:dyDescent="0.25">
      <c r="Y788" s="221" t="str">
        <f t="shared" ref="Y788:Y851" si="92">IF(AA788&lt;&gt;"","NEW","")</f>
        <v/>
      </c>
      <c r="Z788" s="221" t="str">
        <f t="shared" ref="Z788:Z851" si="93">IF(AA788&lt;&gt;"",$AA$1,"")</f>
        <v/>
      </c>
    </row>
    <row r="789" spans="25:26" ht="16.350000000000001" customHeight="1" x14ac:dyDescent="0.25">
      <c r="Y789" s="221" t="str">
        <f t="shared" si="92"/>
        <v/>
      </c>
      <c r="Z789" s="221" t="str">
        <f t="shared" si="93"/>
        <v/>
      </c>
    </row>
    <row r="790" spans="25:26" ht="16.350000000000001" customHeight="1" x14ac:dyDescent="0.25">
      <c r="Y790" s="221" t="str">
        <f t="shared" si="92"/>
        <v/>
      </c>
      <c r="Z790" s="221" t="str">
        <f t="shared" si="93"/>
        <v/>
      </c>
    </row>
    <row r="791" spans="25:26" ht="16.350000000000001" customHeight="1" x14ac:dyDescent="0.25">
      <c r="Y791" s="221" t="str">
        <f t="shared" si="92"/>
        <v/>
      </c>
      <c r="Z791" s="221" t="str">
        <f t="shared" si="93"/>
        <v/>
      </c>
    </row>
    <row r="792" spans="25:26" ht="16.350000000000001" customHeight="1" x14ac:dyDescent="0.25">
      <c r="Y792" s="221" t="str">
        <f t="shared" si="92"/>
        <v/>
      </c>
      <c r="Z792" s="221" t="str">
        <f t="shared" si="93"/>
        <v/>
      </c>
    </row>
    <row r="793" spans="25:26" ht="16.350000000000001" customHeight="1" x14ac:dyDescent="0.25">
      <c r="Y793" s="221" t="str">
        <f t="shared" si="92"/>
        <v/>
      </c>
      <c r="Z793" s="221" t="str">
        <f t="shared" si="93"/>
        <v/>
      </c>
    </row>
    <row r="794" spans="25:26" ht="16.350000000000001" customHeight="1" x14ac:dyDescent="0.25">
      <c r="Y794" s="221" t="str">
        <f t="shared" si="92"/>
        <v/>
      </c>
      <c r="Z794" s="221" t="str">
        <f t="shared" si="93"/>
        <v/>
      </c>
    </row>
    <row r="795" spans="25:26" ht="16.350000000000001" customHeight="1" x14ac:dyDescent="0.25">
      <c r="Y795" s="221" t="str">
        <f t="shared" si="92"/>
        <v/>
      </c>
      <c r="Z795" s="221" t="str">
        <f t="shared" si="93"/>
        <v/>
      </c>
    </row>
    <row r="796" spans="25:26" ht="16.350000000000001" customHeight="1" x14ac:dyDescent="0.25">
      <c r="Y796" s="221" t="str">
        <f t="shared" si="92"/>
        <v/>
      </c>
      <c r="Z796" s="221" t="str">
        <f t="shared" si="93"/>
        <v/>
      </c>
    </row>
    <row r="797" spans="25:26" ht="16.350000000000001" customHeight="1" x14ac:dyDescent="0.25">
      <c r="Y797" s="221" t="str">
        <f t="shared" si="92"/>
        <v/>
      </c>
      <c r="Z797" s="221" t="str">
        <f t="shared" si="93"/>
        <v/>
      </c>
    </row>
    <row r="798" spans="25:26" ht="16.350000000000001" customHeight="1" x14ac:dyDescent="0.25">
      <c r="Y798" s="221" t="str">
        <f t="shared" si="92"/>
        <v/>
      </c>
      <c r="Z798" s="221" t="str">
        <f t="shared" si="93"/>
        <v/>
      </c>
    </row>
    <row r="799" spans="25:26" ht="16.350000000000001" customHeight="1" x14ac:dyDescent="0.25">
      <c r="Y799" s="221" t="str">
        <f t="shared" si="92"/>
        <v/>
      </c>
      <c r="Z799" s="221" t="str">
        <f t="shared" si="93"/>
        <v/>
      </c>
    </row>
    <row r="800" spans="25:26" ht="16.350000000000001" customHeight="1" x14ac:dyDescent="0.25">
      <c r="Y800" s="221" t="str">
        <f t="shared" si="92"/>
        <v/>
      </c>
      <c r="Z800" s="221" t="str">
        <f t="shared" si="93"/>
        <v/>
      </c>
    </row>
    <row r="801" spans="25:26" ht="16.350000000000001" customHeight="1" x14ac:dyDescent="0.25">
      <c r="Y801" s="221" t="str">
        <f t="shared" si="92"/>
        <v/>
      </c>
      <c r="Z801" s="221" t="str">
        <f t="shared" si="93"/>
        <v/>
      </c>
    </row>
    <row r="802" spans="25:26" ht="16.350000000000001" customHeight="1" x14ac:dyDescent="0.25">
      <c r="Y802" s="221" t="str">
        <f t="shared" si="92"/>
        <v/>
      </c>
      <c r="Z802" s="221" t="str">
        <f t="shared" si="93"/>
        <v/>
      </c>
    </row>
    <row r="803" spans="25:26" ht="16.350000000000001" customHeight="1" x14ac:dyDescent="0.25">
      <c r="Y803" s="221" t="str">
        <f t="shared" si="92"/>
        <v/>
      </c>
      <c r="Z803" s="221" t="str">
        <f t="shared" si="93"/>
        <v/>
      </c>
    </row>
    <row r="804" spans="25:26" ht="16.350000000000001" customHeight="1" x14ac:dyDescent="0.25">
      <c r="Y804" s="221" t="str">
        <f t="shared" si="92"/>
        <v/>
      </c>
      <c r="Z804" s="221" t="str">
        <f t="shared" si="93"/>
        <v/>
      </c>
    </row>
    <row r="805" spans="25:26" ht="16.350000000000001" customHeight="1" x14ac:dyDescent="0.25">
      <c r="Y805" s="221" t="str">
        <f t="shared" si="92"/>
        <v/>
      </c>
      <c r="Z805" s="221" t="str">
        <f t="shared" si="93"/>
        <v/>
      </c>
    </row>
    <row r="806" spans="25:26" ht="16.350000000000001" customHeight="1" x14ac:dyDescent="0.25">
      <c r="Y806" s="221" t="str">
        <f t="shared" si="92"/>
        <v/>
      </c>
      <c r="Z806" s="221" t="str">
        <f t="shared" si="93"/>
        <v/>
      </c>
    </row>
    <row r="807" spans="25:26" ht="16.350000000000001" customHeight="1" x14ac:dyDescent="0.25">
      <c r="Y807" s="221" t="str">
        <f t="shared" si="92"/>
        <v/>
      </c>
      <c r="Z807" s="221" t="str">
        <f t="shared" si="93"/>
        <v/>
      </c>
    </row>
    <row r="808" spans="25:26" ht="16.350000000000001" customHeight="1" x14ac:dyDescent="0.25">
      <c r="Y808" s="221" t="str">
        <f t="shared" si="92"/>
        <v/>
      </c>
      <c r="Z808" s="221" t="str">
        <f t="shared" si="93"/>
        <v/>
      </c>
    </row>
    <row r="809" spans="25:26" ht="16.350000000000001" customHeight="1" x14ac:dyDescent="0.25">
      <c r="Y809" s="221" t="str">
        <f t="shared" si="92"/>
        <v/>
      </c>
      <c r="Z809" s="221" t="str">
        <f t="shared" si="93"/>
        <v/>
      </c>
    </row>
    <row r="810" spans="25:26" ht="16.350000000000001" customHeight="1" x14ac:dyDescent="0.25">
      <c r="Y810" s="221" t="str">
        <f t="shared" si="92"/>
        <v/>
      </c>
      <c r="Z810" s="221" t="str">
        <f t="shared" si="93"/>
        <v/>
      </c>
    </row>
    <row r="811" spans="25:26" ht="16.350000000000001" customHeight="1" x14ac:dyDescent="0.25">
      <c r="Y811" s="221" t="str">
        <f t="shared" si="92"/>
        <v/>
      </c>
      <c r="Z811" s="221" t="str">
        <f t="shared" si="93"/>
        <v/>
      </c>
    </row>
    <row r="812" spans="25:26" ht="16.350000000000001" customHeight="1" x14ac:dyDescent="0.25">
      <c r="Y812" s="221" t="str">
        <f t="shared" si="92"/>
        <v/>
      </c>
      <c r="Z812" s="221" t="str">
        <f t="shared" si="93"/>
        <v/>
      </c>
    </row>
    <row r="813" spans="25:26" ht="16.350000000000001" customHeight="1" x14ac:dyDescent="0.25">
      <c r="Y813" s="221" t="str">
        <f t="shared" si="92"/>
        <v/>
      </c>
      <c r="Z813" s="221" t="str">
        <f t="shared" si="93"/>
        <v/>
      </c>
    </row>
    <row r="814" spans="25:26" ht="16.350000000000001" customHeight="1" x14ac:dyDescent="0.25">
      <c r="Y814" s="221" t="str">
        <f t="shared" si="92"/>
        <v/>
      </c>
      <c r="Z814" s="221" t="str">
        <f t="shared" si="93"/>
        <v/>
      </c>
    </row>
    <row r="815" spans="25:26" ht="16.350000000000001" customHeight="1" x14ac:dyDescent="0.25">
      <c r="Y815" s="221" t="str">
        <f t="shared" si="92"/>
        <v/>
      </c>
      <c r="Z815" s="221" t="str">
        <f t="shared" si="93"/>
        <v/>
      </c>
    </row>
    <row r="816" spans="25:26" ht="16.350000000000001" customHeight="1" x14ac:dyDescent="0.25">
      <c r="Y816" s="221" t="str">
        <f t="shared" si="92"/>
        <v/>
      </c>
      <c r="Z816" s="221" t="str">
        <f t="shared" si="93"/>
        <v/>
      </c>
    </row>
    <row r="817" spans="25:26" ht="16.350000000000001" customHeight="1" x14ac:dyDescent="0.25">
      <c r="Y817" s="221" t="str">
        <f t="shared" si="92"/>
        <v/>
      </c>
      <c r="Z817" s="221" t="str">
        <f t="shared" si="93"/>
        <v/>
      </c>
    </row>
    <row r="818" spans="25:26" ht="16.350000000000001" customHeight="1" x14ac:dyDescent="0.25">
      <c r="Y818" s="221" t="str">
        <f t="shared" si="92"/>
        <v/>
      </c>
      <c r="Z818" s="221" t="str">
        <f t="shared" si="93"/>
        <v/>
      </c>
    </row>
    <row r="819" spans="25:26" ht="16.350000000000001" customHeight="1" x14ac:dyDescent="0.25">
      <c r="Y819" s="221" t="str">
        <f t="shared" si="92"/>
        <v/>
      </c>
      <c r="Z819" s="221" t="str">
        <f t="shared" si="93"/>
        <v/>
      </c>
    </row>
    <row r="820" spans="25:26" ht="16.350000000000001" customHeight="1" x14ac:dyDescent="0.25">
      <c r="Y820" s="221" t="str">
        <f t="shared" si="92"/>
        <v/>
      </c>
      <c r="Z820" s="221" t="str">
        <f t="shared" si="93"/>
        <v/>
      </c>
    </row>
    <row r="821" spans="25:26" ht="16.350000000000001" customHeight="1" x14ac:dyDescent="0.25">
      <c r="Y821" s="221" t="str">
        <f t="shared" si="92"/>
        <v/>
      </c>
      <c r="Z821" s="221" t="str">
        <f t="shared" si="93"/>
        <v/>
      </c>
    </row>
    <row r="822" spans="25:26" ht="16.350000000000001" customHeight="1" x14ac:dyDescent="0.25">
      <c r="Y822" s="221" t="str">
        <f t="shared" si="92"/>
        <v/>
      </c>
      <c r="Z822" s="221" t="str">
        <f t="shared" si="93"/>
        <v/>
      </c>
    </row>
    <row r="823" spans="25:26" ht="16.350000000000001" customHeight="1" x14ac:dyDescent="0.25">
      <c r="Y823" s="221" t="str">
        <f t="shared" si="92"/>
        <v/>
      </c>
      <c r="Z823" s="221" t="str">
        <f t="shared" si="93"/>
        <v/>
      </c>
    </row>
    <row r="824" spans="25:26" ht="16.350000000000001" customHeight="1" x14ac:dyDescent="0.25">
      <c r="Y824" s="221" t="str">
        <f t="shared" si="92"/>
        <v/>
      </c>
      <c r="Z824" s="221" t="str">
        <f t="shared" si="93"/>
        <v/>
      </c>
    </row>
    <row r="825" spans="25:26" ht="16.350000000000001" customHeight="1" x14ac:dyDescent="0.25">
      <c r="Y825" s="221" t="str">
        <f t="shared" si="92"/>
        <v/>
      </c>
      <c r="Z825" s="221" t="str">
        <f t="shared" si="93"/>
        <v/>
      </c>
    </row>
    <row r="826" spans="25:26" ht="16.350000000000001" customHeight="1" x14ac:dyDescent="0.25">
      <c r="Y826" s="221" t="str">
        <f t="shared" si="92"/>
        <v/>
      </c>
      <c r="Z826" s="221" t="str">
        <f t="shared" si="93"/>
        <v/>
      </c>
    </row>
    <row r="827" spans="25:26" ht="16.350000000000001" customHeight="1" x14ac:dyDescent="0.25">
      <c r="Y827" s="221" t="str">
        <f t="shared" si="92"/>
        <v/>
      </c>
      <c r="Z827" s="221" t="str">
        <f t="shared" si="93"/>
        <v/>
      </c>
    </row>
    <row r="828" spans="25:26" ht="16.350000000000001" customHeight="1" x14ac:dyDescent="0.25">
      <c r="Y828" s="221" t="str">
        <f t="shared" si="92"/>
        <v/>
      </c>
      <c r="Z828" s="221" t="str">
        <f t="shared" si="93"/>
        <v/>
      </c>
    </row>
    <row r="829" spans="25:26" ht="16.350000000000001" customHeight="1" x14ac:dyDescent="0.25">
      <c r="Y829" s="221" t="str">
        <f t="shared" si="92"/>
        <v/>
      </c>
      <c r="Z829" s="221" t="str">
        <f t="shared" si="93"/>
        <v/>
      </c>
    </row>
    <row r="830" spans="25:26" ht="16.350000000000001" customHeight="1" x14ac:dyDescent="0.25">
      <c r="Y830" s="221" t="str">
        <f t="shared" si="92"/>
        <v/>
      </c>
      <c r="Z830" s="221" t="str">
        <f t="shared" si="93"/>
        <v/>
      </c>
    </row>
    <row r="831" spans="25:26" ht="16.350000000000001" customHeight="1" x14ac:dyDescent="0.25">
      <c r="Y831" s="221" t="str">
        <f t="shared" si="92"/>
        <v/>
      </c>
      <c r="Z831" s="221" t="str">
        <f t="shared" si="93"/>
        <v/>
      </c>
    </row>
    <row r="832" spans="25:26" ht="16.350000000000001" customHeight="1" x14ac:dyDescent="0.25">
      <c r="Y832" s="221" t="str">
        <f t="shared" si="92"/>
        <v/>
      </c>
      <c r="Z832" s="221" t="str">
        <f t="shared" si="93"/>
        <v/>
      </c>
    </row>
    <row r="833" spans="25:26" ht="16.350000000000001" customHeight="1" x14ac:dyDescent="0.25">
      <c r="Y833" s="221" t="str">
        <f t="shared" si="92"/>
        <v/>
      </c>
      <c r="Z833" s="221" t="str">
        <f t="shared" si="93"/>
        <v/>
      </c>
    </row>
    <row r="834" spans="25:26" ht="16.350000000000001" customHeight="1" x14ac:dyDescent="0.25">
      <c r="Y834" s="221" t="str">
        <f t="shared" si="92"/>
        <v/>
      </c>
      <c r="Z834" s="221" t="str">
        <f t="shared" si="93"/>
        <v/>
      </c>
    </row>
    <row r="835" spans="25:26" ht="16.350000000000001" customHeight="1" x14ac:dyDescent="0.25">
      <c r="Y835" s="221" t="str">
        <f t="shared" si="92"/>
        <v/>
      </c>
      <c r="Z835" s="221" t="str">
        <f t="shared" si="93"/>
        <v/>
      </c>
    </row>
    <row r="836" spans="25:26" ht="16.350000000000001" customHeight="1" x14ac:dyDescent="0.25">
      <c r="Y836" s="221" t="str">
        <f t="shared" si="92"/>
        <v/>
      </c>
      <c r="Z836" s="221" t="str">
        <f t="shared" si="93"/>
        <v/>
      </c>
    </row>
    <row r="837" spans="25:26" ht="16.350000000000001" customHeight="1" x14ac:dyDescent="0.25">
      <c r="Y837" s="221" t="str">
        <f t="shared" si="92"/>
        <v/>
      </c>
      <c r="Z837" s="221" t="str">
        <f t="shared" si="93"/>
        <v/>
      </c>
    </row>
    <row r="838" spans="25:26" ht="16.350000000000001" customHeight="1" x14ac:dyDescent="0.25">
      <c r="Y838" s="221" t="str">
        <f t="shared" si="92"/>
        <v/>
      </c>
      <c r="Z838" s="221" t="str">
        <f t="shared" si="93"/>
        <v/>
      </c>
    </row>
    <row r="839" spans="25:26" ht="16.350000000000001" customHeight="1" x14ac:dyDescent="0.25">
      <c r="Y839" s="221" t="str">
        <f t="shared" si="92"/>
        <v/>
      </c>
      <c r="Z839" s="221" t="str">
        <f t="shared" si="93"/>
        <v/>
      </c>
    </row>
    <row r="840" spans="25:26" ht="16.350000000000001" customHeight="1" x14ac:dyDescent="0.25">
      <c r="Y840" s="221" t="str">
        <f t="shared" si="92"/>
        <v/>
      </c>
      <c r="Z840" s="221" t="str">
        <f t="shared" si="93"/>
        <v/>
      </c>
    </row>
    <row r="841" spans="25:26" ht="16.350000000000001" customHeight="1" x14ac:dyDescent="0.25">
      <c r="Y841" s="221" t="str">
        <f t="shared" si="92"/>
        <v/>
      </c>
      <c r="Z841" s="221" t="str">
        <f t="shared" si="93"/>
        <v/>
      </c>
    </row>
    <row r="842" spans="25:26" ht="16.350000000000001" customHeight="1" x14ac:dyDescent="0.25">
      <c r="Y842" s="221" t="str">
        <f t="shared" si="92"/>
        <v/>
      </c>
      <c r="Z842" s="221" t="str">
        <f t="shared" si="93"/>
        <v/>
      </c>
    </row>
    <row r="843" spans="25:26" ht="16.350000000000001" customHeight="1" x14ac:dyDescent="0.25">
      <c r="Y843" s="221" t="str">
        <f t="shared" si="92"/>
        <v/>
      </c>
      <c r="Z843" s="221" t="str">
        <f t="shared" si="93"/>
        <v/>
      </c>
    </row>
    <row r="844" spans="25:26" ht="16.350000000000001" customHeight="1" x14ac:dyDescent="0.25">
      <c r="Y844" s="221" t="str">
        <f t="shared" si="92"/>
        <v/>
      </c>
      <c r="Z844" s="221" t="str">
        <f t="shared" si="93"/>
        <v/>
      </c>
    </row>
    <row r="845" spans="25:26" ht="16.350000000000001" customHeight="1" x14ac:dyDescent="0.25">
      <c r="Y845" s="221" t="str">
        <f t="shared" si="92"/>
        <v/>
      </c>
      <c r="Z845" s="221" t="str">
        <f t="shared" si="93"/>
        <v/>
      </c>
    </row>
    <row r="846" spans="25:26" ht="16.350000000000001" customHeight="1" x14ac:dyDescent="0.25">
      <c r="Y846" s="221" t="str">
        <f t="shared" si="92"/>
        <v/>
      </c>
      <c r="Z846" s="221" t="str">
        <f t="shared" si="93"/>
        <v/>
      </c>
    </row>
    <row r="847" spans="25:26" ht="16.350000000000001" customHeight="1" x14ac:dyDescent="0.25">
      <c r="Y847" s="221" t="str">
        <f t="shared" si="92"/>
        <v/>
      </c>
      <c r="Z847" s="221" t="str">
        <f t="shared" si="93"/>
        <v/>
      </c>
    </row>
    <row r="848" spans="25:26" ht="16.350000000000001" customHeight="1" x14ac:dyDescent="0.25">
      <c r="Y848" s="221" t="str">
        <f t="shared" si="92"/>
        <v/>
      </c>
      <c r="Z848" s="221" t="str">
        <f t="shared" si="93"/>
        <v/>
      </c>
    </row>
    <row r="849" spans="25:26" ht="16.350000000000001" customHeight="1" x14ac:dyDescent="0.25">
      <c r="Y849" s="221" t="str">
        <f t="shared" si="92"/>
        <v/>
      </c>
      <c r="Z849" s="221" t="str">
        <f t="shared" si="93"/>
        <v/>
      </c>
    </row>
    <row r="850" spans="25:26" ht="16.350000000000001" customHeight="1" x14ac:dyDescent="0.25">
      <c r="Y850" s="221" t="str">
        <f t="shared" si="92"/>
        <v/>
      </c>
      <c r="Z850" s="221" t="str">
        <f t="shared" si="93"/>
        <v/>
      </c>
    </row>
    <row r="851" spans="25:26" ht="16.350000000000001" customHeight="1" x14ac:dyDescent="0.25">
      <c r="Y851" s="221" t="str">
        <f t="shared" si="92"/>
        <v/>
      </c>
      <c r="Z851" s="221" t="str">
        <f t="shared" si="93"/>
        <v/>
      </c>
    </row>
    <row r="852" spans="25:26" ht="16.350000000000001" customHeight="1" x14ac:dyDescent="0.25">
      <c r="Y852" s="221" t="str">
        <f t="shared" ref="Y852:Y915" si="94">IF(AA852&lt;&gt;"","NEW","")</f>
        <v/>
      </c>
      <c r="Z852" s="221" t="str">
        <f t="shared" ref="Z852:Z915" si="95">IF(AA852&lt;&gt;"",$AA$1,"")</f>
        <v/>
      </c>
    </row>
    <row r="853" spans="25:26" ht="16.350000000000001" customHeight="1" x14ac:dyDescent="0.25">
      <c r="Y853" s="221" t="str">
        <f t="shared" si="94"/>
        <v/>
      </c>
      <c r="Z853" s="221" t="str">
        <f t="shared" si="95"/>
        <v/>
      </c>
    </row>
    <row r="854" spans="25:26" ht="16.350000000000001" customHeight="1" x14ac:dyDescent="0.25">
      <c r="Y854" s="221" t="str">
        <f t="shared" si="94"/>
        <v/>
      </c>
      <c r="Z854" s="221" t="str">
        <f t="shared" si="95"/>
        <v/>
      </c>
    </row>
    <row r="855" spans="25:26" ht="16.350000000000001" customHeight="1" x14ac:dyDescent="0.25">
      <c r="Y855" s="221" t="str">
        <f t="shared" si="94"/>
        <v/>
      </c>
      <c r="Z855" s="221" t="str">
        <f t="shared" si="95"/>
        <v/>
      </c>
    </row>
    <row r="856" spans="25:26" ht="16.350000000000001" customHeight="1" x14ac:dyDescent="0.25">
      <c r="Y856" s="221" t="str">
        <f t="shared" si="94"/>
        <v/>
      </c>
      <c r="Z856" s="221" t="str">
        <f t="shared" si="95"/>
        <v/>
      </c>
    </row>
    <row r="857" spans="25:26" ht="16.350000000000001" customHeight="1" x14ac:dyDescent="0.25">
      <c r="Y857" s="221" t="str">
        <f t="shared" si="94"/>
        <v/>
      </c>
      <c r="Z857" s="221" t="str">
        <f t="shared" si="95"/>
        <v/>
      </c>
    </row>
    <row r="858" spans="25:26" ht="16.350000000000001" customHeight="1" x14ac:dyDescent="0.25">
      <c r="Y858" s="221" t="str">
        <f t="shared" si="94"/>
        <v/>
      </c>
      <c r="Z858" s="221" t="str">
        <f t="shared" si="95"/>
        <v/>
      </c>
    </row>
    <row r="859" spans="25:26" ht="16.350000000000001" customHeight="1" x14ac:dyDescent="0.25">
      <c r="Y859" s="221" t="str">
        <f t="shared" si="94"/>
        <v/>
      </c>
      <c r="Z859" s="221" t="str">
        <f t="shared" si="95"/>
        <v/>
      </c>
    </row>
    <row r="860" spans="25:26" ht="16.350000000000001" customHeight="1" x14ac:dyDescent="0.25">
      <c r="Y860" s="221" t="str">
        <f t="shared" si="94"/>
        <v/>
      </c>
      <c r="Z860" s="221" t="str">
        <f t="shared" si="95"/>
        <v/>
      </c>
    </row>
    <row r="861" spans="25:26" ht="16.350000000000001" customHeight="1" x14ac:dyDescent="0.25">
      <c r="Y861" s="221" t="str">
        <f t="shared" si="94"/>
        <v/>
      </c>
      <c r="Z861" s="221" t="str">
        <f t="shared" si="95"/>
        <v/>
      </c>
    </row>
    <row r="862" spans="25:26" ht="16.350000000000001" customHeight="1" x14ac:dyDescent="0.25">
      <c r="Y862" s="221" t="str">
        <f t="shared" si="94"/>
        <v/>
      </c>
      <c r="Z862" s="221" t="str">
        <f t="shared" si="95"/>
        <v/>
      </c>
    </row>
    <row r="863" spans="25:26" ht="16.350000000000001" customHeight="1" x14ac:dyDescent="0.25">
      <c r="Y863" s="221" t="str">
        <f t="shared" si="94"/>
        <v/>
      </c>
      <c r="Z863" s="221" t="str">
        <f t="shared" si="95"/>
        <v/>
      </c>
    </row>
    <row r="864" spans="25:26" ht="16.350000000000001" customHeight="1" x14ac:dyDescent="0.25">
      <c r="Y864" s="221" t="str">
        <f t="shared" si="94"/>
        <v/>
      </c>
      <c r="Z864" s="221" t="str">
        <f t="shared" si="95"/>
        <v/>
      </c>
    </row>
    <row r="865" spans="25:26" ht="16.350000000000001" customHeight="1" x14ac:dyDescent="0.25">
      <c r="Y865" s="221" t="str">
        <f t="shared" si="94"/>
        <v/>
      </c>
      <c r="Z865" s="221" t="str">
        <f t="shared" si="95"/>
        <v/>
      </c>
    </row>
    <row r="866" spans="25:26" ht="16.350000000000001" customHeight="1" x14ac:dyDescent="0.25">
      <c r="Y866" s="221" t="str">
        <f t="shared" si="94"/>
        <v/>
      </c>
      <c r="Z866" s="221" t="str">
        <f t="shared" si="95"/>
        <v/>
      </c>
    </row>
    <row r="867" spans="25:26" ht="16.350000000000001" customHeight="1" x14ac:dyDescent="0.25">
      <c r="Y867" s="221" t="str">
        <f t="shared" si="94"/>
        <v/>
      </c>
      <c r="Z867" s="221" t="str">
        <f t="shared" si="95"/>
        <v/>
      </c>
    </row>
    <row r="868" spans="25:26" ht="16.350000000000001" customHeight="1" x14ac:dyDescent="0.25">
      <c r="Y868" s="221" t="str">
        <f t="shared" si="94"/>
        <v/>
      </c>
      <c r="Z868" s="221" t="str">
        <f t="shared" si="95"/>
        <v/>
      </c>
    </row>
    <row r="869" spans="25:26" ht="16.350000000000001" customHeight="1" x14ac:dyDescent="0.25">
      <c r="Y869" s="221" t="str">
        <f t="shared" si="94"/>
        <v/>
      </c>
      <c r="Z869" s="221" t="str">
        <f t="shared" si="95"/>
        <v/>
      </c>
    </row>
    <row r="870" spans="25:26" ht="16.350000000000001" customHeight="1" x14ac:dyDescent="0.25">
      <c r="Y870" s="221" t="str">
        <f t="shared" si="94"/>
        <v/>
      </c>
      <c r="Z870" s="221" t="str">
        <f t="shared" si="95"/>
        <v/>
      </c>
    </row>
    <row r="871" spans="25:26" ht="16.350000000000001" customHeight="1" x14ac:dyDescent="0.25">
      <c r="Y871" s="221" t="str">
        <f t="shared" si="94"/>
        <v/>
      </c>
      <c r="Z871" s="221" t="str">
        <f t="shared" si="95"/>
        <v/>
      </c>
    </row>
    <row r="872" spans="25:26" ht="16.350000000000001" customHeight="1" x14ac:dyDescent="0.25">
      <c r="Y872" s="221" t="str">
        <f t="shared" si="94"/>
        <v/>
      </c>
      <c r="Z872" s="221" t="str">
        <f t="shared" si="95"/>
        <v/>
      </c>
    </row>
    <row r="873" spans="25:26" ht="16.350000000000001" customHeight="1" x14ac:dyDescent="0.25">
      <c r="Y873" s="221" t="str">
        <f t="shared" si="94"/>
        <v/>
      </c>
      <c r="Z873" s="221" t="str">
        <f t="shared" si="95"/>
        <v/>
      </c>
    </row>
    <row r="874" spans="25:26" ht="16.350000000000001" customHeight="1" x14ac:dyDescent="0.25">
      <c r="Y874" s="221" t="str">
        <f t="shared" si="94"/>
        <v/>
      </c>
      <c r="Z874" s="221" t="str">
        <f t="shared" si="95"/>
        <v/>
      </c>
    </row>
    <row r="875" spans="25:26" ht="16.350000000000001" customHeight="1" x14ac:dyDescent="0.25">
      <c r="Y875" s="221" t="str">
        <f t="shared" si="94"/>
        <v/>
      </c>
      <c r="Z875" s="221" t="str">
        <f t="shared" si="95"/>
        <v/>
      </c>
    </row>
    <row r="876" spans="25:26" ht="16.350000000000001" customHeight="1" x14ac:dyDescent="0.25">
      <c r="Y876" s="221" t="str">
        <f t="shared" si="94"/>
        <v/>
      </c>
      <c r="Z876" s="221" t="str">
        <f t="shared" si="95"/>
        <v/>
      </c>
    </row>
    <row r="877" spans="25:26" ht="16.350000000000001" customHeight="1" x14ac:dyDescent="0.25">
      <c r="Y877" s="221" t="str">
        <f t="shared" si="94"/>
        <v/>
      </c>
      <c r="Z877" s="221" t="str">
        <f t="shared" si="95"/>
        <v/>
      </c>
    </row>
    <row r="878" spans="25:26" ht="16.350000000000001" customHeight="1" x14ac:dyDescent="0.25">
      <c r="Y878" s="221" t="str">
        <f t="shared" si="94"/>
        <v/>
      </c>
      <c r="Z878" s="221" t="str">
        <f t="shared" si="95"/>
        <v/>
      </c>
    </row>
    <row r="879" spans="25:26" ht="16.350000000000001" customHeight="1" x14ac:dyDescent="0.25">
      <c r="Y879" s="221" t="str">
        <f t="shared" si="94"/>
        <v/>
      </c>
      <c r="Z879" s="221" t="str">
        <f t="shared" si="95"/>
        <v/>
      </c>
    </row>
    <row r="880" spans="25:26" ht="16.350000000000001" customHeight="1" x14ac:dyDescent="0.25">
      <c r="Y880" s="221" t="str">
        <f t="shared" si="94"/>
        <v/>
      </c>
      <c r="Z880" s="221" t="str">
        <f t="shared" si="95"/>
        <v/>
      </c>
    </row>
    <row r="881" spans="25:26" ht="16.350000000000001" customHeight="1" x14ac:dyDescent="0.25">
      <c r="Y881" s="221" t="str">
        <f t="shared" si="94"/>
        <v/>
      </c>
      <c r="Z881" s="221" t="str">
        <f t="shared" si="95"/>
        <v/>
      </c>
    </row>
    <row r="882" spans="25:26" ht="16.350000000000001" customHeight="1" x14ac:dyDescent="0.25">
      <c r="Y882" s="221" t="str">
        <f t="shared" si="94"/>
        <v/>
      </c>
      <c r="Z882" s="221" t="str">
        <f t="shared" si="95"/>
        <v/>
      </c>
    </row>
    <row r="883" spans="25:26" ht="16.350000000000001" customHeight="1" x14ac:dyDescent="0.25">
      <c r="Y883" s="221" t="str">
        <f t="shared" si="94"/>
        <v/>
      </c>
      <c r="Z883" s="221" t="str">
        <f t="shared" si="95"/>
        <v/>
      </c>
    </row>
    <row r="884" spans="25:26" ht="16.350000000000001" customHeight="1" x14ac:dyDescent="0.25">
      <c r="Y884" s="221" t="str">
        <f t="shared" si="94"/>
        <v/>
      </c>
      <c r="Z884" s="221" t="str">
        <f t="shared" si="95"/>
        <v/>
      </c>
    </row>
    <row r="885" spans="25:26" ht="16.350000000000001" customHeight="1" x14ac:dyDescent="0.25">
      <c r="Y885" s="221" t="str">
        <f t="shared" si="94"/>
        <v/>
      </c>
      <c r="Z885" s="221" t="str">
        <f t="shared" si="95"/>
        <v/>
      </c>
    </row>
    <row r="886" spans="25:26" ht="16.350000000000001" customHeight="1" x14ac:dyDescent="0.25">
      <c r="Y886" s="221" t="str">
        <f t="shared" si="94"/>
        <v/>
      </c>
      <c r="Z886" s="221" t="str">
        <f t="shared" si="95"/>
        <v/>
      </c>
    </row>
    <row r="887" spans="25:26" ht="16.350000000000001" customHeight="1" x14ac:dyDescent="0.25">
      <c r="Y887" s="221" t="str">
        <f t="shared" si="94"/>
        <v/>
      </c>
      <c r="Z887" s="221" t="str">
        <f t="shared" si="95"/>
        <v/>
      </c>
    </row>
    <row r="888" spans="25:26" ht="16.350000000000001" customHeight="1" x14ac:dyDescent="0.25">
      <c r="Y888" s="221" t="str">
        <f t="shared" si="94"/>
        <v/>
      </c>
      <c r="Z888" s="221" t="str">
        <f t="shared" si="95"/>
        <v/>
      </c>
    </row>
    <row r="889" spans="25:26" ht="16.350000000000001" customHeight="1" x14ac:dyDescent="0.25">
      <c r="Y889" s="221" t="str">
        <f t="shared" si="94"/>
        <v/>
      </c>
      <c r="Z889" s="221" t="str">
        <f t="shared" si="95"/>
        <v/>
      </c>
    </row>
    <row r="890" spans="25:26" ht="16.350000000000001" customHeight="1" x14ac:dyDescent="0.25">
      <c r="Y890" s="221" t="str">
        <f t="shared" si="94"/>
        <v/>
      </c>
      <c r="Z890" s="221" t="str">
        <f t="shared" si="95"/>
        <v/>
      </c>
    </row>
    <row r="891" spans="25:26" ht="16.350000000000001" customHeight="1" x14ac:dyDescent="0.25">
      <c r="Y891" s="221" t="str">
        <f t="shared" si="94"/>
        <v/>
      </c>
      <c r="Z891" s="221" t="str">
        <f t="shared" si="95"/>
        <v/>
      </c>
    </row>
    <row r="892" spans="25:26" ht="16.350000000000001" customHeight="1" x14ac:dyDescent="0.25">
      <c r="Y892" s="221" t="str">
        <f t="shared" si="94"/>
        <v/>
      </c>
      <c r="Z892" s="221" t="str">
        <f t="shared" si="95"/>
        <v/>
      </c>
    </row>
    <row r="893" spans="25:26" ht="16.350000000000001" customHeight="1" x14ac:dyDescent="0.25">
      <c r="Y893" s="221" t="str">
        <f t="shared" si="94"/>
        <v/>
      </c>
      <c r="Z893" s="221" t="str">
        <f t="shared" si="95"/>
        <v/>
      </c>
    </row>
    <row r="894" spans="25:26" ht="16.350000000000001" customHeight="1" x14ac:dyDescent="0.25">
      <c r="Y894" s="221" t="str">
        <f t="shared" si="94"/>
        <v/>
      </c>
      <c r="Z894" s="221" t="str">
        <f t="shared" si="95"/>
        <v/>
      </c>
    </row>
    <row r="895" spans="25:26" ht="16.350000000000001" customHeight="1" x14ac:dyDescent="0.25">
      <c r="Y895" s="221" t="str">
        <f t="shared" si="94"/>
        <v/>
      </c>
      <c r="Z895" s="221" t="str">
        <f t="shared" si="95"/>
        <v/>
      </c>
    </row>
    <row r="896" spans="25:26" ht="16.350000000000001" customHeight="1" x14ac:dyDescent="0.25">
      <c r="Y896" s="221" t="str">
        <f t="shared" si="94"/>
        <v/>
      </c>
      <c r="Z896" s="221" t="str">
        <f t="shared" si="95"/>
        <v/>
      </c>
    </row>
    <row r="897" spans="25:26" ht="16.350000000000001" customHeight="1" x14ac:dyDescent="0.25">
      <c r="Y897" s="221" t="str">
        <f t="shared" si="94"/>
        <v/>
      </c>
      <c r="Z897" s="221" t="str">
        <f t="shared" si="95"/>
        <v/>
      </c>
    </row>
    <row r="898" spans="25:26" ht="16.350000000000001" customHeight="1" x14ac:dyDescent="0.25">
      <c r="Y898" s="221" t="str">
        <f t="shared" si="94"/>
        <v/>
      </c>
      <c r="Z898" s="221" t="str">
        <f t="shared" si="95"/>
        <v/>
      </c>
    </row>
    <row r="899" spans="25:26" ht="16.350000000000001" customHeight="1" x14ac:dyDescent="0.25">
      <c r="Y899" s="221" t="str">
        <f t="shared" si="94"/>
        <v/>
      </c>
      <c r="Z899" s="221" t="str">
        <f t="shared" si="95"/>
        <v/>
      </c>
    </row>
    <row r="900" spans="25:26" ht="16.350000000000001" customHeight="1" x14ac:dyDescent="0.25">
      <c r="Y900" s="221" t="str">
        <f t="shared" si="94"/>
        <v/>
      </c>
      <c r="Z900" s="221" t="str">
        <f t="shared" si="95"/>
        <v/>
      </c>
    </row>
    <row r="901" spans="25:26" ht="16.350000000000001" customHeight="1" x14ac:dyDescent="0.25">
      <c r="Y901" s="221" t="str">
        <f t="shared" si="94"/>
        <v/>
      </c>
      <c r="Z901" s="221" t="str">
        <f t="shared" si="95"/>
        <v/>
      </c>
    </row>
    <row r="902" spans="25:26" ht="16.350000000000001" customHeight="1" x14ac:dyDescent="0.25">
      <c r="Y902" s="221" t="str">
        <f t="shared" si="94"/>
        <v/>
      </c>
      <c r="Z902" s="221" t="str">
        <f t="shared" si="95"/>
        <v/>
      </c>
    </row>
    <row r="903" spans="25:26" ht="16.350000000000001" customHeight="1" x14ac:dyDescent="0.25">
      <c r="Y903" s="221" t="str">
        <f t="shared" si="94"/>
        <v/>
      </c>
      <c r="Z903" s="221" t="str">
        <f t="shared" si="95"/>
        <v/>
      </c>
    </row>
    <row r="904" spans="25:26" ht="16.350000000000001" customHeight="1" x14ac:dyDescent="0.25">
      <c r="Y904" s="221" t="str">
        <f t="shared" si="94"/>
        <v/>
      </c>
      <c r="Z904" s="221" t="str">
        <f t="shared" si="95"/>
        <v/>
      </c>
    </row>
    <row r="905" spans="25:26" ht="16.350000000000001" customHeight="1" x14ac:dyDescent="0.25">
      <c r="Y905" s="221" t="str">
        <f t="shared" si="94"/>
        <v/>
      </c>
      <c r="Z905" s="221" t="str">
        <f t="shared" si="95"/>
        <v/>
      </c>
    </row>
    <row r="906" spans="25:26" ht="16.350000000000001" customHeight="1" x14ac:dyDescent="0.25">
      <c r="Y906" s="221" t="str">
        <f t="shared" si="94"/>
        <v/>
      </c>
      <c r="Z906" s="221" t="str">
        <f t="shared" si="95"/>
        <v/>
      </c>
    </row>
    <row r="907" spans="25:26" ht="16.350000000000001" customHeight="1" x14ac:dyDescent="0.25">
      <c r="Y907" s="221" t="str">
        <f t="shared" si="94"/>
        <v/>
      </c>
      <c r="Z907" s="221" t="str">
        <f t="shared" si="95"/>
        <v/>
      </c>
    </row>
    <row r="908" spans="25:26" ht="16.350000000000001" customHeight="1" x14ac:dyDescent="0.25">
      <c r="Y908" s="221" t="str">
        <f t="shared" si="94"/>
        <v/>
      </c>
      <c r="Z908" s="221" t="str">
        <f t="shared" si="95"/>
        <v/>
      </c>
    </row>
    <row r="909" spans="25:26" ht="16.350000000000001" customHeight="1" x14ac:dyDescent="0.25">
      <c r="Y909" s="221" t="str">
        <f t="shared" si="94"/>
        <v/>
      </c>
      <c r="Z909" s="221" t="str">
        <f t="shared" si="95"/>
        <v/>
      </c>
    </row>
    <row r="910" spans="25:26" ht="16.350000000000001" customHeight="1" x14ac:dyDescent="0.25">
      <c r="Y910" s="221" t="str">
        <f t="shared" si="94"/>
        <v/>
      </c>
      <c r="Z910" s="221" t="str">
        <f t="shared" si="95"/>
        <v/>
      </c>
    </row>
    <row r="911" spans="25:26" ht="16.350000000000001" customHeight="1" x14ac:dyDescent="0.25">
      <c r="Y911" s="221" t="str">
        <f t="shared" si="94"/>
        <v/>
      </c>
      <c r="Z911" s="221" t="str">
        <f t="shared" si="95"/>
        <v/>
      </c>
    </row>
    <row r="912" spans="25:26" ht="16.350000000000001" customHeight="1" x14ac:dyDescent="0.25">
      <c r="Y912" s="221" t="str">
        <f t="shared" si="94"/>
        <v/>
      </c>
      <c r="Z912" s="221" t="str">
        <f t="shared" si="95"/>
        <v/>
      </c>
    </row>
    <row r="913" spans="25:26" ht="16.350000000000001" customHeight="1" x14ac:dyDescent="0.25">
      <c r="Y913" s="221" t="str">
        <f t="shared" si="94"/>
        <v/>
      </c>
      <c r="Z913" s="221" t="str">
        <f t="shared" si="95"/>
        <v/>
      </c>
    </row>
    <row r="914" spans="25:26" ht="16.350000000000001" customHeight="1" x14ac:dyDescent="0.25">
      <c r="Y914" s="221" t="str">
        <f t="shared" si="94"/>
        <v/>
      </c>
      <c r="Z914" s="221" t="str">
        <f t="shared" si="95"/>
        <v/>
      </c>
    </row>
    <row r="915" spans="25:26" ht="16.350000000000001" customHeight="1" x14ac:dyDescent="0.25">
      <c r="Y915" s="221" t="str">
        <f t="shared" si="94"/>
        <v/>
      </c>
      <c r="Z915" s="221" t="str">
        <f t="shared" si="95"/>
        <v/>
      </c>
    </row>
    <row r="916" spans="25:26" ht="16.350000000000001" customHeight="1" x14ac:dyDescent="0.25">
      <c r="Y916" s="221" t="str">
        <f t="shared" ref="Y916:Y979" si="96">IF(AA916&lt;&gt;"","NEW","")</f>
        <v/>
      </c>
      <c r="Z916" s="221" t="str">
        <f t="shared" ref="Z916:Z979" si="97">IF(AA916&lt;&gt;"",$AA$1,"")</f>
        <v/>
      </c>
    </row>
    <row r="917" spans="25:26" ht="16.350000000000001" customHeight="1" x14ac:dyDescent="0.25">
      <c r="Y917" s="221" t="str">
        <f t="shared" si="96"/>
        <v/>
      </c>
      <c r="Z917" s="221" t="str">
        <f t="shared" si="97"/>
        <v/>
      </c>
    </row>
    <row r="918" spans="25:26" ht="16.350000000000001" customHeight="1" x14ac:dyDescent="0.25">
      <c r="Y918" s="221" t="str">
        <f t="shared" si="96"/>
        <v/>
      </c>
      <c r="Z918" s="221" t="str">
        <f t="shared" si="97"/>
        <v/>
      </c>
    </row>
    <row r="919" spans="25:26" ht="16.350000000000001" customHeight="1" x14ac:dyDescent="0.25">
      <c r="Y919" s="221" t="str">
        <f t="shared" si="96"/>
        <v/>
      </c>
      <c r="Z919" s="221" t="str">
        <f t="shared" si="97"/>
        <v/>
      </c>
    </row>
    <row r="920" spans="25:26" ht="16.350000000000001" customHeight="1" x14ac:dyDescent="0.25">
      <c r="Y920" s="221" t="str">
        <f t="shared" si="96"/>
        <v/>
      </c>
      <c r="Z920" s="221" t="str">
        <f t="shared" si="97"/>
        <v/>
      </c>
    </row>
    <row r="921" spans="25:26" ht="16.350000000000001" customHeight="1" x14ac:dyDescent="0.25">
      <c r="Y921" s="221" t="str">
        <f t="shared" si="96"/>
        <v/>
      </c>
      <c r="Z921" s="221" t="str">
        <f t="shared" si="97"/>
        <v/>
      </c>
    </row>
    <row r="922" spans="25:26" ht="16.350000000000001" customHeight="1" x14ac:dyDescent="0.25">
      <c r="Y922" s="221" t="str">
        <f t="shared" si="96"/>
        <v/>
      </c>
      <c r="Z922" s="221" t="str">
        <f t="shared" si="97"/>
        <v/>
      </c>
    </row>
    <row r="923" spans="25:26" ht="16.350000000000001" customHeight="1" x14ac:dyDescent="0.25">
      <c r="Y923" s="221" t="str">
        <f t="shared" si="96"/>
        <v/>
      </c>
      <c r="Z923" s="221" t="str">
        <f t="shared" si="97"/>
        <v/>
      </c>
    </row>
    <row r="924" spans="25:26" ht="16.350000000000001" customHeight="1" x14ac:dyDescent="0.25">
      <c r="Y924" s="221" t="str">
        <f t="shared" si="96"/>
        <v/>
      </c>
      <c r="Z924" s="221" t="str">
        <f t="shared" si="97"/>
        <v/>
      </c>
    </row>
    <row r="925" spans="25:26" ht="16.350000000000001" customHeight="1" x14ac:dyDescent="0.25">
      <c r="Y925" s="221" t="str">
        <f t="shared" si="96"/>
        <v/>
      </c>
      <c r="Z925" s="221" t="str">
        <f t="shared" si="97"/>
        <v/>
      </c>
    </row>
    <row r="926" spans="25:26" ht="16.350000000000001" customHeight="1" x14ac:dyDescent="0.25">
      <c r="Y926" s="221" t="str">
        <f t="shared" si="96"/>
        <v/>
      </c>
      <c r="Z926" s="221" t="str">
        <f t="shared" si="97"/>
        <v/>
      </c>
    </row>
    <row r="927" spans="25:26" ht="16.350000000000001" customHeight="1" x14ac:dyDescent="0.25">
      <c r="Y927" s="221" t="str">
        <f t="shared" si="96"/>
        <v/>
      </c>
      <c r="Z927" s="221" t="str">
        <f t="shared" si="97"/>
        <v/>
      </c>
    </row>
    <row r="928" spans="25:26" ht="16.350000000000001" customHeight="1" x14ac:dyDescent="0.25">
      <c r="Y928" s="221" t="str">
        <f t="shared" si="96"/>
        <v/>
      </c>
      <c r="Z928" s="221" t="str">
        <f t="shared" si="97"/>
        <v/>
      </c>
    </row>
    <row r="929" spans="25:26" ht="16.350000000000001" customHeight="1" x14ac:dyDescent="0.25">
      <c r="Y929" s="221" t="str">
        <f t="shared" si="96"/>
        <v/>
      </c>
      <c r="Z929" s="221" t="str">
        <f t="shared" si="97"/>
        <v/>
      </c>
    </row>
    <row r="930" spans="25:26" ht="16.350000000000001" customHeight="1" x14ac:dyDescent="0.25">
      <c r="Y930" s="221" t="str">
        <f t="shared" si="96"/>
        <v/>
      </c>
      <c r="Z930" s="221" t="str">
        <f t="shared" si="97"/>
        <v/>
      </c>
    </row>
    <row r="931" spans="25:26" ht="16.350000000000001" customHeight="1" x14ac:dyDescent="0.25">
      <c r="Y931" s="221" t="str">
        <f t="shared" si="96"/>
        <v/>
      </c>
      <c r="Z931" s="221" t="str">
        <f t="shared" si="97"/>
        <v/>
      </c>
    </row>
    <row r="932" spans="25:26" ht="16.350000000000001" customHeight="1" x14ac:dyDescent="0.25">
      <c r="Y932" s="221" t="str">
        <f t="shared" si="96"/>
        <v/>
      </c>
      <c r="Z932" s="221" t="str">
        <f t="shared" si="97"/>
        <v/>
      </c>
    </row>
    <row r="933" spans="25:26" ht="16.350000000000001" customHeight="1" x14ac:dyDescent="0.25">
      <c r="Y933" s="221" t="str">
        <f t="shared" si="96"/>
        <v/>
      </c>
      <c r="Z933" s="221" t="str">
        <f t="shared" si="97"/>
        <v/>
      </c>
    </row>
    <row r="934" spans="25:26" ht="16.350000000000001" customHeight="1" x14ac:dyDescent="0.25">
      <c r="Y934" s="221" t="str">
        <f t="shared" si="96"/>
        <v/>
      </c>
      <c r="Z934" s="221" t="str">
        <f t="shared" si="97"/>
        <v/>
      </c>
    </row>
    <row r="935" spans="25:26" ht="16.350000000000001" customHeight="1" x14ac:dyDescent="0.25">
      <c r="Y935" s="221" t="str">
        <f t="shared" si="96"/>
        <v/>
      </c>
      <c r="Z935" s="221" t="str">
        <f t="shared" si="97"/>
        <v/>
      </c>
    </row>
    <row r="936" spans="25:26" ht="16.350000000000001" customHeight="1" x14ac:dyDescent="0.25">
      <c r="Y936" s="221" t="str">
        <f t="shared" si="96"/>
        <v/>
      </c>
      <c r="Z936" s="221" t="str">
        <f t="shared" si="97"/>
        <v/>
      </c>
    </row>
    <row r="937" spans="25:26" ht="16.350000000000001" customHeight="1" x14ac:dyDescent="0.25">
      <c r="Y937" s="221" t="str">
        <f t="shared" si="96"/>
        <v/>
      </c>
      <c r="Z937" s="221" t="str">
        <f t="shared" si="97"/>
        <v/>
      </c>
    </row>
    <row r="938" spans="25:26" ht="16.350000000000001" customHeight="1" x14ac:dyDescent="0.25">
      <c r="Y938" s="221" t="str">
        <f t="shared" si="96"/>
        <v/>
      </c>
      <c r="Z938" s="221" t="str">
        <f t="shared" si="97"/>
        <v/>
      </c>
    </row>
    <row r="939" spans="25:26" ht="16.350000000000001" customHeight="1" x14ac:dyDescent="0.25">
      <c r="Y939" s="221" t="str">
        <f t="shared" si="96"/>
        <v/>
      </c>
      <c r="Z939" s="221" t="str">
        <f t="shared" si="97"/>
        <v/>
      </c>
    </row>
    <row r="940" spans="25:26" ht="16.350000000000001" customHeight="1" x14ac:dyDescent="0.25">
      <c r="Y940" s="221" t="str">
        <f t="shared" si="96"/>
        <v/>
      </c>
      <c r="Z940" s="221" t="str">
        <f t="shared" si="97"/>
        <v/>
      </c>
    </row>
    <row r="941" spans="25:26" ht="16.350000000000001" customHeight="1" x14ac:dyDescent="0.25">
      <c r="Y941" s="221" t="str">
        <f t="shared" si="96"/>
        <v/>
      </c>
      <c r="Z941" s="221" t="str">
        <f t="shared" si="97"/>
        <v/>
      </c>
    </row>
    <row r="942" spans="25:26" ht="16.350000000000001" customHeight="1" x14ac:dyDescent="0.25">
      <c r="Y942" s="221" t="str">
        <f t="shared" si="96"/>
        <v/>
      </c>
      <c r="Z942" s="221" t="str">
        <f t="shared" si="97"/>
        <v/>
      </c>
    </row>
    <row r="943" spans="25:26" ht="16.350000000000001" customHeight="1" x14ac:dyDescent="0.25">
      <c r="Y943" s="221" t="str">
        <f t="shared" si="96"/>
        <v/>
      </c>
      <c r="Z943" s="221" t="str">
        <f t="shared" si="97"/>
        <v/>
      </c>
    </row>
    <row r="944" spans="25:26" ht="16.350000000000001" customHeight="1" x14ac:dyDescent="0.25">
      <c r="Y944" s="221" t="str">
        <f t="shared" si="96"/>
        <v/>
      </c>
      <c r="Z944" s="221" t="str">
        <f t="shared" si="97"/>
        <v/>
      </c>
    </row>
    <row r="945" spans="25:26" ht="16.350000000000001" customHeight="1" x14ac:dyDescent="0.25">
      <c r="Y945" s="221" t="str">
        <f t="shared" si="96"/>
        <v/>
      </c>
      <c r="Z945" s="221" t="str">
        <f t="shared" si="97"/>
        <v/>
      </c>
    </row>
    <row r="946" spans="25:26" ht="16.350000000000001" customHeight="1" x14ac:dyDescent="0.25">
      <c r="Y946" s="221" t="str">
        <f t="shared" si="96"/>
        <v/>
      </c>
      <c r="Z946" s="221" t="str">
        <f t="shared" si="97"/>
        <v/>
      </c>
    </row>
    <row r="947" spans="25:26" ht="16.350000000000001" customHeight="1" x14ac:dyDescent="0.25">
      <c r="Y947" s="221" t="str">
        <f t="shared" si="96"/>
        <v/>
      </c>
      <c r="Z947" s="221" t="str">
        <f t="shared" si="97"/>
        <v/>
      </c>
    </row>
    <row r="948" spans="25:26" ht="16.350000000000001" customHeight="1" x14ac:dyDescent="0.25">
      <c r="Y948" s="221" t="str">
        <f t="shared" si="96"/>
        <v/>
      </c>
      <c r="Z948" s="221" t="str">
        <f t="shared" si="97"/>
        <v/>
      </c>
    </row>
    <row r="949" spans="25:26" ht="16.350000000000001" customHeight="1" x14ac:dyDescent="0.25">
      <c r="Y949" s="221" t="str">
        <f t="shared" si="96"/>
        <v/>
      </c>
      <c r="Z949" s="221" t="str">
        <f t="shared" si="97"/>
        <v/>
      </c>
    </row>
    <row r="950" spans="25:26" ht="16.350000000000001" customHeight="1" x14ac:dyDescent="0.25">
      <c r="Y950" s="221" t="str">
        <f t="shared" si="96"/>
        <v/>
      </c>
      <c r="Z950" s="221" t="str">
        <f t="shared" si="97"/>
        <v/>
      </c>
    </row>
    <row r="951" spans="25:26" ht="16.350000000000001" customHeight="1" x14ac:dyDescent="0.25">
      <c r="Y951" s="221" t="str">
        <f t="shared" si="96"/>
        <v/>
      </c>
      <c r="Z951" s="221" t="str">
        <f t="shared" si="97"/>
        <v/>
      </c>
    </row>
    <row r="952" spans="25:26" ht="16.350000000000001" customHeight="1" x14ac:dyDescent="0.25">
      <c r="Y952" s="221" t="str">
        <f t="shared" si="96"/>
        <v/>
      </c>
      <c r="Z952" s="221" t="str">
        <f t="shared" si="97"/>
        <v/>
      </c>
    </row>
    <row r="953" spans="25:26" ht="16.350000000000001" customHeight="1" x14ac:dyDescent="0.25">
      <c r="Y953" s="221" t="str">
        <f t="shared" si="96"/>
        <v/>
      </c>
      <c r="Z953" s="221" t="str">
        <f t="shared" si="97"/>
        <v/>
      </c>
    </row>
    <row r="954" spans="25:26" ht="16.350000000000001" customHeight="1" x14ac:dyDescent="0.25">
      <c r="Y954" s="221" t="str">
        <f t="shared" si="96"/>
        <v/>
      </c>
      <c r="Z954" s="221" t="str">
        <f t="shared" si="97"/>
        <v/>
      </c>
    </row>
    <row r="955" spans="25:26" ht="16.350000000000001" customHeight="1" x14ac:dyDescent="0.25">
      <c r="Y955" s="221" t="str">
        <f t="shared" si="96"/>
        <v/>
      </c>
      <c r="Z955" s="221" t="str">
        <f t="shared" si="97"/>
        <v/>
      </c>
    </row>
    <row r="956" spans="25:26" ht="16.350000000000001" customHeight="1" x14ac:dyDescent="0.25">
      <c r="Y956" s="221" t="str">
        <f t="shared" si="96"/>
        <v/>
      </c>
      <c r="Z956" s="221" t="str">
        <f t="shared" si="97"/>
        <v/>
      </c>
    </row>
    <row r="957" spans="25:26" ht="16.350000000000001" customHeight="1" x14ac:dyDescent="0.25">
      <c r="Y957" s="221" t="str">
        <f t="shared" si="96"/>
        <v/>
      </c>
      <c r="Z957" s="221" t="str">
        <f t="shared" si="97"/>
        <v/>
      </c>
    </row>
    <row r="958" spans="25:26" ht="16.350000000000001" customHeight="1" x14ac:dyDescent="0.25">
      <c r="Y958" s="221" t="str">
        <f t="shared" si="96"/>
        <v/>
      </c>
      <c r="Z958" s="221" t="str">
        <f t="shared" si="97"/>
        <v/>
      </c>
    </row>
    <row r="959" spans="25:26" ht="16.350000000000001" customHeight="1" x14ac:dyDescent="0.25">
      <c r="Y959" s="221" t="str">
        <f t="shared" si="96"/>
        <v/>
      </c>
      <c r="Z959" s="221" t="str">
        <f t="shared" si="97"/>
        <v/>
      </c>
    </row>
    <row r="960" spans="25:26" ht="16.350000000000001" customHeight="1" x14ac:dyDescent="0.25">
      <c r="Y960" s="221" t="str">
        <f t="shared" si="96"/>
        <v/>
      </c>
      <c r="Z960" s="221" t="str">
        <f t="shared" si="97"/>
        <v/>
      </c>
    </row>
    <row r="961" spans="25:26" ht="16.350000000000001" customHeight="1" x14ac:dyDescent="0.25">
      <c r="Y961" s="221" t="str">
        <f t="shared" si="96"/>
        <v/>
      </c>
      <c r="Z961" s="221" t="str">
        <f t="shared" si="97"/>
        <v/>
      </c>
    </row>
    <row r="962" spans="25:26" ht="16.350000000000001" customHeight="1" x14ac:dyDescent="0.25">
      <c r="Y962" s="221" t="str">
        <f t="shared" si="96"/>
        <v/>
      </c>
      <c r="Z962" s="221" t="str">
        <f t="shared" si="97"/>
        <v/>
      </c>
    </row>
    <row r="963" spans="25:26" ht="16.350000000000001" customHeight="1" x14ac:dyDescent="0.25">
      <c r="Y963" s="221" t="str">
        <f t="shared" si="96"/>
        <v/>
      </c>
      <c r="Z963" s="221" t="str">
        <f t="shared" si="97"/>
        <v/>
      </c>
    </row>
    <row r="964" spans="25:26" ht="16.350000000000001" customHeight="1" x14ac:dyDescent="0.25">
      <c r="Y964" s="221" t="str">
        <f t="shared" si="96"/>
        <v/>
      </c>
      <c r="Z964" s="221" t="str">
        <f t="shared" si="97"/>
        <v/>
      </c>
    </row>
    <row r="965" spans="25:26" ht="16.350000000000001" customHeight="1" x14ac:dyDescent="0.25">
      <c r="Y965" s="221" t="str">
        <f t="shared" si="96"/>
        <v/>
      </c>
      <c r="Z965" s="221" t="str">
        <f t="shared" si="97"/>
        <v/>
      </c>
    </row>
    <row r="966" spans="25:26" ht="16.350000000000001" customHeight="1" x14ac:dyDescent="0.25">
      <c r="Y966" s="221" t="str">
        <f t="shared" si="96"/>
        <v/>
      </c>
      <c r="Z966" s="221" t="str">
        <f t="shared" si="97"/>
        <v/>
      </c>
    </row>
    <row r="967" spans="25:26" ht="16.350000000000001" customHeight="1" x14ac:dyDescent="0.25">
      <c r="Y967" s="221" t="str">
        <f t="shared" si="96"/>
        <v/>
      </c>
      <c r="Z967" s="221" t="str">
        <f t="shared" si="97"/>
        <v/>
      </c>
    </row>
    <row r="968" spans="25:26" ht="16.350000000000001" customHeight="1" x14ac:dyDescent="0.25">
      <c r="Y968" s="221" t="str">
        <f t="shared" si="96"/>
        <v/>
      </c>
      <c r="Z968" s="221" t="str">
        <f t="shared" si="97"/>
        <v/>
      </c>
    </row>
    <row r="969" spans="25:26" ht="16.350000000000001" customHeight="1" x14ac:dyDescent="0.25">
      <c r="Y969" s="221" t="str">
        <f t="shared" si="96"/>
        <v/>
      </c>
      <c r="Z969" s="221" t="str">
        <f t="shared" si="97"/>
        <v/>
      </c>
    </row>
    <row r="970" spans="25:26" ht="16.350000000000001" customHeight="1" x14ac:dyDescent="0.25">
      <c r="Y970" s="221" t="str">
        <f t="shared" si="96"/>
        <v/>
      </c>
      <c r="Z970" s="221" t="str">
        <f t="shared" si="97"/>
        <v/>
      </c>
    </row>
    <row r="971" spans="25:26" ht="16.350000000000001" customHeight="1" x14ac:dyDescent="0.25">
      <c r="Y971" s="221" t="str">
        <f t="shared" si="96"/>
        <v/>
      </c>
      <c r="Z971" s="221" t="str">
        <f t="shared" si="97"/>
        <v/>
      </c>
    </row>
    <row r="972" spans="25:26" ht="16.350000000000001" customHeight="1" x14ac:dyDescent="0.25">
      <c r="Y972" s="221" t="str">
        <f t="shared" si="96"/>
        <v/>
      </c>
      <c r="Z972" s="221" t="str">
        <f t="shared" si="97"/>
        <v/>
      </c>
    </row>
    <row r="973" spans="25:26" ht="16.350000000000001" customHeight="1" x14ac:dyDescent="0.25">
      <c r="Y973" s="221" t="str">
        <f t="shared" si="96"/>
        <v/>
      </c>
      <c r="Z973" s="221" t="str">
        <f t="shared" si="97"/>
        <v/>
      </c>
    </row>
    <row r="974" spans="25:26" ht="16.350000000000001" customHeight="1" x14ac:dyDescent="0.25">
      <c r="Y974" s="221" t="str">
        <f t="shared" si="96"/>
        <v/>
      </c>
      <c r="Z974" s="221" t="str">
        <f t="shared" si="97"/>
        <v/>
      </c>
    </row>
    <row r="975" spans="25:26" ht="16.350000000000001" customHeight="1" x14ac:dyDescent="0.25">
      <c r="Y975" s="221" t="str">
        <f t="shared" si="96"/>
        <v/>
      </c>
      <c r="Z975" s="221" t="str">
        <f t="shared" si="97"/>
        <v/>
      </c>
    </row>
    <row r="976" spans="25:26" ht="16.350000000000001" customHeight="1" x14ac:dyDescent="0.25">
      <c r="Y976" s="221" t="str">
        <f t="shared" si="96"/>
        <v/>
      </c>
      <c r="Z976" s="221" t="str">
        <f t="shared" si="97"/>
        <v/>
      </c>
    </row>
    <row r="977" spans="25:26" ht="16.350000000000001" customHeight="1" x14ac:dyDescent="0.25">
      <c r="Y977" s="221" t="str">
        <f t="shared" si="96"/>
        <v/>
      </c>
      <c r="Z977" s="221" t="str">
        <f t="shared" si="97"/>
        <v/>
      </c>
    </row>
    <row r="978" spans="25:26" ht="16.350000000000001" customHeight="1" x14ac:dyDescent="0.25">
      <c r="Y978" s="221" t="str">
        <f t="shared" si="96"/>
        <v/>
      </c>
      <c r="Z978" s="221" t="str">
        <f t="shared" si="97"/>
        <v/>
      </c>
    </row>
    <row r="979" spans="25:26" ht="16.350000000000001" customHeight="1" x14ac:dyDescent="0.25">
      <c r="Y979" s="221" t="str">
        <f t="shared" si="96"/>
        <v/>
      </c>
      <c r="Z979" s="221" t="str">
        <f t="shared" si="97"/>
        <v/>
      </c>
    </row>
    <row r="980" spans="25:26" ht="16.350000000000001" customHeight="1" x14ac:dyDescent="0.25">
      <c r="Y980" s="221" t="str">
        <f t="shared" ref="Y980:Y1043" si="98">IF(AA980&lt;&gt;"","NEW","")</f>
        <v/>
      </c>
      <c r="Z980" s="221" t="str">
        <f t="shared" ref="Z980:Z1043" si="99">IF(AA980&lt;&gt;"",$AA$1,"")</f>
        <v/>
      </c>
    </row>
    <row r="981" spans="25:26" ht="16.350000000000001" customHeight="1" x14ac:dyDescent="0.25">
      <c r="Y981" s="221" t="str">
        <f t="shared" si="98"/>
        <v/>
      </c>
      <c r="Z981" s="221" t="str">
        <f t="shared" si="99"/>
        <v/>
      </c>
    </row>
    <row r="982" spans="25:26" ht="16.350000000000001" customHeight="1" x14ac:dyDescent="0.25">
      <c r="Y982" s="221" t="str">
        <f t="shared" si="98"/>
        <v/>
      </c>
      <c r="Z982" s="221" t="str">
        <f t="shared" si="99"/>
        <v/>
      </c>
    </row>
    <row r="983" spans="25:26" ht="16.350000000000001" customHeight="1" x14ac:dyDescent="0.25">
      <c r="Y983" s="221" t="str">
        <f t="shared" si="98"/>
        <v/>
      </c>
      <c r="Z983" s="221" t="str">
        <f t="shared" si="99"/>
        <v/>
      </c>
    </row>
    <row r="984" spans="25:26" ht="16.350000000000001" customHeight="1" x14ac:dyDescent="0.25">
      <c r="Y984" s="221" t="str">
        <f t="shared" si="98"/>
        <v/>
      </c>
      <c r="Z984" s="221" t="str">
        <f t="shared" si="99"/>
        <v/>
      </c>
    </row>
    <row r="985" spans="25:26" ht="16.350000000000001" customHeight="1" x14ac:dyDescent="0.25">
      <c r="Y985" s="221" t="str">
        <f t="shared" si="98"/>
        <v/>
      </c>
      <c r="Z985" s="221" t="str">
        <f t="shared" si="99"/>
        <v/>
      </c>
    </row>
    <row r="986" spans="25:26" ht="16.350000000000001" customHeight="1" x14ac:dyDescent="0.25">
      <c r="Y986" s="221" t="str">
        <f t="shared" si="98"/>
        <v/>
      </c>
      <c r="Z986" s="221" t="str">
        <f t="shared" si="99"/>
        <v/>
      </c>
    </row>
    <row r="987" spans="25:26" ht="16.350000000000001" customHeight="1" x14ac:dyDescent="0.25">
      <c r="Y987" s="221" t="str">
        <f t="shared" si="98"/>
        <v/>
      </c>
      <c r="Z987" s="221" t="str">
        <f t="shared" si="99"/>
        <v/>
      </c>
    </row>
    <row r="988" spans="25:26" ht="16.350000000000001" customHeight="1" x14ac:dyDescent="0.25">
      <c r="Y988" s="221" t="str">
        <f t="shared" si="98"/>
        <v/>
      </c>
      <c r="Z988" s="221" t="str">
        <f t="shared" si="99"/>
        <v/>
      </c>
    </row>
    <row r="989" spans="25:26" ht="16.350000000000001" customHeight="1" x14ac:dyDescent="0.25">
      <c r="Y989" s="221" t="str">
        <f t="shared" si="98"/>
        <v/>
      </c>
      <c r="Z989" s="221" t="str">
        <f t="shared" si="99"/>
        <v/>
      </c>
    </row>
    <row r="990" spans="25:26" ht="16.350000000000001" customHeight="1" x14ac:dyDescent="0.25">
      <c r="Y990" s="221" t="str">
        <f t="shared" si="98"/>
        <v/>
      </c>
      <c r="Z990" s="221" t="str">
        <f t="shared" si="99"/>
        <v/>
      </c>
    </row>
    <row r="991" spans="25:26" ht="16.350000000000001" customHeight="1" x14ac:dyDescent="0.25">
      <c r="Y991" s="221" t="str">
        <f t="shared" si="98"/>
        <v/>
      </c>
      <c r="Z991" s="221" t="str">
        <f t="shared" si="99"/>
        <v/>
      </c>
    </row>
    <row r="992" spans="25:26" ht="16.350000000000001" customHeight="1" x14ac:dyDescent="0.25">
      <c r="Y992" s="221" t="str">
        <f t="shared" si="98"/>
        <v/>
      </c>
      <c r="Z992" s="221" t="str">
        <f t="shared" si="99"/>
        <v/>
      </c>
    </row>
    <row r="993" spans="25:26" ht="16.350000000000001" customHeight="1" x14ac:dyDescent="0.25">
      <c r="Y993" s="221" t="str">
        <f t="shared" si="98"/>
        <v/>
      </c>
      <c r="Z993" s="221" t="str">
        <f t="shared" si="99"/>
        <v/>
      </c>
    </row>
    <row r="994" spans="25:26" ht="16.350000000000001" customHeight="1" x14ac:dyDescent="0.25">
      <c r="Y994" s="221" t="str">
        <f t="shared" si="98"/>
        <v/>
      </c>
      <c r="Z994" s="221" t="str">
        <f t="shared" si="99"/>
        <v/>
      </c>
    </row>
    <row r="995" spans="25:26" ht="16.350000000000001" customHeight="1" x14ac:dyDescent="0.25">
      <c r="Y995" s="221" t="str">
        <f t="shared" si="98"/>
        <v/>
      </c>
      <c r="Z995" s="221" t="str">
        <f t="shared" si="99"/>
        <v/>
      </c>
    </row>
    <row r="996" spans="25:26" ht="16.350000000000001" customHeight="1" x14ac:dyDescent="0.25">
      <c r="Y996" s="221" t="str">
        <f t="shared" si="98"/>
        <v/>
      </c>
      <c r="Z996" s="221" t="str">
        <f t="shared" si="99"/>
        <v/>
      </c>
    </row>
    <row r="997" spans="25:26" ht="16.350000000000001" customHeight="1" x14ac:dyDescent="0.25">
      <c r="Y997" s="221" t="str">
        <f t="shared" si="98"/>
        <v/>
      </c>
      <c r="Z997" s="221" t="str">
        <f t="shared" si="99"/>
        <v/>
      </c>
    </row>
    <row r="998" spans="25:26" ht="16.350000000000001" customHeight="1" x14ac:dyDescent="0.25">
      <c r="Y998" s="221" t="str">
        <f t="shared" si="98"/>
        <v/>
      </c>
      <c r="Z998" s="221" t="str">
        <f t="shared" si="99"/>
        <v/>
      </c>
    </row>
    <row r="999" spans="25:26" ht="16.350000000000001" customHeight="1" x14ac:dyDescent="0.25">
      <c r="Y999" s="221" t="str">
        <f t="shared" si="98"/>
        <v/>
      </c>
      <c r="Z999" s="221" t="str">
        <f t="shared" si="99"/>
        <v/>
      </c>
    </row>
    <row r="1000" spans="25:26" ht="16.350000000000001" customHeight="1" x14ac:dyDescent="0.25">
      <c r="Y1000" s="221" t="str">
        <f t="shared" si="98"/>
        <v/>
      </c>
      <c r="Z1000" s="221" t="str">
        <f t="shared" si="99"/>
        <v/>
      </c>
    </row>
    <row r="1001" spans="25:26" ht="16.350000000000001" customHeight="1" x14ac:dyDescent="0.25">
      <c r="Y1001" s="221" t="str">
        <f t="shared" si="98"/>
        <v/>
      </c>
      <c r="Z1001" s="221" t="str">
        <f t="shared" si="99"/>
        <v/>
      </c>
    </row>
    <row r="1002" spans="25:26" ht="16.350000000000001" customHeight="1" x14ac:dyDescent="0.25">
      <c r="Y1002" s="221" t="str">
        <f t="shared" si="98"/>
        <v/>
      </c>
      <c r="Z1002" s="221" t="str">
        <f t="shared" si="99"/>
        <v/>
      </c>
    </row>
    <row r="1003" spans="25:26" ht="16.350000000000001" customHeight="1" x14ac:dyDescent="0.25">
      <c r="Y1003" s="221" t="str">
        <f t="shared" si="98"/>
        <v/>
      </c>
      <c r="Z1003" s="221" t="str">
        <f t="shared" si="99"/>
        <v/>
      </c>
    </row>
    <row r="1004" spans="25:26" ht="16.350000000000001" customHeight="1" x14ac:dyDescent="0.25">
      <c r="Y1004" s="221" t="str">
        <f t="shared" si="98"/>
        <v/>
      </c>
      <c r="Z1004" s="221" t="str">
        <f t="shared" si="99"/>
        <v/>
      </c>
    </row>
    <row r="1005" spans="25:26" ht="16.350000000000001" customHeight="1" x14ac:dyDescent="0.25">
      <c r="Y1005" s="221" t="str">
        <f t="shared" si="98"/>
        <v/>
      </c>
      <c r="Z1005" s="221" t="str">
        <f t="shared" si="99"/>
        <v/>
      </c>
    </row>
    <row r="1006" spans="25:26" ht="16.350000000000001" customHeight="1" x14ac:dyDescent="0.25">
      <c r="Y1006" s="221" t="str">
        <f t="shared" si="98"/>
        <v/>
      </c>
      <c r="Z1006" s="221" t="str">
        <f t="shared" si="99"/>
        <v/>
      </c>
    </row>
    <row r="1007" spans="25:26" ht="16.350000000000001" customHeight="1" x14ac:dyDescent="0.25">
      <c r="Y1007" s="221" t="str">
        <f t="shared" si="98"/>
        <v/>
      </c>
      <c r="Z1007" s="221" t="str">
        <f t="shared" si="99"/>
        <v/>
      </c>
    </row>
    <row r="1008" spans="25:26" ht="16.350000000000001" customHeight="1" x14ac:dyDescent="0.25">
      <c r="Y1008" s="221" t="str">
        <f t="shared" si="98"/>
        <v/>
      </c>
      <c r="Z1008" s="221" t="str">
        <f t="shared" si="99"/>
        <v/>
      </c>
    </row>
    <row r="1009" spans="25:26" ht="16.350000000000001" customHeight="1" x14ac:dyDescent="0.25">
      <c r="Y1009" s="221" t="str">
        <f t="shared" si="98"/>
        <v/>
      </c>
      <c r="Z1009" s="221" t="str">
        <f t="shared" si="99"/>
        <v/>
      </c>
    </row>
    <row r="1010" spans="25:26" ht="16.350000000000001" customHeight="1" x14ac:dyDescent="0.25">
      <c r="Y1010" s="221" t="str">
        <f t="shared" si="98"/>
        <v/>
      </c>
      <c r="Z1010" s="221" t="str">
        <f t="shared" si="99"/>
        <v/>
      </c>
    </row>
    <row r="1011" spans="25:26" ht="16.350000000000001" customHeight="1" x14ac:dyDescent="0.25">
      <c r="Y1011" s="221" t="str">
        <f t="shared" si="98"/>
        <v/>
      </c>
      <c r="Z1011" s="221" t="str">
        <f t="shared" si="99"/>
        <v/>
      </c>
    </row>
    <row r="1012" spans="25:26" ht="16.350000000000001" customHeight="1" x14ac:dyDescent="0.25">
      <c r="Y1012" s="221" t="str">
        <f t="shared" si="98"/>
        <v/>
      </c>
      <c r="Z1012" s="221" t="str">
        <f t="shared" si="99"/>
        <v/>
      </c>
    </row>
    <row r="1013" spans="25:26" ht="16.350000000000001" customHeight="1" x14ac:dyDescent="0.25">
      <c r="Y1013" s="221" t="str">
        <f t="shared" si="98"/>
        <v/>
      </c>
      <c r="Z1013" s="221" t="str">
        <f t="shared" si="99"/>
        <v/>
      </c>
    </row>
    <row r="1014" spans="25:26" ht="16.350000000000001" customHeight="1" x14ac:dyDescent="0.25">
      <c r="Y1014" s="221" t="str">
        <f t="shared" si="98"/>
        <v/>
      </c>
      <c r="Z1014" s="221" t="str">
        <f t="shared" si="99"/>
        <v/>
      </c>
    </row>
    <row r="1015" spans="25:26" ht="16.350000000000001" customHeight="1" x14ac:dyDescent="0.25">
      <c r="Y1015" s="221" t="str">
        <f t="shared" si="98"/>
        <v/>
      </c>
      <c r="Z1015" s="221" t="str">
        <f t="shared" si="99"/>
        <v/>
      </c>
    </row>
    <row r="1016" spans="25:26" ht="16.350000000000001" customHeight="1" x14ac:dyDescent="0.25">
      <c r="Y1016" s="221" t="str">
        <f t="shared" si="98"/>
        <v/>
      </c>
      <c r="Z1016" s="221" t="str">
        <f t="shared" si="99"/>
        <v/>
      </c>
    </row>
    <row r="1017" spans="25:26" ht="16.350000000000001" customHeight="1" x14ac:dyDescent="0.25">
      <c r="Y1017" s="221" t="str">
        <f t="shared" si="98"/>
        <v/>
      </c>
      <c r="Z1017" s="221" t="str">
        <f t="shared" si="99"/>
        <v/>
      </c>
    </row>
    <row r="1018" spans="25:26" ht="16.350000000000001" customHeight="1" x14ac:dyDescent="0.25">
      <c r="Y1018" s="221" t="str">
        <f t="shared" si="98"/>
        <v/>
      </c>
      <c r="Z1018" s="221" t="str">
        <f t="shared" si="99"/>
        <v/>
      </c>
    </row>
    <row r="1019" spans="25:26" ht="16.350000000000001" customHeight="1" x14ac:dyDescent="0.25">
      <c r="Y1019" s="221" t="str">
        <f t="shared" si="98"/>
        <v/>
      </c>
      <c r="Z1019" s="221" t="str">
        <f t="shared" si="99"/>
        <v/>
      </c>
    </row>
    <row r="1020" spans="25:26" ht="16.350000000000001" customHeight="1" x14ac:dyDescent="0.25">
      <c r="Y1020" s="221" t="str">
        <f t="shared" si="98"/>
        <v/>
      </c>
      <c r="Z1020" s="221" t="str">
        <f t="shared" si="99"/>
        <v/>
      </c>
    </row>
    <row r="1021" spans="25:26" ht="16.350000000000001" customHeight="1" x14ac:dyDescent="0.25">
      <c r="Y1021" s="221" t="str">
        <f t="shared" si="98"/>
        <v/>
      </c>
      <c r="Z1021" s="221" t="str">
        <f t="shared" si="99"/>
        <v/>
      </c>
    </row>
    <row r="1022" spans="25:26" ht="16.350000000000001" customHeight="1" x14ac:dyDescent="0.25">
      <c r="Y1022" s="221" t="str">
        <f t="shared" si="98"/>
        <v/>
      </c>
      <c r="Z1022" s="221" t="str">
        <f t="shared" si="99"/>
        <v/>
      </c>
    </row>
    <row r="1023" spans="25:26" ht="16.350000000000001" customHeight="1" x14ac:dyDescent="0.25">
      <c r="Y1023" s="221" t="str">
        <f t="shared" si="98"/>
        <v/>
      </c>
      <c r="Z1023" s="221" t="str">
        <f t="shared" si="99"/>
        <v/>
      </c>
    </row>
    <row r="1024" spans="25:26" ht="16.350000000000001" customHeight="1" x14ac:dyDescent="0.25">
      <c r="Y1024" s="221" t="str">
        <f t="shared" si="98"/>
        <v/>
      </c>
      <c r="Z1024" s="221" t="str">
        <f t="shared" si="99"/>
        <v/>
      </c>
    </row>
    <row r="1025" spans="25:26" ht="16.350000000000001" customHeight="1" x14ac:dyDescent="0.25">
      <c r="Y1025" s="221" t="str">
        <f t="shared" si="98"/>
        <v/>
      </c>
      <c r="Z1025" s="221" t="str">
        <f t="shared" si="99"/>
        <v/>
      </c>
    </row>
    <row r="1026" spans="25:26" ht="16.350000000000001" customHeight="1" x14ac:dyDescent="0.25">
      <c r="Y1026" s="221" t="str">
        <f t="shared" si="98"/>
        <v/>
      </c>
      <c r="Z1026" s="221" t="str">
        <f t="shared" si="99"/>
        <v/>
      </c>
    </row>
    <row r="1027" spans="25:26" ht="16.350000000000001" customHeight="1" x14ac:dyDescent="0.25">
      <c r="Y1027" s="221" t="str">
        <f t="shared" si="98"/>
        <v/>
      </c>
      <c r="Z1027" s="221" t="str">
        <f t="shared" si="99"/>
        <v/>
      </c>
    </row>
    <row r="1028" spans="25:26" ht="16.350000000000001" customHeight="1" x14ac:dyDescent="0.25">
      <c r="Y1028" s="221" t="str">
        <f t="shared" si="98"/>
        <v/>
      </c>
      <c r="Z1028" s="221" t="str">
        <f t="shared" si="99"/>
        <v/>
      </c>
    </row>
    <row r="1029" spans="25:26" ht="16.350000000000001" customHeight="1" x14ac:dyDescent="0.25">
      <c r="Y1029" s="221" t="str">
        <f t="shared" si="98"/>
        <v/>
      </c>
      <c r="Z1029" s="221" t="str">
        <f t="shared" si="99"/>
        <v/>
      </c>
    </row>
    <row r="1030" spans="25:26" ht="16.350000000000001" customHeight="1" x14ac:dyDescent="0.25">
      <c r="Y1030" s="221" t="str">
        <f t="shared" si="98"/>
        <v/>
      </c>
      <c r="Z1030" s="221" t="str">
        <f t="shared" si="99"/>
        <v/>
      </c>
    </row>
    <row r="1031" spans="25:26" ht="16.350000000000001" customHeight="1" x14ac:dyDescent="0.25">
      <c r="Y1031" s="221" t="str">
        <f t="shared" si="98"/>
        <v/>
      </c>
      <c r="Z1031" s="221" t="str">
        <f t="shared" si="99"/>
        <v/>
      </c>
    </row>
    <row r="1032" spans="25:26" ht="16.350000000000001" customHeight="1" x14ac:dyDescent="0.25">
      <c r="Y1032" s="221" t="str">
        <f t="shared" si="98"/>
        <v/>
      </c>
      <c r="Z1032" s="221" t="str">
        <f t="shared" si="99"/>
        <v/>
      </c>
    </row>
    <row r="1033" spans="25:26" ht="16.350000000000001" customHeight="1" x14ac:dyDescent="0.25">
      <c r="Y1033" s="221" t="str">
        <f t="shared" si="98"/>
        <v/>
      </c>
      <c r="Z1033" s="221" t="str">
        <f t="shared" si="99"/>
        <v/>
      </c>
    </row>
    <row r="1034" spans="25:26" ht="16.350000000000001" customHeight="1" x14ac:dyDescent="0.25">
      <c r="Y1034" s="221" t="str">
        <f t="shared" si="98"/>
        <v/>
      </c>
      <c r="Z1034" s="221" t="str">
        <f t="shared" si="99"/>
        <v/>
      </c>
    </row>
    <row r="1035" spans="25:26" ht="16.350000000000001" customHeight="1" x14ac:dyDescent="0.25">
      <c r="Y1035" s="221" t="str">
        <f t="shared" si="98"/>
        <v/>
      </c>
      <c r="Z1035" s="221" t="str">
        <f t="shared" si="99"/>
        <v/>
      </c>
    </row>
    <row r="1036" spans="25:26" ht="16.350000000000001" customHeight="1" x14ac:dyDescent="0.25">
      <c r="Y1036" s="221" t="str">
        <f t="shared" si="98"/>
        <v/>
      </c>
      <c r="Z1036" s="221" t="str">
        <f t="shared" si="99"/>
        <v/>
      </c>
    </row>
    <row r="1037" spans="25:26" ht="16.350000000000001" customHeight="1" x14ac:dyDescent="0.25">
      <c r="Y1037" s="221" t="str">
        <f t="shared" si="98"/>
        <v/>
      </c>
      <c r="Z1037" s="221" t="str">
        <f t="shared" si="99"/>
        <v/>
      </c>
    </row>
    <row r="1038" spans="25:26" ht="16.350000000000001" customHeight="1" x14ac:dyDescent="0.25">
      <c r="Y1038" s="221" t="str">
        <f t="shared" si="98"/>
        <v/>
      </c>
      <c r="Z1038" s="221" t="str">
        <f t="shared" si="99"/>
        <v/>
      </c>
    </row>
    <row r="1039" spans="25:26" ht="16.350000000000001" customHeight="1" x14ac:dyDescent="0.25">
      <c r="Y1039" s="221" t="str">
        <f t="shared" si="98"/>
        <v/>
      </c>
      <c r="Z1039" s="221" t="str">
        <f t="shared" si="99"/>
        <v/>
      </c>
    </row>
    <row r="1040" spans="25:26" ht="16.350000000000001" customHeight="1" x14ac:dyDescent="0.25">
      <c r="Y1040" s="221" t="str">
        <f t="shared" si="98"/>
        <v/>
      </c>
      <c r="Z1040" s="221" t="str">
        <f t="shared" si="99"/>
        <v/>
      </c>
    </row>
    <row r="1041" spans="25:26" ht="16.350000000000001" customHeight="1" x14ac:dyDescent="0.25">
      <c r="Y1041" s="221" t="str">
        <f t="shared" si="98"/>
        <v/>
      </c>
      <c r="Z1041" s="221" t="str">
        <f t="shared" si="99"/>
        <v/>
      </c>
    </row>
    <row r="1042" spans="25:26" ht="16.350000000000001" customHeight="1" x14ac:dyDescent="0.25">
      <c r="Y1042" s="221" t="str">
        <f t="shared" si="98"/>
        <v/>
      </c>
      <c r="Z1042" s="221" t="str">
        <f t="shared" si="99"/>
        <v/>
      </c>
    </row>
    <row r="1043" spans="25:26" ht="16.350000000000001" customHeight="1" x14ac:dyDescent="0.25">
      <c r="Y1043" s="221" t="str">
        <f t="shared" si="98"/>
        <v/>
      </c>
      <c r="Z1043" s="221" t="str">
        <f t="shared" si="99"/>
        <v/>
      </c>
    </row>
    <row r="1044" spans="25:26" ht="16.350000000000001" customHeight="1" x14ac:dyDescent="0.25">
      <c r="Y1044" s="221" t="str">
        <f t="shared" ref="Y1044:Y1075" si="100">IF(AA1044&lt;&gt;"","NEW","")</f>
        <v/>
      </c>
      <c r="Z1044" s="221" t="str">
        <f t="shared" ref="Z1044:Z1075" si="101">IF(AA1044&lt;&gt;"",$AA$1,"")</f>
        <v/>
      </c>
    </row>
    <row r="1045" spans="25:26" ht="16.350000000000001" customHeight="1" x14ac:dyDescent="0.25">
      <c r="Y1045" s="221" t="str">
        <f t="shared" si="100"/>
        <v/>
      </c>
      <c r="Z1045" s="221" t="str">
        <f t="shared" si="101"/>
        <v/>
      </c>
    </row>
    <row r="1046" spans="25:26" ht="16.350000000000001" customHeight="1" x14ac:dyDescent="0.25">
      <c r="Y1046" s="221" t="str">
        <f t="shared" si="100"/>
        <v/>
      </c>
      <c r="Z1046" s="221" t="str">
        <f t="shared" si="101"/>
        <v/>
      </c>
    </row>
    <row r="1047" spans="25:26" ht="16.350000000000001" customHeight="1" x14ac:dyDescent="0.25">
      <c r="Y1047" s="221" t="str">
        <f t="shared" si="100"/>
        <v/>
      </c>
      <c r="Z1047" s="221" t="str">
        <f t="shared" si="101"/>
        <v/>
      </c>
    </row>
    <row r="1048" spans="25:26" ht="16.350000000000001" customHeight="1" x14ac:dyDescent="0.25">
      <c r="Y1048" s="221" t="str">
        <f t="shared" si="100"/>
        <v/>
      </c>
      <c r="Z1048" s="221" t="str">
        <f t="shared" si="101"/>
        <v/>
      </c>
    </row>
    <row r="1049" spans="25:26" ht="16.350000000000001" customHeight="1" x14ac:dyDescent="0.25">
      <c r="Y1049" s="221" t="str">
        <f t="shared" si="100"/>
        <v/>
      </c>
      <c r="Z1049" s="221" t="str">
        <f t="shared" si="101"/>
        <v/>
      </c>
    </row>
    <row r="1050" spans="25:26" ht="16.350000000000001" customHeight="1" x14ac:dyDescent="0.25">
      <c r="Y1050" s="221" t="str">
        <f t="shared" si="100"/>
        <v/>
      </c>
      <c r="Z1050" s="221" t="str">
        <f t="shared" si="101"/>
        <v/>
      </c>
    </row>
    <row r="1051" spans="25:26" ht="16.350000000000001" customHeight="1" x14ac:dyDescent="0.25">
      <c r="Y1051" s="221" t="str">
        <f t="shared" si="100"/>
        <v/>
      </c>
      <c r="Z1051" s="221" t="str">
        <f t="shared" si="101"/>
        <v/>
      </c>
    </row>
    <row r="1052" spans="25:26" ht="16.350000000000001" customHeight="1" x14ac:dyDescent="0.25">
      <c r="Y1052" s="221" t="str">
        <f t="shared" si="100"/>
        <v/>
      </c>
      <c r="Z1052" s="221" t="str">
        <f t="shared" si="101"/>
        <v/>
      </c>
    </row>
    <row r="1053" spans="25:26" ht="16.350000000000001" customHeight="1" x14ac:dyDescent="0.25">
      <c r="Y1053" s="221" t="str">
        <f t="shared" si="100"/>
        <v/>
      </c>
      <c r="Z1053" s="221" t="str">
        <f t="shared" si="101"/>
        <v/>
      </c>
    </row>
    <row r="1054" spans="25:26" ht="16.350000000000001" customHeight="1" x14ac:dyDescent="0.25">
      <c r="Y1054" s="221" t="str">
        <f t="shared" si="100"/>
        <v/>
      </c>
      <c r="Z1054" s="221" t="str">
        <f t="shared" si="101"/>
        <v/>
      </c>
    </row>
    <row r="1055" spans="25:26" ht="16.350000000000001" customHeight="1" x14ac:dyDescent="0.25">
      <c r="Y1055" s="221" t="str">
        <f t="shared" si="100"/>
        <v/>
      </c>
      <c r="Z1055" s="221" t="str">
        <f t="shared" si="101"/>
        <v/>
      </c>
    </row>
    <row r="1056" spans="25:26" ht="16.350000000000001" customHeight="1" x14ac:dyDescent="0.25">
      <c r="Y1056" s="221" t="str">
        <f t="shared" si="100"/>
        <v/>
      </c>
      <c r="Z1056" s="221" t="str">
        <f t="shared" si="101"/>
        <v/>
      </c>
    </row>
    <row r="1057" spans="25:26" ht="16.350000000000001" customHeight="1" x14ac:dyDescent="0.25">
      <c r="Y1057" s="221" t="str">
        <f t="shared" si="100"/>
        <v/>
      </c>
      <c r="Z1057" s="221" t="str">
        <f t="shared" si="101"/>
        <v/>
      </c>
    </row>
    <row r="1058" spans="25:26" ht="16.350000000000001" customHeight="1" x14ac:dyDescent="0.25">
      <c r="Y1058" s="221" t="str">
        <f t="shared" si="100"/>
        <v/>
      </c>
      <c r="Z1058" s="221" t="str">
        <f t="shared" si="101"/>
        <v/>
      </c>
    </row>
    <row r="1059" spans="25:26" ht="16.350000000000001" customHeight="1" x14ac:dyDescent="0.25">
      <c r="Y1059" s="221" t="str">
        <f t="shared" si="100"/>
        <v/>
      </c>
      <c r="Z1059" s="221" t="str">
        <f t="shared" si="101"/>
        <v/>
      </c>
    </row>
    <row r="1060" spans="25:26" ht="16.350000000000001" customHeight="1" x14ac:dyDescent="0.25">
      <c r="Y1060" s="221" t="str">
        <f t="shared" si="100"/>
        <v/>
      </c>
      <c r="Z1060" s="221" t="str">
        <f t="shared" si="101"/>
        <v/>
      </c>
    </row>
    <row r="1061" spans="25:26" ht="16.350000000000001" customHeight="1" x14ac:dyDescent="0.25">
      <c r="Y1061" s="221" t="str">
        <f t="shared" si="100"/>
        <v/>
      </c>
      <c r="Z1061" s="221" t="str">
        <f t="shared" si="101"/>
        <v/>
      </c>
    </row>
    <row r="1062" spans="25:26" ht="16.350000000000001" customHeight="1" x14ac:dyDescent="0.25">
      <c r="Y1062" s="221" t="str">
        <f t="shared" si="100"/>
        <v/>
      </c>
      <c r="Z1062" s="221" t="str">
        <f t="shared" si="101"/>
        <v/>
      </c>
    </row>
    <row r="1063" spans="25:26" ht="16.350000000000001" customHeight="1" x14ac:dyDescent="0.25">
      <c r="Y1063" s="221" t="str">
        <f t="shared" si="100"/>
        <v/>
      </c>
      <c r="Z1063" s="221" t="str">
        <f t="shared" si="101"/>
        <v/>
      </c>
    </row>
    <row r="1064" spans="25:26" ht="16.350000000000001" customHeight="1" x14ac:dyDescent="0.25">
      <c r="Y1064" s="221" t="str">
        <f t="shared" si="100"/>
        <v/>
      </c>
      <c r="Z1064" s="221" t="str">
        <f t="shared" si="101"/>
        <v/>
      </c>
    </row>
    <row r="1065" spans="25:26" ht="16.350000000000001" customHeight="1" x14ac:dyDescent="0.25">
      <c r="Y1065" s="221" t="str">
        <f t="shared" si="100"/>
        <v/>
      </c>
      <c r="Z1065" s="221" t="str">
        <f t="shared" si="101"/>
        <v/>
      </c>
    </row>
    <row r="1066" spans="25:26" ht="16.350000000000001" customHeight="1" x14ac:dyDescent="0.25">
      <c r="Y1066" s="221" t="str">
        <f t="shared" si="100"/>
        <v/>
      </c>
      <c r="Z1066" s="221" t="str">
        <f t="shared" si="101"/>
        <v/>
      </c>
    </row>
    <row r="1067" spans="25:26" ht="16.350000000000001" customHeight="1" x14ac:dyDescent="0.25">
      <c r="Y1067" s="221" t="str">
        <f t="shared" si="100"/>
        <v/>
      </c>
      <c r="Z1067" s="221" t="str">
        <f t="shared" si="101"/>
        <v/>
      </c>
    </row>
    <row r="1068" spans="25:26" ht="16.350000000000001" customHeight="1" x14ac:dyDescent="0.25">
      <c r="Y1068" s="221" t="str">
        <f t="shared" si="100"/>
        <v/>
      </c>
      <c r="Z1068" s="221" t="str">
        <f t="shared" si="101"/>
        <v/>
      </c>
    </row>
    <row r="1069" spans="25:26" ht="16.350000000000001" customHeight="1" x14ac:dyDescent="0.25">
      <c r="Y1069" s="221" t="str">
        <f t="shared" si="100"/>
        <v/>
      </c>
      <c r="Z1069" s="221" t="str">
        <f t="shared" si="101"/>
        <v/>
      </c>
    </row>
    <row r="1070" spans="25:26" ht="16.350000000000001" customHeight="1" x14ac:dyDescent="0.25">
      <c r="Y1070" s="221" t="str">
        <f t="shared" si="100"/>
        <v/>
      </c>
      <c r="Z1070" s="221" t="str">
        <f t="shared" si="101"/>
        <v/>
      </c>
    </row>
    <row r="1071" spans="25:26" ht="16.350000000000001" customHeight="1" x14ac:dyDescent="0.25">
      <c r="Y1071" s="221" t="str">
        <f t="shared" si="100"/>
        <v/>
      </c>
      <c r="Z1071" s="221" t="str">
        <f t="shared" si="101"/>
        <v/>
      </c>
    </row>
    <row r="1072" spans="25:26" ht="16.350000000000001" customHeight="1" x14ac:dyDescent="0.25">
      <c r="Y1072" s="221" t="str">
        <f t="shared" si="100"/>
        <v/>
      </c>
      <c r="Z1072" s="221" t="str">
        <f t="shared" si="101"/>
        <v/>
      </c>
    </row>
    <row r="1073" spans="25:26" ht="16.350000000000001" customHeight="1" x14ac:dyDescent="0.25">
      <c r="Y1073" s="221" t="str">
        <f t="shared" si="100"/>
        <v/>
      </c>
      <c r="Z1073" s="221" t="str">
        <f t="shared" si="101"/>
        <v/>
      </c>
    </row>
    <row r="1074" spans="25:26" ht="16.350000000000001" customHeight="1" x14ac:dyDescent="0.25">
      <c r="Y1074" s="221" t="str">
        <f t="shared" si="100"/>
        <v/>
      </c>
      <c r="Z1074" s="221" t="str">
        <f t="shared" si="101"/>
        <v/>
      </c>
    </row>
    <row r="1075" spans="25:26" ht="16.350000000000001" customHeight="1" x14ac:dyDescent="0.25">
      <c r="Y1075" s="221" t="str">
        <f t="shared" si="100"/>
        <v/>
      </c>
      <c r="Z1075" s="221" t="str">
        <f t="shared" si="101"/>
        <v/>
      </c>
    </row>
    <row r="1076" spans="25:26" ht="16.350000000000001" customHeight="1" x14ac:dyDescent="0.25">
      <c r="Y1076" s="221" t="str">
        <f t="shared" ref="Y1076:Y1104" si="102">IF(AA1076&lt;&gt;"","NEW","")</f>
        <v/>
      </c>
      <c r="Z1076" s="221" t="str">
        <f t="shared" ref="Z1076:Z1094" si="103">IF(AA1076&lt;&gt;"",$AA$1,"")</f>
        <v/>
      </c>
    </row>
    <row r="1077" spans="25:26" ht="16.350000000000001" customHeight="1" x14ac:dyDescent="0.25">
      <c r="Y1077" s="221" t="str">
        <f t="shared" si="102"/>
        <v/>
      </c>
      <c r="Z1077" s="221" t="str">
        <f t="shared" si="103"/>
        <v/>
      </c>
    </row>
    <row r="1078" spans="25:26" ht="16.350000000000001" customHeight="1" x14ac:dyDescent="0.25">
      <c r="Y1078" s="221" t="str">
        <f t="shared" si="102"/>
        <v/>
      </c>
      <c r="Z1078" s="221" t="str">
        <f t="shared" si="103"/>
        <v/>
      </c>
    </row>
    <row r="1079" spans="25:26" ht="16.350000000000001" customHeight="1" x14ac:dyDescent="0.25">
      <c r="Y1079" s="221" t="str">
        <f t="shared" si="102"/>
        <v/>
      </c>
      <c r="Z1079" s="221" t="str">
        <f t="shared" si="103"/>
        <v/>
      </c>
    </row>
    <row r="1080" spans="25:26" ht="16.350000000000001" customHeight="1" x14ac:dyDescent="0.25">
      <c r="Y1080" s="221" t="str">
        <f t="shared" si="102"/>
        <v/>
      </c>
      <c r="Z1080" s="221" t="str">
        <f t="shared" si="103"/>
        <v/>
      </c>
    </row>
    <row r="1081" spans="25:26" ht="16.350000000000001" customHeight="1" x14ac:dyDescent="0.25">
      <c r="Y1081" s="221" t="str">
        <f t="shared" si="102"/>
        <v/>
      </c>
      <c r="Z1081" s="221" t="str">
        <f t="shared" si="103"/>
        <v/>
      </c>
    </row>
    <row r="1082" spans="25:26" ht="16.350000000000001" customHeight="1" x14ac:dyDescent="0.25">
      <c r="Y1082" s="221" t="str">
        <f t="shared" si="102"/>
        <v/>
      </c>
      <c r="Z1082" s="221" t="str">
        <f t="shared" si="103"/>
        <v/>
      </c>
    </row>
    <row r="1083" spans="25:26" ht="16.350000000000001" customHeight="1" x14ac:dyDescent="0.25">
      <c r="Y1083" s="221" t="str">
        <f t="shared" si="102"/>
        <v/>
      </c>
      <c r="Z1083" s="221" t="str">
        <f t="shared" si="103"/>
        <v/>
      </c>
    </row>
    <row r="1084" spans="25:26" ht="16.350000000000001" customHeight="1" x14ac:dyDescent="0.25">
      <c r="Y1084" s="221" t="str">
        <f t="shared" si="102"/>
        <v/>
      </c>
      <c r="Z1084" s="221" t="str">
        <f t="shared" si="103"/>
        <v/>
      </c>
    </row>
    <row r="1085" spans="25:26" ht="16.350000000000001" customHeight="1" x14ac:dyDescent="0.25">
      <c r="Y1085" s="221" t="str">
        <f t="shared" si="102"/>
        <v/>
      </c>
      <c r="Z1085" s="221" t="str">
        <f t="shared" si="103"/>
        <v/>
      </c>
    </row>
    <row r="1086" spans="25:26" ht="16.350000000000001" customHeight="1" x14ac:dyDescent="0.25">
      <c r="Y1086" s="221" t="str">
        <f t="shared" si="102"/>
        <v/>
      </c>
      <c r="Z1086" s="221" t="str">
        <f t="shared" si="103"/>
        <v/>
      </c>
    </row>
    <row r="1087" spans="25:26" ht="16.350000000000001" customHeight="1" x14ac:dyDescent="0.25">
      <c r="Y1087" s="221" t="str">
        <f t="shared" si="102"/>
        <v/>
      </c>
      <c r="Z1087" s="221" t="str">
        <f t="shared" si="103"/>
        <v/>
      </c>
    </row>
    <row r="1088" spans="25:26" ht="16.350000000000001" customHeight="1" x14ac:dyDescent="0.25">
      <c r="Y1088" s="221" t="str">
        <f t="shared" si="102"/>
        <v/>
      </c>
      <c r="Z1088" s="221" t="str">
        <f t="shared" si="103"/>
        <v/>
      </c>
    </row>
    <row r="1089" spans="25:26" ht="16.350000000000001" customHeight="1" x14ac:dyDescent="0.25">
      <c r="Y1089" s="221" t="str">
        <f t="shared" si="102"/>
        <v/>
      </c>
      <c r="Z1089" s="221" t="str">
        <f t="shared" si="103"/>
        <v/>
      </c>
    </row>
    <row r="1090" spans="25:26" ht="16.350000000000001" customHeight="1" x14ac:dyDescent="0.25">
      <c r="Y1090" s="221" t="str">
        <f t="shared" si="102"/>
        <v/>
      </c>
      <c r="Z1090" s="221" t="str">
        <f t="shared" si="103"/>
        <v/>
      </c>
    </row>
    <row r="1091" spans="25:26" ht="16.350000000000001" customHeight="1" x14ac:dyDescent="0.25">
      <c r="Y1091" s="221" t="str">
        <f t="shared" si="102"/>
        <v/>
      </c>
      <c r="Z1091" s="221" t="str">
        <f t="shared" si="103"/>
        <v/>
      </c>
    </row>
    <row r="1092" spans="25:26" ht="16.350000000000001" customHeight="1" x14ac:dyDescent="0.25">
      <c r="Y1092" s="221" t="str">
        <f t="shared" si="102"/>
        <v/>
      </c>
      <c r="Z1092" s="221" t="str">
        <f t="shared" si="103"/>
        <v/>
      </c>
    </row>
    <row r="1093" spans="25:26" ht="16.350000000000001" customHeight="1" x14ac:dyDescent="0.25">
      <c r="Y1093" s="221" t="str">
        <f t="shared" si="102"/>
        <v/>
      </c>
      <c r="Z1093" s="221" t="str">
        <f t="shared" si="103"/>
        <v/>
      </c>
    </row>
    <row r="1094" spans="25:26" ht="16.350000000000001" customHeight="1" x14ac:dyDescent="0.25">
      <c r="Y1094" s="221" t="str">
        <f t="shared" si="102"/>
        <v/>
      </c>
      <c r="Z1094" s="221" t="str">
        <f t="shared" si="103"/>
        <v/>
      </c>
    </row>
    <row r="1095" spans="25:26" ht="16.350000000000001" customHeight="1" x14ac:dyDescent="0.25">
      <c r="Y1095" s="221" t="str">
        <f t="shared" si="102"/>
        <v/>
      </c>
      <c r="Z1095" s="221" t="str">
        <f t="shared" ref="Z1095:Z1158" si="104">IF(AA1095&lt;&gt;"",$AA$1,"")</f>
        <v/>
      </c>
    </row>
    <row r="1096" spans="25:26" ht="16.350000000000001" customHeight="1" x14ac:dyDescent="0.25">
      <c r="Y1096" s="221" t="str">
        <f t="shared" si="102"/>
        <v/>
      </c>
      <c r="Z1096" s="221" t="str">
        <f t="shared" si="104"/>
        <v/>
      </c>
    </row>
    <row r="1097" spans="25:26" ht="16.350000000000001" customHeight="1" x14ac:dyDescent="0.25">
      <c r="Y1097" s="221" t="str">
        <f t="shared" si="102"/>
        <v/>
      </c>
      <c r="Z1097" s="221" t="str">
        <f t="shared" si="104"/>
        <v/>
      </c>
    </row>
    <row r="1098" spans="25:26" ht="16.350000000000001" customHeight="1" x14ac:dyDescent="0.25">
      <c r="Y1098" s="221" t="str">
        <f t="shared" si="102"/>
        <v/>
      </c>
      <c r="Z1098" s="221" t="str">
        <f t="shared" si="104"/>
        <v/>
      </c>
    </row>
    <row r="1099" spans="25:26" ht="16.350000000000001" customHeight="1" x14ac:dyDescent="0.25">
      <c r="Y1099" s="221" t="str">
        <f t="shared" si="102"/>
        <v/>
      </c>
      <c r="Z1099" s="221" t="str">
        <f t="shared" si="104"/>
        <v/>
      </c>
    </row>
    <row r="1100" spans="25:26" ht="16.350000000000001" customHeight="1" x14ac:dyDescent="0.25">
      <c r="Y1100" s="221" t="str">
        <f t="shared" si="102"/>
        <v/>
      </c>
      <c r="Z1100" s="221" t="str">
        <f t="shared" si="104"/>
        <v/>
      </c>
    </row>
    <row r="1101" spans="25:26" ht="16.350000000000001" customHeight="1" x14ac:dyDescent="0.25">
      <c r="Y1101" s="221" t="str">
        <f t="shared" si="102"/>
        <v/>
      </c>
      <c r="Z1101" s="221" t="str">
        <f t="shared" si="104"/>
        <v/>
      </c>
    </row>
    <row r="1102" spans="25:26" ht="16.350000000000001" customHeight="1" x14ac:dyDescent="0.25">
      <c r="Y1102" s="221" t="str">
        <f t="shared" si="102"/>
        <v/>
      </c>
      <c r="Z1102" s="221" t="str">
        <f t="shared" si="104"/>
        <v/>
      </c>
    </row>
    <row r="1103" spans="25:26" ht="16.350000000000001" customHeight="1" x14ac:dyDescent="0.25">
      <c r="Y1103" s="221" t="str">
        <f t="shared" si="102"/>
        <v/>
      </c>
      <c r="Z1103" s="221" t="str">
        <f t="shared" si="104"/>
        <v/>
      </c>
    </row>
    <row r="1104" spans="25:26" ht="16.350000000000001" customHeight="1" x14ac:dyDescent="0.25">
      <c r="Y1104" s="221" t="str">
        <f t="shared" si="102"/>
        <v/>
      </c>
      <c r="Z1104" s="221" t="str">
        <f t="shared" si="104"/>
        <v/>
      </c>
    </row>
    <row r="1105" spans="25:26" ht="16.350000000000001" customHeight="1" x14ac:dyDescent="0.25">
      <c r="Y1105" s="221" t="str">
        <f t="shared" ref="Y1105:Y1168" si="105">IF(AA1105&lt;&gt;"","NEW","")</f>
        <v/>
      </c>
      <c r="Z1105" s="221" t="str">
        <f t="shared" si="104"/>
        <v/>
      </c>
    </row>
    <row r="1106" spans="25:26" ht="16.350000000000001" customHeight="1" x14ac:dyDescent="0.25">
      <c r="Y1106" s="221" t="str">
        <f t="shared" si="105"/>
        <v/>
      </c>
      <c r="Z1106" s="221" t="str">
        <f t="shared" si="104"/>
        <v/>
      </c>
    </row>
    <row r="1107" spans="25:26" ht="16.350000000000001" customHeight="1" x14ac:dyDescent="0.25">
      <c r="Y1107" s="221" t="str">
        <f t="shared" si="105"/>
        <v/>
      </c>
      <c r="Z1107" s="221" t="str">
        <f t="shared" si="104"/>
        <v/>
      </c>
    </row>
    <row r="1108" spans="25:26" ht="16.350000000000001" customHeight="1" x14ac:dyDescent="0.25">
      <c r="Y1108" s="221" t="str">
        <f t="shared" si="105"/>
        <v/>
      </c>
      <c r="Z1108" s="221" t="str">
        <f t="shared" si="104"/>
        <v/>
      </c>
    </row>
    <row r="1109" spans="25:26" ht="16.350000000000001" customHeight="1" x14ac:dyDescent="0.25">
      <c r="Y1109" s="221" t="str">
        <f t="shared" si="105"/>
        <v/>
      </c>
      <c r="Z1109" s="221" t="str">
        <f t="shared" si="104"/>
        <v/>
      </c>
    </row>
    <row r="1110" spans="25:26" ht="16.350000000000001" customHeight="1" x14ac:dyDescent="0.25">
      <c r="Y1110" s="221" t="str">
        <f t="shared" si="105"/>
        <v/>
      </c>
      <c r="Z1110" s="221" t="str">
        <f t="shared" si="104"/>
        <v/>
      </c>
    </row>
    <row r="1111" spans="25:26" ht="16.350000000000001" customHeight="1" x14ac:dyDescent="0.25">
      <c r="Y1111" s="221" t="str">
        <f t="shared" si="105"/>
        <v/>
      </c>
      <c r="Z1111" s="221" t="str">
        <f t="shared" si="104"/>
        <v/>
      </c>
    </row>
    <row r="1112" spans="25:26" ht="16.350000000000001" customHeight="1" x14ac:dyDescent="0.25">
      <c r="Y1112" s="221" t="str">
        <f t="shared" si="105"/>
        <v/>
      </c>
      <c r="Z1112" s="221" t="str">
        <f t="shared" si="104"/>
        <v/>
      </c>
    </row>
    <row r="1113" spans="25:26" ht="16.350000000000001" customHeight="1" x14ac:dyDescent="0.25">
      <c r="Y1113" s="221" t="str">
        <f t="shared" si="105"/>
        <v/>
      </c>
      <c r="Z1113" s="221" t="str">
        <f t="shared" si="104"/>
        <v/>
      </c>
    </row>
    <row r="1114" spans="25:26" ht="16.350000000000001" customHeight="1" x14ac:dyDescent="0.25">
      <c r="Y1114" s="221" t="str">
        <f t="shared" si="105"/>
        <v/>
      </c>
      <c r="Z1114" s="221" t="str">
        <f t="shared" si="104"/>
        <v/>
      </c>
    </row>
    <row r="1115" spans="25:26" ht="16.350000000000001" customHeight="1" x14ac:dyDescent="0.25">
      <c r="Y1115" s="221" t="str">
        <f t="shared" si="105"/>
        <v/>
      </c>
      <c r="Z1115" s="221" t="str">
        <f t="shared" si="104"/>
        <v/>
      </c>
    </row>
    <row r="1116" spans="25:26" ht="16.350000000000001" customHeight="1" x14ac:dyDescent="0.25">
      <c r="Y1116" s="221" t="str">
        <f t="shared" si="105"/>
        <v/>
      </c>
      <c r="Z1116" s="221" t="str">
        <f t="shared" si="104"/>
        <v/>
      </c>
    </row>
    <row r="1117" spans="25:26" ht="16.350000000000001" customHeight="1" x14ac:dyDescent="0.25">
      <c r="Y1117" s="221" t="str">
        <f t="shared" si="105"/>
        <v/>
      </c>
      <c r="Z1117" s="221" t="str">
        <f t="shared" si="104"/>
        <v/>
      </c>
    </row>
    <row r="1118" spans="25:26" ht="16.350000000000001" customHeight="1" x14ac:dyDescent="0.25">
      <c r="Y1118" s="221" t="str">
        <f t="shared" si="105"/>
        <v/>
      </c>
      <c r="Z1118" s="221" t="str">
        <f t="shared" si="104"/>
        <v/>
      </c>
    </row>
    <row r="1119" spans="25:26" ht="16.350000000000001" customHeight="1" x14ac:dyDescent="0.25">
      <c r="Y1119" s="221" t="str">
        <f t="shared" si="105"/>
        <v/>
      </c>
      <c r="Z1119" s="221" t="str">
        <f t="shared" si="104"/>
        <v/>
      </c>
    </row>
    <row r="1120" spans="25:26" ht="16.350000000000001" customHeight="1" x14ac:dyDescent="0.25">
      <c r="Y1120" s="221" t="str">
        <f t="shared" si="105"/>
        <v/>
      </c>
      <c r="Z1120" s="221" t="str">
        <f t="shared" si="104"/>
        <v/>
      </c>
    </row>
    <row r="1121" spans="25:26" ht="16.350000000000001" customHeight="1" x14ac:dyDescent="0.25">
      <c r="Y1121" s="221" t="str">
        <f t="shared" si="105"/>
        <v/>
      </c>
      <c r="Z1121" s="221" t="str">
        <f t="shared" si="104"/>
        <v/>
      </c>
    </row>
    <row r="1122" spans="25:26" ht="16.350000000000001" customHeight="1" x14ac:dyDescent="0.25">
      <c r="Y1122" s="221" t="str">
        <f t="shared" si="105"/>
        <v/>
      </c>
      <c r="Z1122" s="221" t="str">
        <f t="shared" si="104"/>
        <v/>
      </c>
    </row>
    <row r="1123" spans="25:26" ht="16.350000000000001" customHeight="1" x14ac:dyDescent="0.25">
      <c r="Y1123" s="221" t="str">
        <f t="shared" si="105"/>
        <v/>
      </c>
      <c r="Z1123" s="221" t="str">
        <f t="shared" si="104"/>
        <v/>
      </c>
    </row>
    <row r="1124" spans="25:26" ht="16.350000000000001" customHeight="1" x14ac:dyDescent="0.25">
      <c r="Y1124" s="221" t="str">
        <f t="shared" si="105"/>
        <v/>
      </c>
      <c r="Z1124" s="221" t="str">
        <f t="shared" si="104"/>
        <v/>
      </c>
    </row>
    <row r="1125" spans="25:26" ht="16.350000000000001" customHeight="1" x14ac:dyDescent="0.25">
      <c r="Y1125" s="221" t="str">
        <f t="shared" si="105"/>
        <v/>
      </c>
      <c r="Z1125" s="221" t="str">
        <f t="shared" si="104"/>
        <v/>
      </c>
    </row>
    <row r="1126" spans="25:26" ht="16.350000000000001" customHeight="1" x14ac:dyDescent="0.25">
      <c r="Y1126" s="221" t="str">
        <f t="shared" si="105"/>
        <v/>
      </c>
      <c r="Z1126" s="221" t="str">
        <f t="shared" si="104"/>
        <v/>
      </c>
    </row>
    <row r="1127" spans="25:26" ht="16.350000000000001" customHeight="1" x14ac:dyDescent="0.25">
      <c r="Y1127" s="221" t="str">
        <f t="shared" si="105"/>
        <v/>
      </c>
      <c r="Z1127" s="221" t="str">
        <f t="shared" si="104"/>
        <v/>
      </c>
    </row>
    <row r="1128" spans="25:26" ht="16.350000000000001" customHeight="1" x14ac:dyDescent="0.25">
      <c r="Y1128" s="221" t="str">
        <f t="shared" si="105"/>
        <v/>
      </c>
      <c r="Z1128" s="221" t="str">
        <f t="shared" si="104"/>
        <v/>
      </c>
    </row>
    <row r="1129" spans="25:26" ht="16.350000000000001" customHeight="1" x14ac:dyDescent="0.25">
      <c r="Y1129" s="221" t="str">
        <f t="shared" si="105"/>
        <v/>
      </c>
      <c r="Z1129" s="221" t="str">
        <f t="shared" si="104"/>
        <v/>
      </c>
    </row>
    <row r="1130" spans="25:26" ht="16.350000000000001" customHeight="1" x14ac:dyDescent="0.25">
      <c r="Y1130" s="221" t="str">
        <f t="shared" si="105"/>
        <v/>
      </c>
      <c r="Z1130" s="221" t="str">
        <f t="shared" si="104"/>
        <v/>
      </c>
    </row>
    <row r="1131" spans="25:26" ht="16.350000000000001" customHeight="1" x14ac:dyDescent="0.25">
      <c r="Y1131" s="221" t="str">
        <f t="shared" si="105"/>
        <v/>
      </c>
      <c r="Z1131" s="221" t="str">
        <f t="shared" si="104"/>
        <v/>
      </c>
    </row>
    <row r="1132" spans="25:26" ht="16.350000000000001" customHeight="1" x14ac:dyDescent="0.25">
      <c r="Y1132" s="221" t="str">
        <f t="shared" si="105"/>
        <v/>
      </c>
      <c r="Z1132" s="221" t="str">
        <f t="shared" si="104"/>
        <v/>
      </c>
    </row>
    <row r="1133" spans="25:26" ht="16.350000000000001" customHeight="1" x14ac:dyDescent="0.25">
      <c r="Y1133" s="221" t="str">
        <f t="shared" si="105"/>
        <v/>
      </c>
      <c r="Z1133" s="221" t="str">
        <f t="shared" si="104"/>
        <v/>
      </c>
    </row>
    <row r="1134" spans="25:26" ht="16.350000000000001" customHeight="1" x14ac:dyDescent="0.25">
      <c r="Y1134" s="221" t="str">
        <f t="shared" si="105"/>
        <v/>
      </c>
      <c r="Z1134" s="221" t="str">
        <f t="shared" si="104"/>
        <v/>
      </c>
    </row>
    <row r="1135" spans="25:26" ht="16.350000000000001" customHeight="1" x14ac:dyDescent="0.25">
      <c r="Y1135" s="221" t="str">
        <f t="shared" si="105"/>
        <v/>
      </c>
      <c r="Z1135" s="221" t="str">
        <f t="shared" si="104"/>
        <v/>
      </c>
    </row>
    <row r="1136" spans="25:26" ht="16.350000000000001" customHeight="1" x14ac:dyDescent="0.25">
      <c r="Y1136" s="221" t="str">
        <f t="shared" si="105"/>
        <v/>
      </c>
      <c r="Z1136" s="221" t="str">
        <f t="shared" si="104"/>
        <v/>
      </c>
    </row>
    <row r="1137" spans="25:26" ht="16.350000000000001" customHeight="1" x14ac:dyDescent="0.25">
      <c r="Y1137" s="221" t="str">
        <f t="shared" si="105"/>
        <v/>
      </c>
      <c r="Z1137" s="221" t="str">
        <f t="shared" si="104"/>
        <v/>
      </c>
    </row>
    <row r="1138" spans="25:26" ht="16.350000000000001" customHeight="1" x14ac:dyDescent="0.25">
      <c r="Y1138" s="221" t="str">
        <f t="shared" si="105"/>
        <v/>
      </c>
      <c r="Z1138" s="221" t="str">
        <f t="shared" si="104"/>
        <v/>
      </c>
    </row>
    <row r="1139" spans="25:26" ht="16.350000000000001" customHeight="1" x14ac:dyDescent="0.25">
      <c r="Y1139" s="221" t="str">
        <f t="shared" si="105"/>
        <v/>
      </c>
      <c r="Z1139" s="221" t="str">
        <f t="shared" si="104"/>
        <v/>
      </c>
    </row>
    <row r="1140" spans="25:26" ht="16.350000000000001" customHeight="1" x14ac:dyDescent="0.25">
      <c r="Y1140" s="221" t="str">
        <f t="shared" si="105"/>
        <v/>
      </c>
      <c r="Z1140" s="221" t="str">
        <f t="shared" si="104"/>
        <v/>
      </c>
    </row>
    <row r="1141" spans="25:26" ht="16.350000000000001" customHeight="1" x14ac:dyDescent="0.25">
      <c r="Y1141" s="221" t="str">
        <f t="shared" si="105"/>
        <v/>
      </c>
      <c r="Z1141" s="221" t="str">
        <f t="shared" si="104"/>
        <v/>
      </c>
    </row>
    <row r="1142" spans="25:26" ht="16.350000000000001" customHeight="1" x14ac:dyDescent="0.25">
      <c r="Y1142" s="221" t="str">
        <f t="shared" si="105"/>
        <v/>
      </c>
      <c r="Z1142" s="221" t="str">
        <f t="shared" si="104"/>
        <v/>
      </c>
    </row>
    <row r="1143" spans="25:26" ht="16.350000000000001" customHeight="1" x14ac:dyDescent="0.25">
      <c r="Y1143" s="221" t="str">
        <f t="shared" si="105"/>
        <v/>
      </c>
      <c r="Z1143" s="221" t="str">
        <f t="shared" si="104"/>
        <v/>
      </c>
    </row>
    <row r="1144" spans="25:26" ht="16.350000000000001" customHeight="1" x14ac:dyDescent="0.25">
      <c r="Y1144" s="221" t="str">
        <f t="shared" si="105"/>
        <v/>
      </c>
      <c r="Z1144" s="221" t="str">
        <f t="shared" si="104"/>
        <v/>
      </c>
    </row>
    <row r="1145" spans="25:26" ht="16.350000000000001" customHeight="1" x14ac:dyDescent="0.25">
      <c r="Y1145" s="221" t="str">
        <f t="shared" si="105"/>
        <v/>
      </c>
      <c r="Z1145" s="221" t="str">
        <f t="shared" si="104"/>
        <v/>
      </c>
    </row>
    <row r="1146" spans="25:26" ht="16.350000000000001" customHeight="1" x14ac:dyDescent="0.25">
      <c r="Y1146" s="221" t="str">
        <f t="shared" si="105"/>
        <v/>
      </c>
      <c r="Z1146" s="221" t="str">
        <f t="shared" si="104"/>
        <v/>
      </c>
    </row>
    <row r="1147" spans="25:26" ht="16.350000000000001" customHeight="1" x14ac:dyDescent="0.25">
      <c r="Y1147" s="221" t="str">
        <f t="shared" si="105"/>
        <v/>
      </c>
      <c r="Z1147" s="221" t="str">
        <f t="shared" si="104"/>
        <v/>
      </c>
    </row>
    <row r="1148" spans="25:26" ht="16.350000000000001" customHeight="1" x14ac:dyDescent="0.25">
      <c r="Y1148" s="221" t="str">
        <f t="shared" si="105"/>
        <v/>
      </c>
      <c r="Z1148" s="221" t="str">
        <f t="shared" si="104"/>
        <v/>
      </c>
    </row>
    <row r="1149" spans="25:26" ht="16.350000000000001" customHeight="1" x14ac:dyDescent="0.25">
      <c r="Y1149" s="221" t="str">
        <f t="shared" si="105"/>
        <v/>
      </c>
      <c r="Z1149" s="221" t="str">
        <f t="shared" si="104"/>
        <v/>
      </c>
    </row>
    <row r="1150" spans="25:26" ht="16.350000000000001" customHeight="1" x14ac:dyDescent="0.25">
      <c r="Y1150" s="221" t="str">
        <f t="shared" si="105"/>
        <v/>
      </c>
      <c r="Z1150" s="221" t="str">
        <f t="shared" si="104"/>
        <v/>
      </c>
    </row>
    <row r="1151" spans="25:26" ht="16.350000000000001" customHeight="1" x14ac:dyDescent="0.25">
      <c r="Y1151" s="221" t="str">
        <f t="shared" si="105"/>
        <v/>
      </c>
      <c r="Z1151" s="221" t="str">
        <f t="shared" si="104"/>
        <v/>
      </c>
    </row>
    <row r="1152" spans="25:26" ht="16.350000000000001" customHeight="1" x14ac:dyDescent="0.25">
      <c r="Y1152" s="221" t="str">
        <f t="shared" si="105"/>
        <v/>
      </c>
      <c r="Z1152" s="221" t="str">
        <f t="shared" si="104"/>
        <v/>
      </c>
    </row>
    <row r="1153" spans="25:26" ht="16.350000000000001" customHeight="1" x14ac:dyDescent="0.25">
      <c r="Y1153" s="221" t="str">
        <f t="shared" si="105"/>
        <v/>
      </c>
      <c r="Z1153" s="221" t="str">
        <f t="shared" si="104"/>
        <v/>
      </c>
    </row>
    <row r="1154" spans="25:26" ht="16.350000000000001" customHeight="1" x14ac:dyDescent="0.25">
      <c r="Y1154" s="221" t="str">
        <f t="shared" si="105"/>
        <v/>
      </c>
      <c r="Z1154" s="221" t="str">
        <f t="shared" si="104"/>
        <v/>
      </c>
    </row>
    <row r="1155" spans="25:26" ht="16.350000000000001" customHeight="1" x14ac:dyDescent="0.25">
      <c r="Y1155" s="221" t="str">
        <f t="shared" si="105"/>
        <v/>
      </c>
      <c r="Z1155" s="221" t="str">
        <f t="shared" si="104"/>
        <v/>
      </c>
    </row>
    <row r="1156" spans="25:26" ht="16.350000000000001" customHeight="1" x14ac:dyDescent="0.25">
      <c r="Y1156" s="221" t="str">
        <f t="shared" si="105"/>
        <v/>
      </c>
      <c r="Z1156" s="221" t="str">
        <f t="shared" si="104"/>
        <v/>
      </c>
    </row>
    <row r="1157" spans="25:26" ht="16.350000000000001" customHeight="1" x14ac:dyDescent="0.25">
      <c r="Y1157" s="221" t="str">
        <f t="shared" si="105"/>
        <v/>
      </c>
      <c r="Z1157" s="221" t="str">
        <f t="shared" si="104"/>
        <v/>
      </c>
    </row>
    <row r="1158" spans="25:26" ht="16.350000000000001" customHeight="1" x14ac:dyDescent="0.25">
      <c r="Y1158" s="221" t="str">
        <f t="shared" si="105"/>
        <v/>
      </c>
      <c r="Z1158" s="221" t="str">
        <f t="shared" si="104"/>
        <v/>
      </c>
    </row>
    <row r="1159" spans="25:26" ht="16.350000000000001" customHeight="1" x14ac:dyDescent="0.25">
      <c r="Y1159" s="221" t="str">
        <f t="shared" si="105"/>
        <v/>
      </c>
      <c r="Z1159" s="221" t="str">
        <f t="shared" ref="Z1159:Z1222" si="106">IF(AA1159&lt;&gt;"",$AA$1,"")</f>
        <v/>
      </c>
    </row>
    <row r="1160" spans="25:26" ht="16.350000000000001" customHeight="1" x14ac:dyDescent="0.25">
      <c r="Y1160" s="221" t="str">
        <f t="shared" si="105"/>
        <v/>
      </c>
      <c r="Z1160" s="221" t="str">
        <f t="shared" si="106"/>
        <v/>
      </c>
    </row>
    <row r="1161" spans="25:26" ht="16.350000000000001" customHeight="1" x14ac:dyDescent="0.25">
      <c r="Y1161" s="221" t="str">
        <f t="shared" si="105"/>
        <v/>
      </c>
      <c r="Z1161" s="221" t="str">
        <f t="shared" si="106"/>
        <v/>
      </c>
    </row>
    <row r="1162" spans="25:26" ht="16.350000000000001" customHeight="1" x14ac:dyDescent="0.25">
      <c r="Y1162" s="221" t="str">
        <f t="shared" si="105"/>
        <v/>
      </c>
      <c r="Z1162" s="221" t="str">
        <f t="shared" si="106"/>
        <v/>
      </c>
    </row>
    <row r="1163" spans="25:26" ht="16.350000000000001" customHeight="1" x14ac:dyDescent="0.25">
      <c r="Y1163" s="221" t="str">
        <f t="shared" si="105"/>
        <v/>
      </c>
      <c r="Z1163" s="221" t="str">
        <f t="shared" si="106"/>
        <v/>
      </c>
    </row>
    <row r="1164" spans="25:26" ht="16.350000000000001" customHeight="1" x14ac:dyDescent="0.25">
      <c r="Y1164" s="221" t="str">
        <f t="shared" si="105"/>
        <v/>
      </c>
      <c r="Z1164" s="221" t="str">
        <f t="shared" si="106"/>
        <v/>
      </c>
    </row>
    <row r="1165" spans="25:26" ht="16.350000000000001" customHeight="1" x14ac:dyDescent="0.25">
      <c r="Y1165" s="221" t="str">
        <f t="shared" si="105"/>
        <v/>
      </c>
      <c r="Z1165" s="221" t="str">
        <f t="shared" si="106"/>
        <v/>
      </c>
    </row>
    <row r="1166" spans="25:26" ht="16.350000000000001" customHeight="1" x14ac:dyDescent="0.25">
      <c r="Y1166" s="221" t="str">
        <f t="shared" si="105"/>
        <v/>
      </c>
      <c r="Z1166" s="221" t="str">
        <f t="shared" si="106"/>
        <v/>
      </c>
    </row>
    <row r="1167" spans="25:26" ht="16.350000000000001" customHeight="1" x14ac:dyDescent="0.25">
      <c r="Y1167" s="221" t="str">
        <f t="shared" si="105"/>
        <v/>
      </c>
      <c r="Z1167" s="221" t="str">
        <f t="shared" si="106"/>
        <v/>
      </c>
    </row>
    <row r="1168" spans="25:26" ht="16.350000000000001" customHeight="1" x14ac:dyDescent="0.25">
      <c r="Y1168" s="221" t="str">
        <f t="shared" si="105"/>
        <v/>
      </c>
      <c r="Z1168" s="221" t="str">
        <f t="shared" si="106"/>
        <v/>
      </c>
    </row>
    <row r="1169" spans="25:26" ht="16.350000000000001" customHeight="1" x14ac:dyDescent="0.25">
      <c r="Y1169" s="221" t="str">
        <f t="shared" ref="Y1169:Y1232" si="107">IF(AA1169&lt;&gt;"","NEW","")</f>
        <v/>
      </c>
      <c r="Z1169" s="221" t="str">
        <f t="shared" si="106"/>
        <v/>
      </c>
    </row>
    <row r="1170" spans="25:26" ht="16.350000000000001" customHeight="1" x14ac:dyDescent="0.25">
      <c r="Y1170" s="221" t="str">
        <f t="shared" si="107"/>
        <v/>
      </c>
      <c r="Z1170" s="221" t="str">
        <f t="shared" si="106"/>
        <v/>
      </c>
    </row>
    <row r="1171" spans="25:26" ht="16.350000000000001" customHeight="1" x14ac:dyDescent="0.25">
      <c r="Y1171" s="221" t="str">
        <f t="shared" si="107"/>
        <v/>
      </c>
      <c r="Z1171" s="221" t="str">
        <f t="shared" si="106"/>
        <v/>
      </c>
    </row>
    <row r="1172" spans="25:26" ht="16.350000000000001" customHeight="1" x14ac:dyDescent="0.25">
      <c r="Y1172" s="221" t="str">
        <f t="shared" si="107"/>
        <v/>
      </c>
      <c r="Z1172" s="221" t="str">
        <f t="shared" si="106"/>
        <v/>
      </c>
    </row>
    <row r="1173" spans="25:26" ht="16.350000000000001" customHeight="1" x14ac:dyDescent="0.25">
      <c r="Y1173" s="221" t="str">
        <f t="shared" si="107"/>
        <v/>
      </c>
      <c r="Z1173" s="221" t="str">
        <f t="shared" si="106"/>
        <v/>
      </c>
    </row>
    <row r="1174" spans="25:26" ht="16.350000000000001" customHeight="1" x14ac:dyDescent="0.25">
      <c r="Y1174" s="221" t="str">
        <f t="shared" si="107"/>
        <v/>
      </c>
      <c r="Z1174" s="221" t="str">
        <f t="shared" si="106"/>
        <v/>
      </c>
    </row>
    <row r="1175" spans="25:26" ht="16.350000000000001" customHeight="1" x14ac:dyDescent="0.25">
      <c r="Y1175" s="221" t="str">
        <f t="shared" si="107"/>
        <v/>
      </c>
      <c r="Z1175" s="221" t="str">
        <f t="shared" si="106"/>
        <v/>
      </c>
    </row>
    <row r="1176" spans="25:26" ht="16.350000000000001" customHeight="1" x14ac:dyDescent="0.25">
      <c r="Y1176" s="221" t="str">
        <f t="shared" si="107"/>
        <v/>
      </c>
      <c r="Z1176" s="221" t="str">
        <f t="shared" si="106"/>
        <v/>
      </c>
    </row>
    <row r="1177" spans="25:26" ht="16.350000000000001" customHeight="1" x14ac:dyDescent="0.25">
      <c r="Y1177" s="221" t="str">
        <f t="shared" si="107"/>
        <v/>
      </c>
      <c r="Z1177" s="221" t="str">
        <f t="shared" si="106"/>
        <v/>
      </c>
    </row>
    <row r="1178" spans="25:26" ht="16.350000000000001" customHeight="1" x14ac:dyDescent="0.25">
      <c r="Y1178" s="221" t="str">
        <f t="shared" si="107"/>
        <v/>
      </c>
      <c r="Z1178" s="221" t="str">
        <f t="shared" si="106"/>
        <v/>
      </c>
    </row>
    <row r="1179" spans="25:26" ht="16.350000000000001" customHeight="1" x14ac:dyDescent="0.25">
      <c r="Y1179" s="221" t="str">
        <f t="shared" si="107"/>
        <v/>
      </c>
      <c r="Z1179" s="221" t="str">
        <f t="shared" si="106"/>
        <v/>
      </c>
    </row>
    <row r="1180" spans="25:26" ht="16.350000000000001" customHeight="1" x14ac:dyDescent="0.25">
      <c r="Y1180" s="221" t="str">
        <f t="shared" si="107"/>
        <v/>
      </c>
      <c r="Z1180" s="221" t="str">
        <f t="shared" si="106"/>
        <v/>
      </c>
    </row>
    <row r="1181" spans="25:26" ht="16.350000000000001" customHeight="1" x14ac:dyDescent="0.25">
      <c r="Y1181" s="221" t="str">
        <f t="shared" si="107"/>
        <v/>
      </c>
      <c r="Z1181" s="221" t="str">
        <f t="shared" si="106"/>
        <v/>
      </c>
    </row>
    <row r="1182" spans="25:26" ht="16.350000000000001" customHeight="1" x14ac:dyDescent="0.25">
      <c r="Y1182" s="221" t="str">
        <f t="shared" si="107"/>
        <v/>
      </c>
      <c r="Z1182" s="221" t="str">
        <f t="shared" si="106"/>
        <v/>
      </c>
    </row>
    <row r="1183" spans="25:26" ht="16.350000000000001" customHeight="1" x14ac:dyDescent="0.25">
      <c r="Y1183" s="221" t="str">
        <f t="shared" si="107"/>
        <v/>
      </c>
      <c r="Z1183" s="221" t="str">
        <f t="shared" si="106"/>
        <v/>
      </c>
    </row>
    <row r="1184" spans="25:26" ht="16.350000000000001" customHeight="1" x14ac:dyDescent="0.25">
      <c r="Y1184" s="221" t="str">
        <f t="shared" si="107"/>
        <v/>
      </c>
      <c r="Z1184" s="221" t="str">
        <f t="shared" si="106"/>
        <v/>
      </c>
    </row>
    <row r="1185" spans="25:26" ht="16.350000000000001" customHeight="1" x14ac:dyDescent="0.25">
      <c r="Y1185" s="221" t="str">
        <f t="shared" si="107"/>
        <v/>
      </c>
      <c r="Z1185" s="221" t="str">
        <f t="shared" si="106"/>
        <v/>
      </c>
    </row>
    <row r="1186" spans="25:26" ht="16.350000000000001" customHeight="1" x14ac:dyDescent="0.25">
      <c r="Y1186" s="221" t="str">
        <f t="shared" si="107"/>
        <v/>
      </c>
      <c r="Z1186" s="221" t="str">
        <f t="shared" si="106"/>
        <v/>
      </c>
    </row>
    <row r="1187" spans="25:26" ht="16.350000000000001" customHeight="1" x14ac:dyDescent="0.25">
      <c r="Y1187" s="221" t="str">
        <f t="shared" si="107"/>
        <v/>
      </c>
      <c r="Z1187" s="221" t="str">
        <f t="shared" si="106"/>
        <v/>
      </c>
    </row>
    <row r="1188" spans="25:26" ht="16.350000000000001" customHeight="1" x14ac:dyDescent="0.25">
      <c r="Y1188" s="221" t="str">
        <f t="shared" si="107"/>
        <v/>
      </c>
      <c r="Z1188" s="221" t="str">
        <f t="shared" si="106"/>
        <v/>
      </c>
    </row>
    <row r="1189" spans="25:26" ht="16.350000000000001" customHeight="1" x14ac:dyDescent="0.25">
      <c r="Y1189" s="221" t="str">
        <f t="shared" si="107"/>
        <v/>
      </c>
      <c r="Z1189" s="221" t="str">
        <f t="shared" si="106"/>
        <v/>
      </c>
    </row>
    <row r="1190" spans="25:26" ht="16.350000000000001" customHeight="1" x14ac:dyDescent="0.25">
      <c r="Y1190" s="221" t="str">
        <f t="shared" si="107"/>
        <v/>
      </c>
      <c r="Z1190" s="221" t="str">
        <f t="shared" si="106"/>
        <v/>
      </c>
    </row>
    <row r="1191" spans="25:26" ht="16.350000000000001" customHeight="1" x14ac:dyDescent="0.25">
      <c r="Y1191" s="221" t="str">
        <f t="shared" si="107"/>
        <v/>
      </c>
      <c r="Z1191" s="221" t="str">
        <f t="shared" si="106"/>
        <v/>
      </c>
    </row>
    <row r="1192" spans="25:26" ht="16.350000000000001" customHeight="1" x14ac:dyDescent="0.25">
      <c r="Y1192" s="221" t="str">
        <f t="shared" si="107"/>
        <v/>
      </c>
      <c r="Z1192" s="221" t="str">
        <f t="shared" si="106"/>
        <v/>
      </c>
    </row>
    <row r="1193" spans="25:26" ht="16.350000000000001" customHeight="1" x14ac:dyDescent="0.25">
      <c r="Y1193" s="221" t="str">
        <f t="shared" si="107"/>
        <v/>
      </c>
      <c r="Z1193" s="221" t="str">
        <f t="shared" si="106"/>
        <v/>
      </c>
    </row>
    <row r="1194" spans="25:26" ht="16.350000000000001" customHeight="1" x14ac:dyDescent="0.25">
      <c r="Y1194" s="221" t="str">
        <f t="shared" si="107"/>
        <v/>
      </c>
      <c r="Z1194" s="221" t="str">
        <f t="shared" si="106"/>
        <v/>
      </c>
    </row>
    <row r="1195" spans="25:26" ht="16.350000000000001" customHeight="1" x14ac:dyDescent="0.25">
      <c r="Y1195" s="221" t="str">
        <f t="shared" si="107"/>
        <v/>
      </c>
      <c r="Z1195" s="221" t="str">
        <f t="shared" si="106"/>
        <v/>
      </c>
    </row>
    <row r="1196" spans="25:26" ht="16.350000000000001" customHeight="1" x14ac:dyDescent="0.25">
      <c r="Y1196" s="221" t="str">
        <f t="shared" si="107"/>
        <v/>
      </c>
      <c r="Z1196" s="221" t="str">
        <f t="shared" si="106"/>
        <v/>
      </c>
    </row>
    <row r="1197" spans="25:26" ht="16.350000000000001" customHeight="1" x14ac:dyDescent="0.25">
      <c r="Y1197" s="221" t="str">
        <f t="shared" si="107"/>
        <v/>
      </c>
      <c r="Z1197" s="221" t="str">
        <f t="shared" si="106"/>
        <v/>
      </c>
    </row>
    <row r="1198" spans="25:26" ht="16.350000000000001" customHeight="1" x14ac:dyDescent="0.25">
      <c r="Y1198" s="221" t="str">
        <f t="shared" si="107"/>
        <v/>
      </c>
      <c r="Z1198" s="221" t="str">
        <f t="shared" si="106"/>
        <v/>
      </c>
    </row>
    <row r="1199" spans="25:26" ht="16.350000000000001" customHeight="1" x14ac:dyDescent="0.25">
      <c r="Y1199" s="221" t="str">
        <f t="shared" si="107"/>
        <v/>
      </c>
      <c r="Z1199" s="221" t="str">
        <f t="shared" si="106"/>
        <v/>
      </c>
    </row>
    <row r="1200" spans="25:26" ht="16.350000000000001" customHeight="1" x14ac:dyDescent="0.25">
      <c r="Y1200" s="221" t="str">
        <f t="shared" si="107"/>
        <v/>
      </c>
      <c r="Z1200" s="221" t="str">
        <f t="shared" si="106"/>
        <v/>
      </c>
    </row>
    <row r="1201" spans="25:26" ht="16.350000000000001" customHeight="1" x14ac:dyDescent="0.25">
      <c r="Y1201" s="221" t="str">
        <f t="shared" si="107"/>
        <v/>
      </c>
      <c r="Z1201" s="221" t="str">
        <f t="shared" si="106"/>
        <v/>
      </c>
    </row>
    <row r="1202" spans="25:26" ht="16.350000000000001" customHeight="1" x14ac:dyDescent="0.25">
      <c r="Y1202" s="221" t="str">
        <f t="shared" si="107"/>
        <v/>
      </c>
      <c r="Z1202" s="221" t="str">
        <f t="shared" si="106"/>
        <v/>
      </c>
    </row>
    <row r="1203" spans="25:26" ht="16.350000000000001" customHeight="1" x14ac:dyDescent="0.25">
      <c r="Y1203" s="221" t="str">
        <f t="shared" si="107"/>
        <v/>
      </c>
      <c r="Z1203" s="221" t="str">
        <f t="shared" si="106"/>
        <v/>
      </c>
    </row>
    <row r="1204" spans="25:26" ht="16.350000000000001" customHeight="1" x14ac:dyDescent="0.25">
      <c r="Y1204" s="221" t="str">
        <f t="shared" si="107"/>
        <v/>
      </c>
      <c r="Z1204" s="221" t="str">
        <f t="shared" si="106"/>
        <v/>
      </c>
    </row>
    <row r="1205" spans="25:26" ht="16.350000000000001" customHeight="1" x14ac:dyDescent="0.25">
      <c r="Y1205" s="221" t="str">
        <f t="shared" si="107"/>
        <v/>
      </c>
      <c r="Z1205" s="221" t="str">
        <f t="shared" si="106"/>
        <v/>
      </c>
    </row>
    <row r="1206" spans="25:26" ht="16.350000000000001" customHeight="1" x14ac:dyDescent="0.25">
      <c r="Y1206" s="221" t="str">
        <f t="shared" si="107"/>
        <v/>
      </c>
      <c r="Z1206" s="221" t="str">
        <f t="shared" si="106"/>
        <v/>
      </c>
    </row>
    <row r="1207" spans="25:26" ht="16.350000000000001" customHeight="1" x14ac:dyDescent="0.25">
      <c r="Y1207" s="221" t="str">
        <f t="shared" si="107"/>
        <v/>
      </c>
      <c r="Z1207" s="221" t="str">
        <f t="shared" si="106"/>
        <v/>
      </c>
    </row>
    <row r="1208" spans="25:26" ht="16.350000000000001" customHeight="1" x14ac:dyDescent="0.25">
      <c r="Y1208" s="221" t="str">
        <f t="shared" si="107"/>
        <v/>
      </c>
      <c r="Z1208" s="221" t="str">
        <f t="shared" si="106"/>
        <v/>
      </c>
    </row>
    <row r="1209" spans="25:26" ht="16.350000000000001" customHeight="1" x14ac:dyDescent="0.25">
      <c r="Y1209" s="221" t="str">
        <f t="shared" si="107"/>
        <v/>
      </c>
      <c r="Z1209" s="221" t="str">
        <f t="shared" si="106"/>
        <v/>
      </c>
    </row>
    <row r="1210" spans="25:26" ht="16.350000000000001" customHeight="1" x14ac:dyDescent="0.25">
      <c r="Y1210" s="221" t="str">
        <f t="shared" si="107"/>
        <v/>
      </c>
      <c r="Z1210" s="221" t="str">
        <f t="shared" si="106"/>
        <v/>
      </c>
    </row>
    <row r="1211" spans="25:26" ht="16.350000000000001" customHeight="1" x14ac:dyDescent="0.25">
      <c r="Y1211" s="221" t="str">
        <f t="shared" si="107"/>
        <v/>
      </c>
      <c r="Z1211" s="221" t="str">
        <f t="shared" si="106"/>
        <v/>
      </c>
    </row>
    <row r="1212" spans="25:26" ht="16.350000000000001" customHeight="1" x14ac:dyDescent="0.25">
      <c r="Y1212" s="221" t="str">
        <f t="shared" si="107"/>
        <v/>
      </c>
      <c r="Z1212" s="221" t="str">
        <f t="shared" si="106"/>
        <v/>
      </c>
    </row>
    <row r="1213" spans="25:26" ht="16.350000000000001" customHeight="1" x14ac:dyDescent="0.25">
      <c r="Y1213" s="221" t="str">
        <f t="shared" si="107"/>
        <v/>
      </c>
      <c r="Z1213" s="221" t="str">
        <f t="shared" si="106"/>
        <v/>
      </c>
    </row>
    <row r="1214" spans="25:26" ht="16.350000000000001" customHeight="1" x14ac:dyDescent="0.25">
      <c r="Y1214" s="221" t="str">
        <f t="shared" si="107"/>
        <v/>
      </c>
      <c r="Z1214" s="221" t="str">
        <f t="shared" si="106"/>
        <v/>
      </c>
    </row>
    <row r="1215" spans="25:26" ht="16.350000000000001" customHeight="1" x14ac:dyDescent="0.25">
      <c r="Y1215" s="221" t="str">
        <f t="shared" si="107"/>
        <v/>
      </c>
      <c r="Z1215" s="221" t="str">
        <f t="shared" si="106"/>
        <v/>
      </c>
    </row>
    <row r="1216" spans="25:26" ht="16.350000000000001" customHeight="1" x14ac:dyDescent="0.25">
      <c r="Y1216" s="221" t="str">
        <f t="shared" si="107"/>
        <v/>
      </c>
      <c r="Z1216" s="221" t="str">
        <f t="shared" si="106"/>
        <v/>
      </c>
    </row>
    <row r="1217" spans="25:26" ht="16.350000000000001" customHeight="1" x14ac:dyDescent="0.25">
      <c r="Y1217" s="221" t="str">
        <f t="shared" si="107"/>
        <v/>
      </c>
      <c r="Z1217" s="221" t="str">
        <f t="shared" si="106"/>
        <v/>
      </c>
    </row>
    <row r="1218" spans="25:26" ht="16.350000000000001" customHeight="1" x14ac:dyDescent="0.25">
      <c r="Y1218" s="221" t="str">
        <f t="shared" si="107"/>
        <v/>
      </c>
      <c r="Z1218" s="221" t="str">
        <f t="shared" si="106"/>
        <v/>
      </c>
    </row>
    <row r="1219" spans="25:26" ht="16.350000000000001" customHeight="1" x14ac:dyDescent="0.25">
      <c r="Y1219" s="221" t="str">
        <f t="shared" si="107"/>
        <v/>
      </c>
      <c r="Z1219" s="221" t="str">
        <f t="shared" si="106"/>
        <v/>
      </c>
    </row>
    <row r="1220" spans="25:26" ht="16.350000000000001" customHeight="1" x14ac:dyDescent="0.25">
      <c r="Y1220" s="221" t="str">
        <f t="shared" si="107"/>
        <v/>
      </c>
      <c r="Z1220" s="221" t="str">
        <f t="shared" si="106"/>
        <v/>
      </c>
    </row>
    <row r="1221" spans="25:26" ht="16.350000000000001" customHeight="1" x14ac:dyDescent="0.25">
      <c r="Y1221" s="221" t="str">
        <f t="shared" si="107"/>
        <v/>
      </c>
      <c r="Z1221" s="221" t="str">
        <f t="shared" si="106"/>
        <v/>
      </c>
    </row>
    <row r="1222" spans="25:26" ht="16.350000000000001" customHeight="1" x14ac:dyDescent="0.25">
      <c r="Y1222" s="221" t="str">
        <f t="shared" si="107"/>
        <v/>
      </c>
      <c r="Z1222" s="221" t="str">
        <f t="shared" si="106"/>
        <v/>
      </c>
    </row>
    <row r="1223" spans="25:26" ht="16.350000000000001" customHeight="1" x14ac:dyDescent="0.25">
      <c r="Y1223" s="221" t="str">
        <f t="shared" si="107"/>
        <v/>
      </c>
      <c r="Z1223" s="221" t="str">
        <f t="shared" ref="Z1223:Z1286" si="108">IF(AA1223&lt;&gt;"",$AA$1,"")</f>
        <v/>
      </c>
    </row>
    <row r="1224" spans="25:26" ht="16.350000000000001" customHeight="1" x14ac:dyDescent="0.25">
      <c r="Y1224" s="221" t="str">
        <f t="shared" si="107"/>
        <v/>
      </c>
      <c r="Z1224" s="221" t="str">
        <f t="shared" si="108"/>
        <v/>
      </c>
    </row>
    <row r="1225" spans="25:26" ht="16.350000000000001" customHeight="1" x14ac:dyDescent="0.25">
      <c r="Y1225" s="221" t="str">
        <f t="shared" si="107"/>
        <v/>
      </c>
      <c r="Z1225" s="221" t="str">
        <f t="shared" si="108"/>
        <v/>
      </c>
    </row>
    <row r="1226" spans="25:26" ht="16.350000000000001" customHeight="1" x14ac:dyDescent="0.25">
      <c r="Y1226" s="221" t="str">
        <f t="shared" si="107"/>
        <v/>
      </c>
      <c r="Z1226" s="221" t="str">
        <f t="shared" si="108"/>
        <v/>
      </c>
    </row>
    <row r="1227" spans="25:26" ht="16.350000000000001" customHeight="1" x14ac:dyDescent="0.25">
      <c r="Y1227" s="221" t="str">
        <f t="shared" si="107"/>
        <v/>
      </c>
      <c r="Z1227" s="221" t="str">
        <f t="shared" si="108"/>
        <v/>
      </c>
    </row>
    <row r="1228" spans="25:26" ht="16.350000000000001" customHeight="1" x14ac:dyDescent="0.25">
      <c r="Y1228" s="221" t="str">
        <f t="shared" si="107"/>
        <v/>
      </c>
      <c r="Z1228" s="221" t="str">
        <f t="shared" si="108"/>
        <v/>
      </c>
    </row>
    <row r="1229" spans="25:26" ht="16.350000000000001" customHeight="1" x14ac:dyDescent="0.25">
      <c r="Y1229" s="221" t="str">
        <f t="shared" si="107"/>
        <v/>
      </c>
      <c r="Z1229" s="221" t="str">
        <f t="shared" si="108"/>
        <v/>
      </c>
    </row>
    <row r="1230" spans="25:26" ht="16.350000000000001" customHeight="1" x14ac:dyDescent="0.25">
      <c r="Y1230" s="221" t="str">
        <f t="shared" si="107"/>
        <v/>
      </c>
      <c r="Z1230" s="221" t="str">
        <f t="shared" si="108"/>
        <v/>
      </c>
    </row>
    <row r="1231" spans="25:26" ht="16.350000000000001" customHeight="1" x14ac:dyDescent="0.25">
      <c r="Y1231" s="221" t="str">
        <f t="shared" si="107"/>
        <v/>
      </c>
      <c r="Z1231" s="221" t="str">
        <f t="shared" si="108"/>
        <v/>
      </c>
    </row>
    <row r="1232" spans="25:26" ht="16.350000000000001" customHeight="1" x14ac:dyDescent="0.25">
      <c r="Y1232" s="221" t="str">
        <f t="shared" si="107"/>
        <v/>
      </c>
      <c r="Z1232" s="221" t="str">
        <f t="shared" si="108"/>
        <v/>
      </c>
    </row>
    <row r="1233" spans="25:26" ht="16.350000000000001" customHeight="1" x14ac:dyDescent="0.25">
      <c r="Y1233" s="221" t="str">
        <f t="shared" ref="Y1233:Y1296" si="109">IF(AA1233&lt;&gt;"","NEW","")</f>
        <v/>
      </c>
      <c r="Z1233" s="221" t="str">
        <f t="shared" si="108"/>
        <v/>
      </c>
    </row>
    <row r="1234" spans="25:26" ht="16.350000000000001" customHeight="1" x14ac:dyDescent="0.25">
      <c r="Y1234" s="221" t="str">
        <f t="shared" si="109"/>
        <v/>
      </c>
      <c r="Z1234" s="221" t="str">
        <f t="shared" si="108"/>
        <v/>
      </c>
    </row>
    <row r="1235" spans="25:26" ht="16.350000000000001" customHeight="1" x14ac:dyDescent="0.25">
      <c r="Y1235" s="221" t="str">
        <f t="shared" si="109"/>
        <v/>
      </c>
      <c r="Z1235" s="221" t="str">
        <f t="shared" si="108"/>
        <v/>
      </c>
    </row>
    <row r="1236" spans="25:26" ht="16.350000000000001" customHeight="1" x14ac:dyDescent="0.25">
      <c r="Y1236" s="221" t="str">
        <f t="shared" si="109"/>
        <v/>
      </c>
      <c r="Z1236" s="221" t="str">
        <f t="shared" si="108"/>
        <v/>
      </c>
    </row>
    <row r="1237" spans="25:26" ht="16.350000000000001" customHeight="1" x14ac:dyDescent="0.25">
      <c r="Y1237" s="221" t="str">
        <f t="shared" si="109"/>
        <v/>
      </c>
      <c r="Z1237" s="221" t="str">
        <f t="shared" si="108"/>
        <v/>
      </c>
    </row>
    <row r="1238" spans="25:26" ht="16.350000000000001" customHeight="1" x14ac:dyDescent="0.25">
      <c r="Y1238" s="221" t="str">
        <f t="shared" si="109"/>
        <v/>
      </c>
      <c r="Z1238" s="221" t="str">
        <f t="shared" si="108"/>
        <v/>
      </c>
    </row>
    <row r="1239" spans="25:26" ht="16.350000000000001" customHeight="1" x14ac:dyDescent="0.25">
      <c r="Y1239" s="221" t="str">
        <f t="shared" si="109"/>
        <v/>
      </c>
      <c r="Z1239" s="221" t="str">
        <f t="shared" si="108"/>
        <v/>
      </c>
    </row>
    <row r="1240" spans="25:26" ht="16.350000000000001" customHeight="1" x14ac:dyDescent="0.25">
      <c r="Y1240" s="221" t="str">
        <f t="shared" si="109"/>
        <v/>
      </c>
      <c r="Z1240" s="221" t="str">
        <f t="shared" si="108"/>
        <v/>
      </c>
    </row>
    <row r="1241" spans="25:26" ht="16.350000000000001" customHeight="1" x14ac:dyDescent="0.25">
      <c r="Y1241" s="221" t="str">
        <f t="shared" si="109"/>
        <v/>
      </c>
      <c r="Z1241" s="221" t="str">
        <f t="shared" si="108"/>
        <v/>
      </c>
    </row>
    <row r="1242" spans="25:26" ht="16.350000000000001" customHeight="1" x14ac:dyDescent="0.25">
      <c r="Y1242" s="221" t="str">
        <f t="shared" si="109"/>
        <v/>
      </c>
      <c r="Z1242" s="221" t="str">
        <f t="shared" si="108"/>
        <v/>
      </c>
    </row>
    <row r="1243" spans="25:26" ht="16.350000000000001" customHeight="1" x14ac:dyDescent="0.25">
      <c r="Y1243" s="221" t="str">
        <f t="shared" si="109"/>
        <v/>
      </c>
      <c r="Z1243" s="221" t="str">
        <f t="shared" si="108"/>
        <v/>
      </c>
    </row>
    <row r="1244" spans="25:26" ht="16.350000000000001" customHeight="1" x14ac:dyDescent="0.25">
      <c r="Y1244" s="221" t="str">
        <f t="shared" si="109"/>
        <v/>
      </c>
      <c r="Z1244" s="221" t="str">
        <f t="shared" si="108"/>
        <v/>
      </c>
    </row>
    <row r="1245" spans="25:26" ht="16.350000000000001" customHeight="1" x14ac:dyDescent="0.25">
      <c r="Y1245" s="221" t="str">
        <f t="shared" si="109"/>
        <v/>
      </c>
      <c r="Z1245" s="221" t="str">
        <f t="shared" si="108"/>
        <v/>
      </c>
    </row>
    <row r="1246" spans="25:26" ht="16.350000000000001" customHeight="1" x14ac:dyDescent="0.25">
      <c r="Y1246" s="221" t="str">
        <f t="shared" si="109"/>
        <v/>
      </c>
      <c r="Z1246" s="221" t="str">
        <f t="shared" si="108"/>
        <v/>
      </c>
    </row>
    <row r="1247" spans="25:26" ht="16.350000000000001" customHeight="1" x14ac:dyDescent="0.25">
      <c r="Y1247" s="221" t="str">
        <f t="shared" si="109"/>
        <v/>
      </c>
      <c r="Z1247" s="221" t="str">
        <f t="shared" si="108"/>
        <v/>
      </c>
    </row>
    <row r="1248" spans="25:26" ht="16.350000000000001" customHeight="1" x14ac:dyDescent="0.25">
      <c r="Y1248" s="221" t="str">
        <f t="shared" si="109"/>
        <v/>
      </c>
      <c r="Z1248" s="221" t="str">
        <f t="shared" si="108"/>
        <v/>
      </c>
    </row>
    <row r="1249" spans="25:26" ht="16.350000000000001" customHeight="1" x14ac:dyDescent="0.25">
      <c r="Y1249" s="221" t="str">
        <f t="shared" si="109"/>
        <v/>
      </c>
      <c r="Z1249" s="221" t="str">
        <f t="shared" si="108"/>
        <v/>
      </c>
    </row>
    <row r="1250" spans="25:26" ht="16.350000000000001" customHeight="1" x14ac:dyDescent="0.25">
      <c r="Y1250" s="221" t="str">
        <f t="shared" si="109"/>
        <v/>
      </c>
      <c r="Z1250" s="221" t="str">
        <f t="shared" si="108"/>
        <v/>
      </c>
    </row>
    <row r="1251" spans="25:26" ht="16.350000000000001" customHeight="1" x14ac:dyDescent="0.25">
      <c r="Y1251" s="221" t="str">
        <f t="shared" si="109"/>
        <v/>
      </c>
      <c r="Z1251" s="221" t="str">
        <f t="shared" si="108"/>
        <v/>
      </c>
    </row>
    <row r="1252" spans="25:26" ht="16.350000000000001" customHeight="1" x14ac:dyDescent="0.25">
      <c r="Y1252" s="221" t="str">
        <f t="shared" si="109"/>
        <v/>
      </c>
      <c r="Z1252" s="221" t="str">
        <f t="shared" si="108"/>
        <v/>
      </c>
    </row>
    <row r="1253" spans="25:26" ht="16.350000000000001" customHeight="1" x14ac:dyDescent="0.25">
      <c r="Y1253" s="221" t="str">
        <f t="shared" si="109"/>
        <v/>
      </c>
      <c r="Z1253" s="221" t="str">
        <f t="shared" si="108"/>
        <v/>
      </c>
    </row>
    <row r="1254" spans="25:26" ht="16.350000000000001" customHeight="1" x14ac:dyDescent="0.25">
      <c r="Y1254" s="221" t="str">
        <f t="shared" si="109"/>
        <v/>
      </c>
      <c r="Z1254" s="221" t="str">
        <f t="shared" si="108"/>
        <v/>
      </c>
    </row>
    <row r="1255" spans="25:26" ht="16.350000000000001" customHeight="1" x14ac:dyDescent="0.25">
      <c r="Y1255" s="221" t="str">
        <f t="shared" si="109"/>
        <v/>
      </c>
      <c r="Z1255" s="221" t="str">
        <f t="shared" si="108"/>
        <v/>
      </c>
    </row>
    <row r="1256" spans="25:26" ht="16.350000000000001" customHeight="1" x14ac:dyDescent="0.25">
      <c r="Y1256" s="221" t="str">
        <f t="shared" si="109"/>
        <v/>
      </c>
      <c r="Z1256" s="221" t="str">
        <f t="shared" si="108"/>
        <v/>
      </c>
    </row>
    <row r="1257" spans="25:26" ht="16.350000000000001" customHeight="1" x14ac:dyDescent="0.25">
      <c r="Y1257" s="221" t="str">
        <f t="shared" si="109"/>
        <v/>
      </c>
      <c r="Z1257" s="221" t="str">
        <f t="shared" si="108"/>
        <v/>
      </c>
    </row>
    <row r="1258" spans="25:26" ht="16.350000000000001" customHeight="1" x14ac:dyDescent="0.25">
      <c r="Y1258" s="221" t="str">
        <f t="shared" si="109"/>
        <v/>
      </c>
      <c r="Z1258" s="221" t="str">
        <f t="shared" si="108"/>
        <v/>
      </c>
    </row>
    <row r="1259" spans="25:26" ht="16.350000000000001" customHeight="1" x14ac:dyDescent="0.25">
      <c r="Y1259" s="221" t="str">
        <f t="shared" si="109"/>
        <v/>
      </c>
      <c r="Z1259" s="221" t="str">
        <f t="shared" si="108"/>
        <v/>
      </c>
    </row>
    <row r="1260" spans="25:26" ht="16.350000000000001" customHeight="1" x14ac:dyDescent="0.25">
      <c r="Y1260" s="221" t="str">
        <f t="shared" si="109"/>
        <v/>
      </c>
      <c r="Z1260" s="221" t="str">
        <f t="shared" si="108"/>
        <v/>
      </c>
    </row>
    <row r="1261" spans="25:26" ht="16.350000000000001" customHeight="1" x14ac:dyDescent="0.25">
      <c r="Y1261" s="221" t="str">
        <f t="shared" si="109"/>
        <v/>
      </c>
      <c r="Z1261" s="221" t="str">
        <f t="shared" si="108"/>
        <v/>
      </c>
    </row>
    <row r="1262" spans="25:26" ht="16.350000000000001" customHeight="1" x14ac:dyDescent="0.25">
      <c r="Y1262" s="221" t="str">
        <f t="shared" si="109"/>
        <v/>
      </c>
      <c r="Z1262" s="221" t="str">
        <f t="shared" si="108"/>
        <v/>
      </c>
    </row>
    <row r="1263" spans="25:26" ht="16.350000000000001" customHeight="1" x14ac:dyDescent="0.25">
      <c r="Y1263" s="221" t="str">
        <f t="shared" si="109"/>
        <v/>
      </c>
      <c r="Z1263" s="221" t="str">
        <f t="shared" si="108"/>
        <v/>
      </c>
    </row>
    <row r="1264" spans="25:26" ht="16.350000000000001" customHeight="1" x14ac:dyDescent="0.25">
      <c r="Y1264" s="221" t="str">
        <f t="shared" si="109"/>
        <v/>
      </c>
      <c r="Z1264" s="221" t="str">
        <f t="shared" si="108"/>
        <v/>
      </c>
    </row>
    <row r="1265" spans="25:26" ht="16.350000000000001" customHeight="1" x14ac:dyDescent="0.25">
      <c r="Y1265" s="221" t="str">
        <f t="shared" si="109"/>
        <v/>
      </c>
      <c r="Z1265" s="221" t="str">
        <f t="shared" si="108"/>
        <v/>
      </c>
    </row>
    <row r="1266" spans="25:26" ht="16.350000000000001" customHeight="1" x14ac:dyDescent="0.25">
      <c r="Y1266" s="221" t="str">
        <f t="shared" si="109"/>
        <v/>
      </c>
      <c r="Z1266" s="221" t="str">
        <f t="shared" si="108"/>
        <v/>
      </c>
    </row>
    <row r="1267" spans="25:26" ht="16.350000000000001" customHeight="1" x14ac:dyDescent="0.25">
      <c r="Y1267" s="221" t="str">
        <f t="shared" si="109"/>
        <v/>
      </c>
      <c r="Z1267" s="221" t="str">
        <f t="shared" si="108"/>
        <v/>
      </c>
    </row>
    <row r="1268" spans="25:26" ht="16.350000000000001" customHeight="1" x14ac:dyDescent="0.25">
      <c r="Y1268" s="221" t="str">
        <f t="shared" si="109"/>
        <v/>
      </c>
      <c r="Z1268" s="221" t="str">
        <f t="shared" si="108"/>
        <v/>
      </c>
    </row>
    <row r="1269" spans="25:26" ht="16.350000000000001" customHeight="1" x14ac:dyDescent="0.25">
      <c r="Y1269" s="221" t="str">
        <f t="shared" si="109"/>
        <v/>
      </c>
      <c r="Z1269" s="221" t="str">
        <f t="shared" si="108"/>
        <v/>
      </c>
    </row>
    <row r="1270" spans="25:26" ht="16.350000000000001" customHeight="1" x14ac:dyDescent="0.25">
      <c r="Y1270" s="221" t="str">
        <f t="shared" si="109"/>
        <v/>
      </c>
      <c r="Z1270" s="221" t="str">
        <f t="shared" si="108"/>
        <v/>
      </c>
    </row>
    <row r="1271" spans="25:26" ht="16.350000000000001" customHeight="1" x14ac:dyDescent="0.25">
      <c r="Y1271" s="221" t="str">
        <f t="shared" si="109"/>
        <v/>
      </c>
      <c r="Z1271" s="221" t="str">
        <f t="shared" si="108"/>
        <v/>
      </c>
    </row>
    <row r="1272" spans="25:26" ht="16.350000000000001" customHeight="1" x14ac:dyDescent="0.25">
      <c r="Y1272" s="221" t="str">
        <f t="shared" si="109"/>
        <v/>
      </c>
      <c r="Z1272" s="221" t="str">
        <f t="shared" si="108"/>
        <v/>
      </c>
    </row>
    <row r="1273" spans="25:26" ht="16.350000000000001" customHeight="1" x14ac:dyDescent="0.25">
      <c r="Y1273" s="221" t="str">
        <f t="shared" si="109"/>
        <v/>
      </c>
      <c r="Z1273" s="221" t="str">
        <f t="shared" si="108"/>
        <v/>
      </c>
    </row>
    <row r="1274" spans="25:26" ht="16.350000000000001" customHeight="1" x14ac:dyDescent="0.25">
      <c r="Y1274" s="221" t="str">
        <f t="shared" si="109"/>
        <v/>
      </c>
      <c r="Z1274" s="221" t="str">
        <f t="shared" si="108"/>
        <v/>
      </c>
    </row>
    <row r="1275" spans="25:26" ht="16.350000000000001" customHeight="1" x14ac:dyDescent="0.25">
      <c r="Y1275" s="221" t="str">
        <f t="shared" si="109"/>
        <v/>
      </c>
      <c r="Z1275" s="221" t="str">
        <f t="shared" si="108"/>
        <v/>
      </c>
    </row>
    <row r="1276" spans="25:26" ht="16.350000000000001" customHeight="1" x14ac:dyDescent="0.25">
      <c r="Y1276" s="221" t="str">
        <f t="shared" si="109"/>
        <v/>
      </c>
      <c r="Z1276" s="221" t="str">
        <f t="shared" si="108"/>
        <v/>
      </c>
    </row>
    <row r="1277" spans="25:26" ht="16.350000000000001" customHeight="1" x14ac:dyDescent="0.25">
      <c r="Y1277" s="221" t="str">
        <f t="shared" si="109"/>
        <v/>
      </c>
      <c r="Z1277" s="221" t="str">
        <f t="shared" si="108"/>
        <v/>
      </c>
    </row>
    <row r="1278" spans="25:26" ht="16.350000000000001" customHeight="1" x14ac:dyDescent="0.25">
      <c r="Y1278" s="221" t="str">
        <f t="shared" si="109"/>
        <v/>
      </c>
      <c r="Z1278" s="221" t="str">
        <f t="shared" si="108"/>
        <v/>
      </c>
    </row>
    <row r="1279" spans="25:26" ht="16.350000000000001" customHeight="1" x14ac:dyDescent="0.25">
      <c r="Y1279" s="221" t="str">
        <f t="shared" si="109"/>
        <v/>
      </c>
      <c r="Z1279" s="221" t="str">
        <f t="shared" si="108"/>
        <v/>
      </c>
    </row>
    <row r="1280" spans="25:26" ht="16.350000000000001" customHeight="1" x14ac:dyDescent="0.25">
      <c r="Y1280" s="221" t="str">
        <f t="shared" si="109"/>
        <v/>
      </c>
      <c r="Z1280" s="221" t="str">
        <f t="shared" si="108"/>
        <v/>
      </c>
    </row>
    <row r="1281" spans="25:26" ht="16.350000000000001" customHeight="1" x14ac:dyDescent="0.25">
      <c r="Y1281" s="221" t="str">
        <f t="shared" si="109"/>
        <v/>
      </c>
      <c r="Z1281" s="221" t="str">
        <f t="shared" si="108"/>
        <v/>
      </c>
    </row>
    <row r="1282" spans="25:26" ht="16.350000000000001" customHeight="1" x14ac:dyDescent="0.25">
      <c r="Y1282" s="221" t="str">
        <f t="shared" si="109"/>
        <v/>
      </c>
      <c r="Z1282" s="221" t="str">
        <f t="shared" si="108"/>
        <v/>
      </c>
    </row>
    <row r="1283" spans="25:26" ht="16.350000000000001" customHeight="1" x14ac:dyDescent="0.25">
      <c r="Y1283" s="221" t="str">
        <f t="shared" si="109"/>
        <v/>
      </c>
      <c r="Z1283" s="221" t="str">
        <f t="shared" si="108"/>
        <v/>
      </c>
    </row>
    <row r="1284" spans="25:26" ht="16.350000000000001" customHeight="1" x14ac:dyDescent="0.25">
      <c r="Y1284" s="221" t="str">
        <f t="shared" si="109"/>
        <v/>
      </c>
      <c r="Z1284" s="221" t="str">
        <f t="shared" si="108"/>
        <v/>
      </c>
    </row>
    <row r="1285" spans="25:26" ht="16.350000000000001" customHeight="1" x14ac:dyDescent="0.25">
      <c r="Y1285" s="221" t="str">
        <f t="shared" si="109"/>
        <v/>
      </c>
      <c r="Z1285" s="221" t="str">
        <f t="shared" si="108"/>
        <v/>
      </c>
    </row>
    <row r="1286" spans="25:26" ht="16.350000000000001" customHeight="1" x14ac:dyDescent="0.25">
      <c r="Y1286" s="221" t="str">
        <f t="shared" si="109"/>
        <v/>
      </c>
      <c r="Z1286" s="221" t="str">
        <f t="shared" si="108"/>
        <v/>
      </c>
    </row>
    <row r="1287" spans="25:26" ht="16.350000000000001" customHeight="1" x14ac:dyDescent="0.25">
      <c r="Y1287" s="221" t="str">
        <f t="shared" si="109"/>
        <v/>
      </c>
      <c r="Z1287" s="221" t="str">
        <f t="shared" ref="Z1287:Z1350" si="110">IF(AA1287&lt;&gt;"",$AA$1,"")</f>
        <v/>
      </c>
    </row>
    <row r="1288" spans="25:26" ht="16.350000000000001" customHeight="1" x14ac:dyDescent="0.25">
      <c r="Y1288" s="221" t="str">
        <f t="shared" si="109"/>
        <v/>
      </c>
      <c r="Z1288" s="221" t="str">
        <f t="shared" si="110"/>
        <v/>
      </c>
    </row>
    <row r="1289" spans="25:26" ht="16.350000000000001" customHeight="1" x14ac:dyDescent="0.25">
      <c r="Y1289" s="221" t="str">
        <f t="shared" si="109"/>
        <v/>
      </c>
      <c r="Z1289" s="221" t="str">
        <f t="shared" si="110"/>
        <v/>
      </c>
    </row>
    <row r="1290" spans="25:26" ht="16.350000000000001" customHeight="1" x14ac:dyDescent="0.25">
      <c r="Y1290" s="221" t="str">
        <f t="shared" si="109"/>
        <v/>
      </c>
      <c r="Z1290" s="221" t="str">
        <f t="shared" si="110"/>
        <v/>
      </c>
    </row>
    <row r="1291" spans="25:26" ht="16.350000000000001" customHeight="1" x14ac:dyDescent="0.25">
      <c r="Y1291" s="221" t="str">
        <f t="shared" si="109"/>
        <v/>
      </c>
      <c r="Z1291" s="221" t="str">
        <f t="shared" si="110"/>
        <v/>
      </c>
    </row>
    <row r="1292" spans="25:26" ht="16.350000000000001" customHeight="1" x14ac:dyDescent="0.25">
      <c r="Y1292" s="221" t="str">
        <f t="shared" si="109"/>
        <v/>
      </c>
      <c r="Z1292" s="221" t="str">
        <f t="shared" si="110"/>
        <v/>
      </c>
    </row>
    <row r="1293" spans="25:26" ht="16.350000000000001" customHeight="1" x14ac:dyDescent="0.25">
      <c r="Y1293" s="221" t="str">
        <f t="shared" si="109"/>
        <v/>
      </c>
      <c r="Z1293" s="221" t="str">
        <f t="shared" si="110"/>
        <v/>
      </c>
    </row>
    <row r="1294" spans="25:26" ht="16.350000000000001" customHeight="1" x14ac:dyDescent="0.25">
      <c r="Y1294" s="221" t="str">
        <f t="shared" si="109"/>
        <v/>
      </c>
      <c r="Z1294" s="221" t="str">
        <f t="shared" si="110"/>
        <v/>
      </c>
    </row>
    <row r="1295" spans="25:26" ht="16.350000000000001" customHeight="1" x14ac:dyDescent="0.25">
      <c r="Y1295" s="221" t="str">
        <f t="shared" si="109"/>
        <v/>
      </c>
      <c r="Z1295" s="221" t="str">
        <f t="shared" si="110"/>
        <v/>
      </c>
    </row>
    <row r="1296" spans="25:26" ht="16.350000000000001" customHeight="1" x14ac:dyDescent="0.25">
      <c r="Y1296" s="221" t="str">
        <f t="shared" si="109"/>
        <v/>
      </c>
      <c r="Z1296" s="221" t="str">
        <f t="shared" si="110"/>
        <v/>
      </c>
    </row>
    <row r="1297" spans="25:26" ht="16.350000000000001" customHeight="1" x14ac:dyDescent="0.25">
      <c r="Y1297" s="221" t="str">
        <f t="shared" ref="Y1297:Y1360" si="111">IF(AA1297&lt;&gt;"","NEW","")</f>
        <v/>
      </c>
      <c r="Z1297" s="221" t="str">
        <f t="shared" si="110"/>
        <v/>
      </c>
    </row>
    <row r="1298" spans="25:26" ht="16.350000000000001" customHeight="1" x14ac:dyDescent="0.25">
      <c r="Y1298" s="221" t="str">
        <f t="shared" si="111"/>
        <v/>
      </c>
      <c r="Z1298" s="221" t="str">
        <f t="shared" si="110"/>
        <v/>
      </c>
    </row>
    <row r="1299" spans="25:26" ht="16.350000000000001" customHeight="1" x14ac:dyDescent="0.25">
      <c r="Y1299" s="221" t="str">
        <f t="shared" si="111"/>
        <v/>
      </c>
      <c r="Z1299" s="221" t="str">
        <f t="shared" si="110"/>
        <v/>
      </c>
    </row>
    <row r="1300" spans="25:26" ht="16.350000000000001" customHeight="1" x14ac:dyDescent="0.25">
      <c r="Y1300" s="221" t="str">
        <f t="shared" si="111"/>
        <v/>
      </c>
      <c r="Z1300" s="221" t="str">
        <f t="shared" si="110"/>
        <v/>
      </c>
    </row>
    <row r="1301" spans="25:26" ht="16.350000000000001" customHeight="1" x14ac:dyDescent="0.25">
      <c r="Y1301" s="221" t="str">
        <f t="shared" si="111"/>
        <v/>
      </c>
      <c r="Z1301" s="221" t="str">
        <f t="shared" si="110"/>
        <v/>
      </c>
    </row>
    <row r="1302" spans="25:26" ht="16.350000000000001" customHeight="1" x14ac:dyDescent="0.25">
      <c r="Y1302" s="221" t="str">
        <f t="shared" si="111"/>
        <v/>
      </c>
      <c r="Z1302" s="221" t="str">
        <f t="shared" si="110"/>
        <v/>
      </c>
    </row>
    <row r="1303" spans="25:26" ht="16.350000000000001" customHeight="1" x14ac:dyDescent="0.25">
      <c r="Y1303" s="221" t="str">
        <f t="shared" si="111"/>
        <v/>
      </c>
      <c r="Z1303" s="221" t="str">
        <f t="shared" si="110"/>
        <v/>
      </c>
    </row>
    <row r="1304" spans="25:26" ht="16.350000000000001" customHeight="1" x14ac:dyDescent="0.25">
      <c r="Y1304" s="221" t="str">
        <f t="shared" si="111"/>
        <v/>
      </c>
      <c r="Z1304" s="221" t="str">
        <f t="shared" si="110"/>
        <v/>
      </c>
    </row>
    <row r="1305" spans="25:26" ht="16.350000000000001" customHeight="1" x14ac:dyDescent="0.25">
      <c r="Y1305" s="221" t="str">
        <f t="shared" si="111"/>
        <v/>
      </c>
      <c r="Z1305" s="221" t="str">
        <f t="shared" si="110"/>
        <v/>
      </c>
    </row>
    <row r="1306" spans="25:26" ht="16.350000000000001" customHeight="1" x14ac:dyDescent="0.25">
      <c r="Y1306" s="221" t="str">
        <f t="shared" si="111"/>
        <v/>
      </c>
      <c r="Z1306" s="221" t="str">
        <f t="shared" si="110"/>
        <v/>
      </c>
    </row>
    <row r="1307" spans="25:26" ht="16.350000000000001" customHeight="1" x14ac:dyDescent="0.25">
      <c r="Y1307" s="221" t="str">
        <f t="shared" si="111"/>
        <v/>
      </c>
      <c r="Z1307" s="221" t="str">
        <f t="shared" si="110"/>
        <v/>
      </c>
    </row>
    <row r="1308" spans="25:26" ht="16.350000000000001" customHeight="1" x14ac:dyDescent="0.25">
      <c r="Y1308" s="221" t="str">
        <f t="shared" si="111"/>
        <v/>
      </c>
      <c r="Z1308" s="221" t="str">
        <f t="shared" si="110"/>
        <v/>
      </c>
    </row>
    <row r="1309" spans="25:26" ht="16.350000000000001" customHeight="1" x14ac:dyDescent="0.25">
      <c r="Y1309" s="221" t="str">
        <f t="shared" si="111"/>
        <v/>
      </c>
      <c r="Z1309" s="221" t="str">
        <f t="shared" si="110"/>
        <v/>
      </c>
    </row>
    <row r="1310" spans="25:26" ht="16.350000000000001" customHeight="1" x14ac:dyDescent="0.25">
      <c r="Y1310" s="221" t="str">
        <f t="shared" si="111"/>
        <v/>
      </c>
      <c r="Z1310" s="221" t="str">
        <f t="shared" si="110"/>
        <v/>
      </c>
    </row>
    <row r="1311" spans="25:26" ht="16.350000000000001" customHeight="1" x14ac:dyDescent="0.25">
      <c r="Y1311" s="221" t="str">
        <f t="shared" si="111"/>
        <v/>
      </c>
      <c r="Z1311" s="221" t="str">
        <f t="shared" si="110"/>
        <v/>
      </c>
    </row>
    <row r="1312" spans="25:26" ht="16.350000000000001" customHeight="1" x14ac:dyDescent="0.25">
      <c r="Y1312" s="221" t="str">
        <f t="shared" si="111"/>
        <v/>
      </c>
      <c r="Z1312" s="221" t="str">
        <f t="shared" si="110"/>
        <v/>
      </c>
    </row>
    <row r="1313" spans="25:26" ht="16.350000000000001" customHeight="1" x14ac:dyDescent="0.25">
      <c r="Y1313" s="221" t="str">
        <f t="shared" si="111"/>
        <v/>
      </c>
      <c r="Z1313" s="221" t="str">
        <f t="shared" si="110"/>
        <v/>
      </c>
    </row>
    <row r="1314" spans="25:26" ht="16.350000000000001" customHeight="1" x14ac:dyDescent="0.25">
      <c r="Y1314" s="221" t="str">
        <f t="shared" si="111"/>
        <v/>
      </c>
      <c r="Z1314" s="221" t="str">
        <f t="shared" si="110"/>
        <v/>
      </c>
    </row>
    <row r="1315" spans="25:26" ht="16.350000000000001" customHeight="1" x14ac:dyDescent="0.25">
      <c r="Y1315" s="221" t="str">
        <f t="shared" si="111"/>
        <v/>
      </c>
      <c r="Z1315" s="221" t="str">
        <f t="shared" si="110"/>
        <v/>
      </c>
    </row>
    <row r="1316" spans="25:26" ht="16.350000000000001" customHeight="1" x14ac:dyDescent="0.25">
      <c r="Y1316" s="221" t="str">
        <f t="shared" si="111"/>
        <v/>
      </c>
      <c r="Z1316" s="221" t="str">
        <f t="shared" si="110"/>
        <v/>
      </c>
    </row>
    <row r="1317" spans="25:26" ht="16.350000000000001" customHeight="1" x14ac:dyDescent="0.25">
      <c r="Y1317" s="221" t="str">
        <f t="shared" si="111"/>
        <v/>
      </c>
      <c r="Z1317" s="221" t="str">
        <f t="shared" si="110"/>
        <v/>
      </c>
    </row>
    <row r="1318" spans="25:26" ht="16.350000000000001" customHeight="1" x14ac:dyDescent="0.25">
      <c r="Y1318" s="221" t="str">
        <f t="shared" si="111"/>
        <v/>
      </c>
      <c r="Z1318" s="221" t="str">
        <f t="shared" si="110"/>
        <v/>
      </c>
    </row>
    <row r="1319" spans="25:26" ht="16.350000000000001" customHeight="1" x14ac:dyDescent="0.25">
      <c r="Y1319" s="221" t="str">
        <f t="shared" si="111"/>
        <v/>
      </c>
      <c r="Z1319" s="221" t="str">
        <f t="shared" si="110"/>
        <v/>
      </c>
    </row>
    <row r="1320" spans="25:26" ht="16.350000000000001" customHeight="1" x14ac:dyDescent="0.25">
      <c r="Y1320" s="221" t="str">
        <f t="shared" si="111"/>
        <v/>
      </c>
      <c r="Z1320" s="221" t="str">
        <f t="shared" si="110"/>
        <v/>
      </c>
    </row>
    <row r="1321" spans="25:26" ht="16.350000000000001" customHeight="1" x14ac:dyDescent="0.25">
      <c r="Y1321" s="221" t="str">
        <f t="shared" si="111"/>
        <v/>
      </c>
      <c r="Z1321" s="221" t="str">
        <f t="shared" si="110"/>
        <v/>
      </c>
    </row>
    <row r="1322" spans="25:26" ht="16.350000000000001" customHeight="1" x14ac:dyDescent="0.25">
      <c r="Y1322" s="221" t="str">
        <f t="shared" si="111"/>
        <v/>
      </c>
      <c r="Z1322" s="221" t="str">
        <f t="shared" si="110"/>
        <v/>
      </c>
    </row>
    <row r="1323" spans="25:26" ht="16.350000000000001" customHeight="1" x14ac:dyDescent="0.25">
      <c r="Y1323" s="221" t="str">
        <f t="shared" si="111"/>
        <v/>
      </c>
      <c r="Z1323" s="221" t="str">
        <f t="shared" si="110"/>
        <v/>
      </c>
    </row>
    <row r="1324" spans="25:26" ht="16.350000000000001" customHeight="1" x14ac:dyDescent="0.25">
      <c r="Y1324" s="221" t="str">
        <f t="shared" si="111"/>
        <v/>
      </c>
      <c r="Z1324" s="221" t="str">
        <f t="shared" si="110"/>
        <v/>
      </c>
    </row>
    <row r="1325" spans="25:26" ht="16.350000000000001" customHeight="1" x14ac:dyDescent="0.25">
      <c r="Y1325" s="221" t="str">
        <f t="shared" si="111"/>
        <v/>
      </c>
      <c r="Z1325" s="221" t="str">
        <f t="shared" si="110"/>
        <v/>
      </c>
    </row>
    <row r="1326" spans="25:26" ht="16.350000000000001" customHeight="1" x14ac:dyDescent="0.25">
      <c r="Y1326" s="221" t="str">
        <f t="shared" si="111"/>
        <v/>
      </c>
      <c r="Z1326" s="221" t="str">
        <f t="shared" si="110"/>
        <v/>
      </c>
    </row>
    <row r="1327" spans="25:26" ht="16.350000000000001" customHeight="1" x14ac:dyDescent="0.25">
      <c r="Y1327" s="221" t="str">
        <f t="shared" si="111"/>
        <v/>
      </c>
      <c r="Z1327" s="221" t="str">
        <f t="shared" si="110"/>
        <v/>
      </c>
    </row>
    <row r="1328" spans="25:26" ht="16.350000000000001" customHeight="1" x14ac:dyDescent="0.25">
      <c r="Y1328" s="221" t="str">
        <f t="shared" si="111"/>
        <v/>
      </c>
      <c r="Z1328" s="221" t="str">
        <f t="shared" si="110"/>
        <v/>
      </c>
    </row>
    <row r="1329" spans="25:26" ht="16.350000000000001" customHeight="1" x14ac:dyDescent="0.25">
      <c r="Y1329" s="221" t="str">
        <f t="shared" si="111"/>
        <v/>
      </c>
      <c r="Z1329" s="221" t="str">
        <f t="shared" si="110"/>
        <v/>
      </c>
    </row>
    <row r="1330" spans="25:26" ht="16.350000000000001" customHeight="1" x14ac:dyDescent="0.25">
      <c r="Y1330" s="221" t="str">
        <f t="shared" si="111"/>
        <v/>
      </c>
      <c r="Z1330" s="221" t="str">
        <f t="shared" si="110"/>
        <v/>
      </c>
    </row>
    <row r="1331" spans="25:26" ht="16.350000000000001" customHeight="1" x14ac:dyDescent="0.25">
      <c r="Y1331" s="221" t="str">
        <f t="shared" si="111"/>
        <v/>
      </c>
      <c r="Z1331" s="221" t="str">
        <f t="shared" si="110"/>
        <v/>
      </c>
    </row>
    <row r="1332" spans="25:26" ht="16.350000000000001" customHeight="1" x14ac:dyDescent="0.25">
      <c r="Y1332" s="221" t="str">
        <f t="shared" si="111"/>
        <v/>
      </c>
      <c r="Z1332" s="221" t="str">
        <f t="shared" si="110"/>
        <v/>
      </c>
    </row>
    <row r="1333" spans="25:26" ht="16.350000000000001" customHeight="1" x14ac:dyDescent="0.25">
      <c r="Y1333" s="221" t="str">
        <f t="shared" si="111"/>
        <v/>
      </c>
      <c r="Z1333" s="221" t="str">
        <f t="shared" si="110"/>
        <v/>
      </c>
    </row>
    <row r="1334" spans="25:26" ht="16.350000000000001" customHeight="1" x14ac:dyDescent="0.25">
      <c r="Y1334" s="221" t="str">
        <f t="shared" si="111"/>
        <v/>
      </c>
      <c r="Z1334" s="221" t="str">
        <f t="shared" si="110"/>
        <v/>
      </c>
    </row>
    <row r="1335" spans="25:26" ht="16.350000000000001" customHeight="1" x14ac:dyDescent="0.25">
      <c r="Y1335" s="221" t="str">
        <f t="shared" si="111"/>
        <v/>
      </c>
      <c r="Z1335" s="221" t="str">
        <f t="shared" si="110"/>
        <v/>
      </c>
    </row>
    <row r="1336" spans="25:26" ht="16.350000000000001" customHeight="1" x14ac:dyDescent="0.25">
      <c r="Y1336" s="221" t="str">
        <f t="shared" si="111"/>
        <v/>
      </c>
      <c r="Z1336" s="221" t="str">
        <f t="shared" si="110"/>
        <v/>
      </c>
    </row>
    <row r="1337" spans="25:26" ht="16.350000000000001" customHeight="1" x14ac:dyDescent="0.25">
      <c r="Y1337" s="221" t="str">
        <f t="shared" si="111"/>
        <v/>
      </c>
      <c r="Z1337" s="221" t="str">
        <f t="shared" si="110"/>
        <v/>
      </c>
    </row>
    <row r="1338" spans="25:26" ht="16.350000000000001" customHeight="1" x14ac:dyDescent="0.25">
      <c r="Y1338" s="221" t="str">
        <f t="shared" si="111"/>
        <v/>
      </c>
      <c r="Z1338" s="221" t="str">
        <f t="shared" si="110"/>
        <v/>
      </c>
    </row>
    <row r="1339" spans="25:26" ht="16.350000000000001" customHeight="1" x14ac:dyDescent="0.25">
      <c r="Y1339" s="221" t="str">
        <f t="shared" si="111"/>
        <v/>
      </c>
      <c r="Z1339" s="221" t="str">
        <f t="shared" si="110"/>
        <v/>
      </c>
    </row>
    <row r="1340" spans="25:26" ht="16.350000000000001" customHeight="1" x14ac:dyDescent="0.25">
      <c r="Y1340" s="221" t="str">
        <f t="shared" si="111"/>
        <v/>
      </c>
      <c r="Z1340" s="221" t="str">
        <f t="shared" si="110"/>
        <v/>
      </c>
    </row>
    <row r="1341" spans="25:26" ht="16.350000000000001" customHeight="1" x14ac:dyDescent="0.25">
      <c r="Y1341" s="221" t="str">
        <f t="shared" si="111"/>
        <v/>
      </c>
      <c r="Z1341" s="221" t="str">
        <f t="shared" si="110"/>
        <v/>
      </c>
    </row>
    <row r="1342" spans="25:26" ht="16.350000000000001" customHeight="1" x14ac:dyDescent="0.25">
      <c r="Y1342" s="221" t="str">
        <f t="shared" si="111"/>
        <v/>
      </c>
      <c r="Z1342" s="221" t="str">
        <f t="shared" si="110"/>
        <v/>
      </c>
    </row>
    <row r="1343" spans="25:26" ht="16.350000000000001" customHeight="1" x14ac:dyDescent="0.25">
      <c r="Y1343" s="221" t="str">
        <f t="shared" si="111"/>
        <v/>
      </c>
      <c r="Z1343" s="221" t="str">
        <f t="shared" si="110"/>
        <v/>
      </c>
    </row>
    <row r="1344" spans="25:26" ht="16.350000000000001" customHeight="1" x14ac:dyDescent="0.25">
      <c r="Y1344" s="221" t="str">
        <f t="shared" si="111"/>
        <v/>
      </c>
      <c r="Z1344" s="221" t="str">
        <f t="shared" si="110"/>
        <v/>
      </c>
    </row>
    <row r="1345" spans="25:26" ht="16.350000000000001" customHeight="1" x14ac:dyDescent="0.25">
      <c r="Y1345" s="221" t="str">
        <f t="shared" si="111"/>
        <v/>
      </c>
      <c r="Z1345" s="221" t="str">
        <f t="shared" si="110"/>
        <v/>
      </c>
    </row>
    <row r="1346" spans="25:26" ht="16.350000000000001" customHeight="1" x14ac:dyDescent="0.25">
      <c r="Y1346" s="221" t="str">
        <f t="shared" si="111"/>
        <v/>
      </c>
      <c r="Z1346" s="221" t="str">
        <f t="shared" si="110"/>
        <v/>
      </c>
    </row>
    <row r="1347" spans="25:26" ht="16.350000000000001" customHeight="1" x14ac:dyDescent="0.25">
      <c r="Y1347" s="221" t="str">
        <f t="shared" si="111"/>
        <v/>
      </c>
      <c r="Z1347" s="221" t="str">
        <f t="shared" si="110"/>
        <v/>
      </c>
    </row>
    <row r="1348" spans="25:26" ht="16.350000000000001" customHeight="1" x14ac:dyDescent="0.25">
      <c r="Y1348" s="221" t="str">
        <f t="shared" si="111"/>
        <v/>
      </c>
      <c r="Z1348" s="221" t="str">
        <f t="shared" si="110"/>
        <v/>
      </c>
    </row>
    <row r="1349" spans="25:26" ht="16.350000000000001" customHeight="1" x14ac:dyDescent="0.25">
      <c r="Y1349" s="221" t="str">
        <f t="shared" si="111"/>
        <v/>
      </c>
      <c r="Z1349" s="221" t="str">
        <f t="shared" si="110"/>
        <v/>
      </c>
    </row>
    <row r="1350" spans="25:26" ht="16.350000000000001" customHeight="1" x14ac:dyDescent="0.25">
      <c r="Y1350" s="221" t="str">
        <f t="shared" si="111"/>
        <v/>
      </c>
      <c r="Z1350" s="221" t="str">
        <f t="shared" si="110"/>
        <v/>
      </c>
    </row>
    <row r="1351" spans="25:26" ht="16.350000000000001" customHeight="1" x14ac:dyDescent="0.25">
      <c r="Y1351" s="221" t="str">
        <f t="shared" si="111"/>
        <v/>
      </c>
      <c r="Z1351" s="221" t="str">
        <f t="shared" ref="Z1351:Z1414" si="112">IF(AA1351&lt;&gt;"",$AA$1,"")</f>
        <v/>
      </c>
    </row>
    <row r="1352" spans="25:26" ht="16.350000000000001" customHeight="1" x14ac:dyDescent="0.25">
      <c r="Y1352" s="221" t="str">
        <f t="shared" si="111"/>
        <v/>
      </c>
      <c r="Z1352" s="221" t="str">
        <f t="shared" si="112"/>
        <v/>
      </c>
    </row>
    <row r="1353" spans="25:26" ht="16.350000000000001" customHeight="1" x14ac:dyDescent="0.25">
      <c r="Y1353" s="221" t="str">
        <f t="shared" si="111"/>
        <v/>
      </c>
      <c r="Z1353" s="221" t="str">
        <f t="shared" si="112"/>
        <v/>
      </c>
    </row>
    <row r="1354" spans="25:26" ht="16.350000000000001" customHeight="1" x14ac:dyDescent="0.25">
      <c r="Y1354" s="221" t="str">
        <f t="shared" si="111"/>
        <v/>
      </c>
      <c r="Z1354" s="221" t="str">
        <f t="shared" si="112"/>
        <v/>
      </c>
    </row>
    <row r="1355" spans="25:26" ht="16.350000000000001" customHeight="1" x14ac:dyDescent="0.25">
      <c r="Y1355" s="221" t="str">
        <f t="shared" si="111"/>
        <v/>
      </c>
      <c r="Z1355" s="221" t="str">
        <f t="shared" si="112"/>
        <v/>
      </c>
    </row>
    <row r="1356" spans="25:26" ht="16.350000000000001" customHeight="1" x14ac:dyDescent="0.25">
      <c r="Y1356" s="221" t="str">
        <f t="shared" si="111"/>
        <v/>
      </c>
      <c r="Z1356" s="221" t="str">
        <f t="shared" si="112"/>
        <v/>
      </c>
    </row>
    <row r="1357" spans="25:26" ht="16.350000000000001" customHeight="1" x14ac:dyDescent="0.25">
      <c r="Y1357" s="221" t="str">
        <f t="shared" si="111"/>
        <v/>
      </c>
      <c r="Z1357" s="221" t="str">
        <f t="shared" si="112"/>
        <v/>
      </c>
    </row>
    <row r="1358" spans="25:26" ht="16.350000000000001" customHeight="1" x14ac:dyDescent="0.25">
      <c r="Y1358" s="221" t="str">
        <f t="shared" si="111"/>
        <v/>
      </c>
      <c r="Z1358" s="221" t="str">
        <f t="shared" si="112"/>
        <v/>
      </c>
    </row>
    <row r="1359" spans="25:26" ht="16.350000000000001" customHeight="1" x14ac:dyDescent="0.25">
      <c r="Y1359" s="221" t="str">
        <f t="shared" si="111"/>
        <v/>
      </c>
      <c r="Z1359" s="221" t="str">
        <f t="shared" si="112"/>
        <v/>
      </c>
    </row>
    <row r="1360" spans="25:26" ht="16.350000000000001" customHeight="1" x14ac:dyDescent="0.25">
      <c r="Y1360" s="221" t="str">
        <f t="shared" si="111"/>
        <v/>
      </c>
      <c r="Z1360" s="221" t="str">
        <f t="shared" si="112"/>
        <v/>
      </c>
    </row>
    <row r="1361" spans="25:26" ht="16.350000000000001" customHeight="1" x14ac:dyDescent="0.25">
      <c r="Y1361" s="221" t="str">
        <f t="shared" ref="Y1361:Y1424" si="113">IF(AA1361&lt;&gt;"","NEW","")</f>
        <v/>
      </c>
      <c r="Z1361" s="221" t="str">
        <f t="shared" si="112"/>
        <v/>
      </c>
    </row>
    <row r="1362" spans="25:26" ht="16.350000000000001" customHeight="1" x14ac:dyDescent="0.25">
      <c r="Y1362" s="221" t="str">
        <f t="shared" si="113"/>
        <v/>
      </c>
      <c r="Z1362" s="221" t="str">
        <f t="shared" si="112"/>
        <v/>
      </c>
    </row>
    <row r="1363" spans="25:26" ht="16.350000000000001" customHeight="1" x14ac:dyDescent="0.25">
      <c r="Y1363" s="221" t="str">
        <f t="shared" si="113"/>
        <v/>
      </c>
      <c r="Z1363" s="221" t="str">
        <f t="shared" si="112"/>
        <v/>
      </c>
    </row>
    <row r="1364" spans="25:26" ht="16.350000000000001" customHeight="1" x14ac:dyDescent="0.25">
      <c r="Y1364" s="221" t="str">
        <f t="shared" si="113"/>
        <v/>
      </c>
      <c r="Z1364" s="221" t="str">
        <f t="shared" si="112"/>
        <v/>
      </c>
    </row>
    <row r="1365" spans="25:26" ht="16.350000000000001" customHeight="1" x14ac:dyDescent="0.25">
      <c r="Y1365" s="221" t="str">
        <f t="shared" si="113"/>
        <v/>
      </c>
      <c r="Z1365" s="221" t="str">
        <f t="shared" si="112"/>
        <v/>
      </c>
    </row>
    <row r="1366" spans="25:26" ht="16.350000000000001" customHeight="1" x14ac:dyDescent="0.25">
      <c r="Y1366" s="221" t="str">
        <f t="shared" si="113"/>
        <v/>
      </c>
      <c r="Z1366" s="221" t="str">
        <f t="shared" si="112"/>
        <v/>
      </c>
    </row>
    <row r="1367" spans="25:26" ht="16.350000000000001" customHeight="1" x14ac:dyDescent="0.25">
      <c r="Y1367" s="221" t="str">
        <f t="shared" si="113"/>
        <v/>
      </c>
      <c r="Z1367" s="221" t="str">
        <f t="shared" si="112"/>
        <v/>
      </c>
    </row>
    <row r="1368" spans="25:26" ht="16.350000000000001" customHeight="1" x14ac:dyDescent="0.25">
      <c r="Y1368" s="221" t="str">
        <f t="shared" si="113"/>
        <v/>
      </c>
      <c r="Z1368" s="221" t="str">
        <f t="shared" si="112"/>
        <v/>
      </c>
    </row>
    <row r="1369" spans="25:26" ht="16.350000000000001" customHeight="1" x14ac:dyDescent="0.25">
      <c r="Y1369" s="221" t="str">
        <f t="shared" si="113"/>
        <v/>
      </c>
      <c r="Z1369" s="221" t="str">
        <f t="shared" si="112"/>
        <v/>
      </c>
    </row>
    <row r="1370" spans="25:26" ht="16.350000000000001" customHeight="1" x14ac:dyDescent="0.25">
      <c r="Y1370" s="221" t="str">
        <f t="shared" si="113"/>
        <v/>
      </c>
      <c r="Z1370" s="221" t="str">
        <f t="shared" si="112"/>
        <v/>
      </c>
    </row>
    <row r="1371" spans="25:26" ht="16.350000000000001" customHeight="1" x14ac:dyDescent="0.25">
      <c r="Y1371" s="221" t="str">
        <f t="shared" si="113"/>
        <v/>
      </c>
      <c r="Z1371" s="221" t="str">
        <f t="shared" si="112"/>
        <v/>
      </c>
    </row>
    <row r="1372" spans="25:26" ht="16.350000000000001" customHeight="1" x14ac:dyDescent="0.25">
      <c r="Y1372" s="221" t="str">
        <f t="shared" si="113"/>
        <v/>
      </c>
      <c r="Z1372" s="221" t="str">
        <f t="shared" si="112"/>
        <v/>
      </c>
    </row>
    <row r="1373" spans="25:26" ht="16.350000000000001" customHeight="1" x14ac:dyDescent="0.25">
      <c r="Y1373" s="221" t="str">
        <f t="shared" si="113"/>
        <v/>
      </c>
      <c r="Z1373" s="221" t="str">
        <f t="shared" si="112"/>
        <v/>
      </c>
    </row>
    <row r="1374" spans="25:26" ht="16.350000000000001" customHeight="1" x14ac:dyDescent="0.25">
      <c r="Y1374" s="221" t="str">
        <f t="shared" si="113"/>
        <v/>
      </c>
      <c r="Z1374" s="221" t="str">
        <f t="shared" si="112"/>
        <v/>
      </c>
    </row>
    <row r="1375" spans="25:26" ht="16.350000000000001" customHeight="1" x14ac:dyDescent="0.25">
      <c r="Y1375" s="221" t="str">
        <f t="shared" si="113"/>
        <v/>
      </c>
      <c r="Z1375" s="221" t="str">
        <f t="shared" si="112"/>
        <v/>
      </c>
    </row>
    <row r="1376" spans="25:26" ht="16.350000000000001" customHeight="1" x14ac:dyDescent="0.25">
      <c r="Y1376" s="221" t="str">
        <f t="shared" si="113"/>
        <v/>
      </c>
      <c r="Z1376" s="221" t="str">
        <f t="shared" si="112"/>
        <v/>
      </c>
    </row>
    <row r="1377" spans="25:26" ht="16.350000000000001" customHeight="1" x14ac:dyDescent="0.25">
      <c r="Y1377" s="221" t="str">
        <f t="shared" si="113"/>
        <v/>
      </c>
      <c r="Z1377" s="221" t="str">
        <f t="shared" si="112"/>
        <v/>
      </c>
    </row>
    <row r="1378" spans="25:26" ht="16.350000000000001" customHeight="1" x14ac:dyDescent="0.25">
      <c r="Y1378" s="221" t="str">
        <f t="shared" si="113"/>
        <v/>
      </c>
      <c r="Z1378" s="221" t="str">
        <f t="shared" si="112"/>
        <v/>
      </c>
    </row>
    <row r="1379" spans="25:26" ht="16.350000000000001" customHeight="1" x14ac:dyDescent="0.25">
      <c r="Y1379" s="221" t="str">
        <f t="shared" si="113"/>
        <v/>
      </c>
      <c r="Z1379" s="221" t="str">
        <f t="shared" si="112"/>
        <v/>
      </c>
    </row>
    <row r="1380" spans="25:26" ht="16.350000000000001" customHeight="1" x14ac:dyDescent="0.25">
      <c r="Y1380" s="221" t="str">
        <f t="shared" si="113"/>
        <v/>
      </c>
      <c r="Z1380" s="221" t="str">
        <f t="shared" si="112"/>
        <v/>
      </c>
    </row>
    <row r="1381" spans="25:26" ht="16.350000000000001" customHeight="1" x14ac:dyDescent="0.25">
      <c r="Y1381" s="221" t="str">
        <f t="shared" si="113"/>
        <v/>
      </c>
      <c r="Z1381" s="221" t="str">
        <f t="shared" si="112"/>
        <v/>
      </c>
    </row>
    <row r="1382" spans="25:26" ht="16.350000000000001" customHeight="1" x14ac:dyDescent="0.25">
      <c r="Y1382" s="221" t="str">
        <f t="shared" si="113"/>
        <v/>
      </c>
      <c r="Z1382" s="221" t="str">
        <f t="shared" si="112"/>
        <v/>
      </c>
    </row>
    <row r="1383" spans="25:26" ht="16.350000000000001" customHeight="1" x14ac:dyDescent="0.25">
      <c r="Y1383" s="221" t="str">
        <f t="shared" si="113"/>
        <v/>
      </c>
      <c r="Z1383" s="221" t="str">
        <f t="shared" si="112"/>
        <v/>
      </c>
    </row>
    <row r="1384" spans="25:26" ht="16.350000000000001" customHeight="1" x14ac:dyDescent="0.25">
      <c r="Y1384" s="221" t="str">
        <f t="shared" si="113"/>
        <v/>
      </c>
      <c r="Z1384" s="221" t="str">
        <f t="shared" si="112"/>
        <v/>
      </c>
    </row>
    <row r="1385" spans="25:26" ht="16.350000000000001" customHeight="1" x14ac:dyDescent="0.25">
      <c r="Y1385" s="221" t="str">
        <f t="shared" si="113"/>
        <v/>
      </c>
      <c r="Z1385" s="221" t="str">
        <f t="shared" si="112"/>
        <v/>
      </c>
    </row>
    <row r="1386" spans="25:26" ht="16.350000000000001" customHeight="1" x14ac:dyDescent="0.25">
      <c r="Y1386" s="221" t="str">
        <f t="shared" si="113"/>
        <v/>
      </c>
      <c r="Z1386" s="221" t="str">
        <f t="shared" si="112"/>
        <v/>
      </c>
    </row>
    <row r="1387" spans="25:26" ht="16.350000000000001" customHeight="1" x14ac:dyDescent="0.25">
      <c r="Y1387" s="221" t="str">
        <f t="shared" si="113"/>
        <v/>
      </c>
      <c r="Z1387" s="221" t="str">
        <f t="shared" si="112"/>
        <v/>
      </c>
    </row>
    <row r="1388" spans="25:26" ht="16.350000000000001" customHeight="1" x14ac:dyDescent="0.25">
      <c r="Y1388" s="221" t="str">
        <f t="shared" si="113"/>
        <v/>
      </c>
      <c r="Z1388" s="221" t="str">
        <f t="shared" si="112"/>
        <v/>
      </c>
    </row>
    <row r="1389" spans="25:26" ht="16.350000000000001" customHeight="1" x14ac:dyDescent="0.25">
      <c r="Y1389" s="221" t="str">
        <f t="shared" si="113"/>
        <v/>
      </c>
      <c r="Z1389" s="221" t="str">
        <f t="shared" si="112"/>
        <v/>
      </c>
    </row>
    <row r="1390" spans="25:26" ht="16.350000000000001" customHeight="1" x14ac:dyDescent="0.25">
      <c r="Y1390" s="221" t="str">
        <f t="shared" si="113"/>
        <v/>
      </c>
      <c r="Z1390" s="221" t="str">
        <f t="shared" si="112"/>
        <v/>
      </c>
    </row>
    <row r="1391" spans="25:26" ht="16.350000000000001" customHeight="1" x14ac:dyDescent="0.25">
      <c r="Y1391" s="221" t="str">
        <f t="shared" si="113"/>
        <v/>
      </c>
      <c r="Z1391" s="221" t="str">
        <f t="shared" si="112"/>
        <v/>
      </c>
    </row>
    <row r="1392" spans="25:26" ht="16.350000000000001" customHeight="1" x14ac:dyDescent="0.25">
      <c r="Y1392" s="221" t="str">
        <f t="shared" si="113"/>
        <v/>
      </c>
      <c r="Z1392" s="221" t="str">
        <f t="shared" si="112"/>
        <v/>
      </c>
    </row>
    <row r="1393" spans="25:26" ht="16.350000000000001" customHeight="1" x14ac:dyDescent="0.25">
      <c r="Y1393" s="221" t="str">
        <f t="shared" si="113"/>
        <v/>
      </c>
      <c r="Z1393" s="221" t="str">
        <f t="shared" si="112"/>
        <v/>
      </c>
    </row>
    <row r="1394" spans="25:26" ht="16.350000000000001" customHeight="1" x14ac:dyDescent="0.25">
      <c r="Y1394" s="221" t="str">
        <f t="shared" si="113"/>
        <v/>
      </c>
      <c r="Z1394" s="221" t="str">
        <f t="shared" si="112"/>
        <v/>
      </c>
    </row>
    <row r="1395" spans="25:26" ht="16.350000000000001" customHeight="1" x14ac:dyDescent="0.25">
      <c r="Y1395" s="221" t="str">
        <f t="shared" si="113"/>
        <v/>
      </c>
      <c r="Z1395" s="221" t="str">
        <f t="shared" si="112"/>
        <v/>
      </c>
    </row>
    <row r="1396" spans="25:26" ht="16.350000000000001" customHeight="1" x14ac:dyDescent="0.25">
      <c r="Y1396" s="221" t="str">
        <f t="shared" si="113"/>
        <v/>
      </c>
      <c r="Z1396" s="221" t="str">
        <f t="shared" si="112"/>
        <v/>
      </c>
    </row>
    <row r="1397" spans="25:26" ht="16.350000000000001" customHeight="1" x14ac:dyDescent="0.25">
      <c r="Y1397" s="221" t="str">
        <f t="shared" si="113"/>
        <v/>
      </c>
      <c r="Z1397" s="221" t="str">
        <f t="shared" si="112"/>
        <v/>
      </c>
    </row>
    <row r="1398" spans="25:26" ht="16.350000000000001" customHeight="1" x14ac:dyDescent="0.25">
      <c r="Y1398" s="221" t="str">
        <f t="shared" si="113"/>
        <v/>
      </c>
      <c r="Z1398" s="221" t="str">
        <f t="shared" si="112"/>
        <v/>
      </c>
    </row>
    <row r="1399" spans="25:26" ht="16.350000000000001" customHeight="1" x14ac:dyDescent="0.25">
      <c r="Y1399" s="221" t="str">
        <f t="shared" si="113"/>
        <v/>
      </c>
      <c r="Z1399" s="221" t="str">
        <f t="shared" si="112"/>
        <v/>
      </c>
    </row>
    <row r="1400" spans="25:26" ht="16.350000000000001" customHeight="1" x14ac:dyDescent="0.25">
      <c r="Y1400" s="221" t="str">
        <f t="shared" si="113"/>
        <v/>
      </c>
      <c r="Z1400" s="221" t="str">
        <f t="shared" si="112"/>
        <v/>
      </c>
    </row>
    <row r="1401" spans="25:26" ht="16.350000000000001" customHeight="1" x14ac:dyDescent="0.25">
      <c r="Y1401" s="221" t="str">
        <f t="shared" si="113"/>
        <v/>
      </c>
      <c r="Z1401" s="221" t="str">
        <f t="shared" si="112"/>
        <v/>
      </c>
    </row>
    <row r="1402" spans="25:26" ht="16.350000000000001" customHeight="1" x14ac:dyDescent="0.25">
      <c r="Y1402" s="221" t="str">
        <f t="shared" si="113"/>
        <v/>
      </c>
      <c r="Z1402" s="221" t="str">
        <f t="shared" si="112"/>
        <v/>
      </c>
    </row>
    <row r="1403" spans="25:26" ht="16.350000000000001" customHeight="1" x14ac:dyDescent="0.25">
      <c r="Y1403" s="221" t="str">
        <f t="shared" si="113"/>
        <v/>
      </c>
      <c r="Z1403" s="221" t="str">
        <f t="shared" si="112"/>
        <v/>
      </c>
    </row>
    <row r="1404" spans="25:26" ht="16.350000000000001" customHeight="1" x14ac:dyDescent="0.25">
      <c r="Y1404" s="221" t="str">
        <f t="shared" si="113"/>
        <v/>
      </c>
      <c r="Z1404" s="221" t="str">
        <f t="shared" si="112"/>
        <v/>
      </c>
    </row>
    <row r="1405" spans="25:26" ht="16.350000000000001" customHeight="1" x14ac:dyDescent="0.25">
      <c r="Y1405" s="221" t="str">
        <f t="shared" si="113"/>
        <v/>
      </c>
      <c r="Z1405" s="221" t="str">
        <f t="shared" si="112"/>
        <v/>
      </c>
    </row>
    <row r="1406" spans="25:26" ht="16.350000000000001" customHeight="1" x14ac:dyDescent="0.25">
      <c r="Y1406" s="221" t="str">
        <f t="shared" si="113"/>
        <v/>
      </c>
      <c r="Z1406" s="221" t="str">
        <f t="shared" si="112"/>
        <v/>
      </c>
    </row>
    <row r="1407" spans="25:26" ht="16.350000000000001" customHeight="1" x14ac:dyDescent="0.25">
      <c r="Y1407" s="221" t="str">
        <f t="shared" si="113"/>
        <v/>
      </c>
      <c r="Z1407" s="221" t="str">
        <f t="shared" si="112"/>
        <v/>
      </c>
    </row>
    <row r="1408" spans="25:26" ht="16.350000000000001" customHeight="1" x14ac:dyDescent="0.25">
      <c r="Y1408" s="221" t="str">
        <f t="shared" si="113"/>
        <v/>
      </c>
      <c r="Z1408" s="221" t="str">
        <f t="shared" si="112"/>
        <v/>
      </c>
    </row>
    <row r="1409" spans="25:26" ht="16.350000000000001" customHeight="1" x14ac:dyDescent="0.25">
      <c r="Y1409" s="221" t="str">
        <f t="shared" si="113"/>
        <v/>
      </c>
      <c r="Z1409" s="221" t="str">
        <f t="shared" si="112"/>
        <v/>
      </c>
    </row>
    <row r="1410" spans="25:26" ht="16.350000000000001" customHeight="1" x14ac:dyDescent="0.25">
      <c r="Y1410" s="221" t="str">
        <f t="shared" si="113"/>
        <v/>
      </c>
      <c r="Z1410" s="221" t="str">
        <f t="shared" si="112"/>
        <v/>
      </c>
    </row>
    <row r="1411" spans="25:26" ht="16.350000000000001" customHeight="1" x14ac:dyDescent="0.25">
      <c r="Y1411" s="221" t="str">
        <f t="shared" si="113"/>
        <v/>
      </c>
      <c r="Z1411" s="221" t="str">
        <f t="shared" si="112"/>
        <v/>
      </c>
    </row>
    <row r="1412" spans="25:26" ht="16.350000000000001" customHeight="1" x14ac:dyDescent="0.25">
      <c r="Y1412" s="221" t="str">
        <f t="shared" si="113"/>
        <v/>
      </c>
      <c r="Z1412" s="221" t="str">
        <f t="shared" si="112"/>
        <v/>
      </c>
    </row>
    <row r="1413" spans="25:26" ht="16.350000000000001" customHeight="1" x14ac:dyDescent="0.25">
      <c r="Y1413" s="221" t="str">
        <f t="shared" si="113"/>
        <v/>
      </c>
      <c r="Z1413" s="221" t="str">
        <f t="shared" si="112"/>
        <v/>
      </c>
    </row>
    <row r="1414" spans="25:26" ht="16.350000000000001" customHeight="1" x14ac:dyDescent="0.25">
      <c r="Y1414" s="221" t="str">
        <f t="shared" si="113"/>
        <v/>
      </c>
      <c r="Z1414" s="221" t="str">
        <f t="shared" si="112"/>
        <v/>
      </c>
    </row>
    <row r="1415" spans="25:26" ht="16.350000000000001" customHeight="1" x14ac:dyDescent="0.25">
      <c r="Y1415" s="221" t="str">
        <f t="shared" si="113"/>
        <v/>
      </c>
      <c r="Z1415" s="221" t="str">
        <f t="shared" ref="Z1415:Z1478" si="114">IF(AA1415&lt;&gt;"",$AA$1,"")</f>
        <v/>
      </c>
    </row>
    <row r="1416" spans="25:26" ht="16.350000000000001" customHeight="1" x14ac:dyDescent="0.25">
      <c r="Y1416" s="221" t="str">
        <f t="shared" si="113"/>
        <v/>
      </c>
      <c r="Z1416" s="221" t="str">
        <f t="shared" si="114"/>
        <v/>
      </c>
    </row>
    <row r="1417" spans="25:26" ht="16.350000000000001" customHeight="1" x14ac:dyDescent="0.25">
      <c r="Y1417" s="221" t="str">
        <f t="shared" si="113"/>
        <v/>
      </c>
      <c r="Z1417" s="221" t="str">
        <f t="shared" si="114"/>
        <v/>
      </c>
    </row>
    <row r="1418" spans="25:26" ht="16.350000000000001" customHeight="1" x14ac:dyDescent="0.25">
      <c r="Y1418" s="221" t="str">
        <f t="shared" si="113"/>
        <v/>
      </c>
      <c r="Z1418" s="221" t="str">
        <f t="shared" si="114"/>
        <v/>
      </c>
    </row>
    <row r="1419" spans="25:26" ht="16.350000000000001" customHeight="1" x14ac:dyDescent="0.25">
      <c r="Y1419" s="221" t="str">
        <f t="shared" si="113"/>
        <v/>
      </c>
      <c r="Z1419" s="221" t="str">
        <f t="shared" si="114"/>
        <v/>
      </c>
    </row>
    <row r="1420" spans="25:26" ht="16.350000000000001" customHeight="1" x14ac:dyDescent="0.25">
      <c r="Y1420" s="221" t="str">
        <f t="shared" si="113"/>
        <v/>
      </c>
      <c r="Z1420" s="221" t="str">
        <f t="shared" si="114"/>
        <v/>
      </c>
    </row>
    <row r="1421" spans="25:26" ht="16.350000000000001" customHeight="1" x14ac:dyDescent="0.25">
      <c r="Y1421" s="221" t="str">
        <f t="shared" si="113"/>
        <v/>
      </c>
      <c r="Z1421" s="221" t="str">
        <f t="shared" si="114"/>
        <v/>
      </c>
    </row>
    <row r="1422" spans="25:26" ht="16.350000000000001" customHeight="1" x14ac:dyDescent="0.25">
      <c r="Y1422" s="221" t="str">
        <f t="shared" si="113"/>
        <v/>
      </c>
      <c r="Z1422" s="221" t="str">
        <f t="shared" si="114"/>
        <v/>
      </c>
    </row>
    <row r="1423" spans="25:26" ht="16.350000000000001" customHeight="1" x14ac:dyDescent="0.25">
      <c r="Y1423" s="221" t="str">
        <f t="shared" si="113"/>
        <v/>
      </c>
      <c r="Z1423" s="221" t="str">
        <f t="shared" si="114"/>
        <v/>
      </c>
    </row>
    <row r="1424" spans="25:26" ht="16.350000000000001" customHeight="1" x14ac:dyDescent="0.25">
      <c r="Y1424" s="221" t="str">
        <f t="shared" si="113"/>
        <v/>
      </c>
      <c r="Z1424" s="221" t="str">
        <f t="shared" si="114"/>
        <v/>
      </c>
    </row>
    <row r="1425" spans="25:26" ht="16.350000000000001" customHeight="1" x14ac:dyDescent="0.25">
      <c r="Y1425" s="221" t="str">
        <f t="shared" ref="Y1425:Y1488" si="115">IF(AA1425&lt;&gt;"","NEW","")</f>
        <v/>
      </c>
      <c r="Z1425" s="221" t="str">
        <f t="shared" si="114"/>
        <v/>
      </c>
    </row>
    <row r="1426" spans="25:26" ht="16.350000000000001" customHeight="1" x14ac:dyDescent="0.25">
      <c r="Y1426" s="221" t="str">
        <f t="shared" si="115"/>
        <v/>
      </c>
      <c r="Z1426" s="221" t="str">
        <f t="shared" si="114"/>
        <v/>
      </c>
    </row>
    <row r="1427" spans="25:26" ht="16.350000000000001" customHeight="1" x14ac:dyDescent="0.25">
      <c r="Y1427" s="221" t="str">
        <f t="shared" si="115"/>
        <v/>
      </c>
      <c r="Z1427" s="221" t="str">
        <f t="shared" si="114"/>
        <v/>
      </c>
    </row>
    <row r="1428" spans="25:26" ht="16.350000000000001" customHeight="1" x14ac:dyDescent="0.25">
      <c r="Y1428" s="221" t="str">
        <f t="shared" si="115"/>
        <v/>
      </c>
      <c r="Z1428" s="221" t="str">
        <f t="shared" si="114"/>
        <v/>
      </c>
    </row>
    <row r="1429" spans="25:26" ht="16.350000000000001" customHeight="1" x14ac:dyDescent="0.25">
      <c r="Y1429" s="221" t="str">
        <f t="shared" si="115"/>
        <v/>
      </c>
      <c r="Z1429" s="221" t="str">
        <f t="shared" si="114"/>
        <v/>
      </c>
    </row>
    <row r="1430" spans="25:26" ht="16.350000000000001" customHeight="1" x14ac:dyDescent="0.25">
      <c r="Y1430" s="221" t="str">
        <f t="shared" si="115"/>
        <v/>
      </c>
      <c r="Z1430" s="221" t="str">
        <f t="shared" si="114"/>
        <v/>
      </c>
    </row>
    <row r="1431" spans="25:26" ht="16.350000000000001" customHeight="1" x14ac:dyDescent="0.25">
      <c r="Y1431" s="221" t="str">
        <f t="shared" si="115"/>
        <v/>
      </c>
      <c r="Z1431" s="221" t="str">
        <f t="shared" si="114"/>
        <v/>
      </c>
    </row>
    <row r="1432" spans="25:26" ht="16.350000000000001" customHeight="1" x14ac:dyDescent="0.25">
      <c r="Y1432" s="221" t="str">
        <f t="shared" si="115"/>
        <v/>
      </c>
      <c r="Z1432" s="221" t="str">
        <f t="shared" si="114"/>
        <v/>
      </c>
    </row>
    <row r="1433" spans="25:26" ht="16.350000000000001" customHeight="1" x14ac:dyDescent="0.25">
      <c r="Y1433" s="221" t="str">
        <f t="shared" si="115"/>
        <v/>
      </c>
      <c r="Z1433" s="221" t="str">
        <f t="shared" si="114"/>
        <v/>
      </c>
    </row>
    <row r="1434" spans="25:26" ht="16.350000000000001" customHeight="1" x14ac:dyDescent="0.25">
      <c r="Y1434" s="221" t="str">
        <f t="shared" si="115"/>
        <v/>
      </c>
      <c r="Z1434" s="221" t="str">
        <f t="shared" si="114"/>
        <v/>
      </c>
    </row>
    <row r="1435" spans="25:26" ht="16.350000000000001" customHeight="1" x14ac:dyDescent="0.25">
      <c r="Y1435" s="221" t="str">
        <f t="shared" si="115"/>
        <v/>
      </c>
      <c r="Z1435" s="221" t="str">
        <f t="shared" si="114"/>
        <v/>
      </c>
    </row>
    <row r="1436" spans="25:26" ht="16.350000000000001" customHeight="1" x14ac:dyDescent="0.25">
      <c r="Y1436" s="221" t="str">
        <f t="shared" si="115"/>
        <v/>
      </c>
      <c r="Z1436" s="221" t="str">
        <f t="shared" si="114"/>
        <v/>
      </c>
    </row>
    <row r="1437" spans="25:26" ht="16.350000000000001" customHeight="1" x14ac:dyDescent="0.25">
      <c r="Y1437" s="221" t="str">
        <f t="shared" si="115"/>
        <v/>
      </c>
      <c r="Z1437" s="221" t="str">
        <f t="shared" si="114"/>
        <v/>
      </c>
    </row>
    <row r="1438" spans="25:26" ht="16.350000000000001" customHeight="1" x14ac:dyDescent="0.25">
      <c r="Y1438" s="221" t="str">
        <f t="shared" si="115"/>
        <v/>
      </c>
      <c r="Z1438" s="221" t="str">
        <f t="shared" si="114"/>
        <v/>
      </c>
    </row>
    <row r="1439" spans="25:26" ht="16.350000000000001" customHeight="1" x14ac:dyDescent="0.25">
      <c r="Y1439" s="221" t="str">
        <f t="shared" si="115"/>
        <v/>
      </c>
      <c r="Z1439" s="221" t="str">
        <f t="shared" si="114"/>
        <v/>
      </c>
    </row>
    <row r="1440" spans="25:26" ht="16.350000000000001" customHeight="1" x14ac:dyDescent="0.25">
      <c r="Y1440" s="221" t="str">
        <f t="shared" si="115"/>
        <v/>
      </c>
      <c r="Z1440" s="221" t="str">
        <f t="shared" si="114"/>
        <v/>
      </c>
    </row>
    <row r="1441" spans="25:26" ht="16.350000000000001" customHeight="1" x14ac:dyDescent="0.25">
      <c r="Y1441" s="221" t="str">
        <f t="shared" si="115"/>
        <v/>
      </c>
      <c r="Z1441" s="221" t="str">
        <f t="shared" si="114"/>
        <v/>
      </c>
    </row>
    <row r="1442" spans="25:26" ht="16.350000000000001" customHeight="1" x14ac:dyDescent="0.25">
      <c r="Y1442" s="221" t="str">
        <f t="shared" si="115"/>
        <v/>
      </c>
      <c r="Z1442" s="221" t="str">
        <f t="shared" si="114"/>
        <v/>
      </c>
    </row>
    <row r="1443" spans="25:26" ht="16.350000000000001" customHeight="1" x14ac:dyDescent="0.25">
      <c r="Y1443" s="221" t="str">
        <f t="shared" si="115"/>
        <v/>
      </c>
      <c r="Z1443" s="221" t="str">
        <f t="shared" si="114"/>
        <v/>
      </c>
    </row>
    <row r="1444" spans="25:26" ht="16.350000000000001" customHeight="1" x14ac:dyDescent="0.25">
      <c r="Y1444" s="221" t="str">
        <f t="shared" si="115"/>
        <v/>
      </c>
      <c r="Z1444" s="221" t="str">
        <f t="shared" si="114"/>
        <v/>
      </c>
    </row>
    <row r="1445" spans="25:26" ht="16.350000000000001" customHeight="1" x14ac:dyDescent="0.25">
      <c r="Y1445" s="221" t="str">
        <f t="shared" si="115"/>
        <v/>
      </c>
      <c r="Z1445" s="221" t="str">
        <f t="shared" si="114"/>
        <v/>
      </c>
    </row>
    <row r="1446" spans="25:26" ht="16.350000000000001" customHeight="1" x14ac:dyDescent="0.25">
      <c r="Y1446" s="221" t="str">
        <f t="shared" si="115"/>
        <v/>
      </c>
      <c r="Z1446" s="221" t="str">
        <f t="shared" si="114"/>
        <v/>
      </c>
    </row>
    <row r="1447" spans="25:26" ht="16.350000000000001" customHeight="1" x14ac:dyDescent="0.25">
      <c r="Y1447" s="221" t="str">
        <f t="shared" si="115"/>
        <v/>
      </c>
      <c r="Z1447" s="221" t="str">
        <f t="shared" si="114"/>
        <v/>
      </c>
    </row>
    <row r="1448" spans="25:26" ht="16.350000000000001" customHeight="1" x14ac:dyDescent="0.25">
      <c r="Y1448" s="221" t="str">
        <f t="shared" si="115"/>
        <v/>
      </c>
      <c r="Z1448" s="221" t="str">
        <f t="shared" si="114"/>
        <v/>
      </c>
    </row>
    <row r="1449" spans="25:26" ht="16.350000000000001" customHeight="1" x14ac:dyDescent="0.25">
      <c r="Y1449" s="221" t="str">
        <f t="shared" si="115"/>
        <v/>
      </c>
      <c r="Z1449" s="221" t="str">
        <f t="shared" si="114"/>
        <v/>
      </c>
    </row>
    <row r="1450" spans="25:26" ht="16.350000000000001" customHeight="1" x14ac:dyDescent="0.25">
      <c r="Y1450" s="221" t="str">
        <f t="shared" si="115"/>
        <v/>
      </c>
      <c r="Z1450" s="221" t="str">
        <f t="shared" si="114"/>
        <v/>
      </c>
    </row>
    <row r="1451" spans="25:26" ht="16.350000000000001" customHeight="1" x14ac:dyDescent="0.25">
      <c r="Y1451" s="221" t="str">
        <f t="shared" si="115"/>
        <v/>
      </c>
      <c r="Z1451" s="221" t="str">
        <f t="shared" si="114"/>
        <v/>
      </c>
    </row>
    <row r="1452" spans="25:26" ht="16.350000000000001" customHeight="1" x14ac:dyDescent="0.25">
      <c r="Y1452" s="221" t="str">
        <f t="shared" si="115"/>
        <v/>
      </c>
      <c r="Z1452" s="221" t="str">
        <f t="shared" si="114"/>
        <v/>
      </c>
    </row>
    <row r="1453" spans="25:26" ht="16.350000000000001" customHeight="1" x14ac:dyDescent="0.25">
      <c r="Y1453" s="221" t="str">
        <f t="shared" si="115"/>
        <v/>
      </c>
      <c r="Z1453" s="221" t="str">
        <f t="shared" si="114"/>
        <v/>
      </c>
    </row>
    <row r="1454" spans="25:26" ht="16.350000000000001" customHeight="1" x14ac:dyDescent="0.25">
      <c r="Y1454" s="221" t="str">
        <f t="shared" si="115"/>
        <v/>
      </c>
      <c r="Z1454" s="221" t="str">
        <f t="shared" si="114"/>
        <v/>
      </c>
    </row>
    <row r="1455" spans="25:26" ht="16.350000000000001" customHeight="1" x14ac:dyDescent="0.25">
      <c r="Y1455" s="221" t="str">
        <f t="shared" si="115"/>
        <v/>
      </c>
      <c r="Z1455" s="221" t="str">
        <f t="shared" si="114"/>
        <v/>
      </c>
    </row>
    <row r="1456" spans="25:26" ht="16.350000000000001" customHeight="1" x14ac:dyDescent="0.25">
      <c r="Y1456" s="221" t="str">
        <f t="shared" si="115"/>
        <v/>
      </c>
      <c r="Z1456" s="221" t="str">
        <f t="shared" si="114"/>
        <v/>
      </c>
    </row>
    <row r="1457" spans="25:26" ht="16.350000000000001" customHeight="1" x14ac:dyDescent="0.25">
      <c r="Y1457" s="221" t="str">
        <f t="shared" si="115"/>
        <v/>
      </c>
      <c r="Z1457" s="221" t="str">
        <f t="shared" si="114"/>
        <v/>
      </c>
    </row>
    <row r="1458" spans="25:26" ht="16.350000000000001" customHeight="1" x14ac:dyDescent="0.25">
      <c r="Y1458" s="221" t="str">
        <f t="shared" si="115"/>
        <v/>
      </c>
      <c r="Z1458" s="221" t="str">
        <f t="shared" si="114"/>
        <v/>
      </c>
    </row>
    <row r="1459" spans="25:26" ht="16.350000000000001" customHeight="1" x14ac:dyDescent="0.25">
      <c r="Y1459" s="221" t="str">
        <f t="shared" si="115"/>
        <v/>
      </c>
      <c r="Z1459" s="221" t="str">
        <f t="shared" si="114"/>
        <v/>
      </c>
    </row>
    <row r="1460" spans="25:26" ht="16.350000000000001" customHeight="1" x14ac:dyDescent="0.25">
      <c r="Y1460" s="221" t="str">
        <f t="shared" si="115"/>
        <v/>
      </c>
      <c r="Z1460" s="221" t="str">
        <f t="shared" si="114"/>
        <v/>
      </c>
    </row>
    <row r="1461" spans="25:26" ht="16.350000000000001" customHeight="1" x14ac:dyDescent="0.25">
      <c r="Y1461" s="221" t="str">
        <f t="shared" si="115"/>
        <v/>
      </c>
      <c r="Z1461" s="221" t="str">
        <f t="shared" si="114"/>
        <v/>
      </c>
    </row>
    <row r="1462" spans="25:26" ht="16.350000000000001" customHeight="1" x14ac:dyDescent="0.25">
      <c r="Y1462" s="221" t="str">
        <f t="shared" si="115"/>
        <v/>
      </c>
      <c r="Z1462" s="221" t="str">
        <f t="shared" si="114"/>
        <v/>
      </c>
    </row>
    <row r="1463" spans="25:26" ht="16.350000000000001" customHeight="1" x14ac:dyDescent="0.25">
      <c r="Y1463" s="221" t="str">
        <f t="shared" si="115"/>
        <v/>
      </c>
      <c r="Z1463" s="221" t="str">
        <f t="shared" si="114"/>
        <v/>
      </c>
    </row>
    <row r="1464" spans="25:26" ht="16.350000000000001" customHeight="1" x14ac:dyDescent="0.25">
      <c r="Y1464" s="221" t="str">
        <f t="shared" si="115"/>
        <v/>
      </c>
      <c r="Z1464" s="221" t="str">
        <f t="shared" si="114"/>
        <v/>
      </c>
    </row>
    <row r="1465" spans="25:26" ht="16.350000000000001" customHeight="1" x14ac:dyDescent="0.25">
      <c r="Y1465" s="221" t="str">
        <f t="shared" si="115"/>
        <v/>
      </c>
      <c r="Z1465" s="221" t="str">
        <f t="shared" si="114"/>
        <v/>
      </c>
    </row>
    <row r="1466" spans="25:26" ht="16.350000000000001" customHeight="1" x14ac:dyDescent="0.25">
      <c r="Y1466" s="221" t="str">
        <f t="shared" si="115"/>
        <v/>
      </c>
      <c r="Z1466" s="221" t="str">
        <f t="shared" si="114"/>
        <v/>
      </c>
    </row>
    <row r="1467" spans="25:26" ht="16.350000000000001" customHeight="1" x14ac:dyDescent="0.25">
      <c r="Y1467" s="221" t="str">
        <f t="shared" si="115"/>
        <v/>
      </c>
      <c r="Z1467" s="221" t="str">
        <f t="shared" si="114"/>
        <v/>
      </c>
    </row>
    <row r="1468" spans="25:26" ht="16.350000000000001" customHeight="1" x14ac:dyDescent="0.25">
      <c r="Y1468" s="221" t="str">
        <f t="shared" si="115"/>
        <v/>
      </c>
      <c r="Z1468" s="221" t="str">
        <f t="shared" si="114"/>
        <v/>
      </c>
    </row>
    <row r="1469" spans="25:26" ht="16.350000000000001" customHeight="1" x14ac:dyDescent="0.25">
      <c r="Y1469" s="221" t="str">
        <f t="shared" si="115"/>
        <v/>
      </c>
      <c r="Z1469" s="221" t="str">
        <f t="shared" si="114"/>
        <v/>
      </c>
    </row>
    <row r="1470" spans="25:26" ht="16.350000000000001" customHeight="1" x14ac:dyDescent="0.25">
      <c r="Y1470" s="221" t="str">
        <f t="shared" si="115"/>
        <v/>
      </c>
      <c r="Z1470" s="221" t="str">
        <f t="shared" si="114"/>
        <v/>
      </c>
    </row>
    <row r="1471" spans="25:26" ht="16.350000000000001" customHeight="1" x14ac:dyDescent="0.25">
      <c r="Y1471" s="221" t="str">
        <f t="shared" si="115"/>
        <v/>
      </c>
      <c r="Z1471" s="221" t="str">
        <f t="shared" si="114"/>
        <v/>
      </c>
    </row>
    <row r="1472" spans="25:26" ht="16.350000000000001" customHeight="1" x14ac:dyDescent="0.25">
      <c r="Y1472" s="221" t="str">
        <f t="shared" si="115"/>
        <v/>
      </c>
      <c r="Z1472" s="221" t="str">
        <f t="shared" si="114"/>
        <v/>
      </c>
    </row>
    <row r="1473" spans="25:26" ht="16.350000000000001" customHeight="1" x14ac:dyDescent="0.25">
      <c r="Y1473" s="221" t="str">
        <f t="shared" si="115"/>
        <v/>
      </c>
      <c r="Z1473" s="221" t="str">
        <f t="shared" si="114"/>
        <v/>
      </c>
    </row>
    <row r="1474" spans="25:26" ht="16.350000000000001" customHeight="1" x14ac:dyDescent="0.25">
      <c r="Y1474" s="221" t="str">
        <f t="shared" si="115"/>
        <v/>
      </c>
      <c r="Z1474" s="221" t="str">
        <f t="shared" si="114"/>
        <v/>
      </c>
    </row>
    <row r="1475" spans="25:26" ht="16.350000000000001" customHeight="1" x14ac:dyDescent="0.25">
      <c r="Y1475" s="221" t="str">
        <f t="shared" si="115"/>
        <v/>
      </c>
      <c r="Z1475" s="221" t="str">
        <f t="shared" si="114"/>
        <v/>
      </c>
    </row>
    <row r="1476" spans="25:26" ht="16.350000000000001" customHeight="1" x14ac:dyDescent="0.25">
      <c r="Y1476" s="221" t="str">
        <f t="shared" si="115"/>
        <v/>
      </c>
      <c r="Z1476" s="221" t="str">
        <f t="shared" si="114"/>
        <v/>
      </c>
    </row>
    <row r="1477" spans="25:26" ht="16.350000000000001" customHeight="1" x14ac:dyDescent="0.25">
      <c r="Y1477" s="221" t="str">
        <f t="shared" si="115"/>
        <v/>
      </c>
      <c r="Z1477" s="221" t="str">
        <f t="shared" si="114"/>
        <v/>
      </c>
    </row>
    <row r="1478" spans="25:26" ht="16.350000000000001" customHeight="1" x14ac:dyDescent="0.25">
      <c r="Y1478" s="221" t="str">
        <f t="shared" si="115"/>
        <v/>
      </c>
      <c r="Z1478" s="221" t="str">
        <f t="shared" si="114"/>
        <v/>
      </c>
    </row>
    <row r="1479" spans="25:26" ht="16.350000000000001" customHeight="1" x14ac:dyDescent="0.25">
      <c r="Y1479" s="221" t="str">
        <f t="shared" si="115"/>
        <v/>
      </c>
      <c r="Z1479" s="221" t="str">
        <f t="shared" ref="Z1479:Z1542" si="116">IF(AA1479&lt;&gt;"",$AA$1,"")</f>
        <v/>
      </c>
    </row>
    <row r="1480" spans="25:26" ht="16.350000000000001" customHeight="1" x14ac:dyDescent="0.25">
      <c r="Y1480" s="221" t="str">
        <f t="shared" si="115"/>
        <v/>
      </c>
      <c r="Z1480" s="221" t="str">
        <f t="shared" si="116"/>
        <v/>
      </c>
    </row>
    <row r="1481" spans="25:26" ht="16.350000000000001" customHeight="1" x14ac:dyDescent="0.25">
      <c r="Y1481" s="221" t="str">
        <f t="shared" si="115"/>
        <v/>
      </c>
      <c r="Z1481" s="221" t="str">
        <f t="shared" si="116"/>
        <v/>
      </c>
    </row>
    <row r="1482" spans="25:26" ht="16.350000000000001" customHeight="1" x14ac:dyDescent="0.25">
      <c r="Y1482" s="221" t="str">
        <f t="shared" si="115"/>
        <v/>
      </c>
      <c r="Z1482" s="221" t="str">
        <f t="shared" si="116"/>
        <v/>
      </c>
    </row>
    <row r="1483" spans="25:26" ht="16.350000000000001" customHeight="1" x14ac:dyDescent="0.25">
      <c r="Y1483" s="221" t="str">
        <f t="shared" si="115"/>
        <v/>
      </c>
      <c r="Z1483" s="221" t="str">
        <f t="shared" si="116"/>
        <v/>
      </c>
    </row>
    <row r="1484" spans="25:26" ht="16.350000000000001" customHeight="1" x14ac:dyDescent="0.25">
      <c r="Y1484" s="221" t="str">
        <f t="shared" si="115"/>
        <v/>
      </c>
      <c r="Z1484" s="221" t="str">
        <f t="shared" si="116"/>
        <v/>
      </c>
    </row>
    <row r="1485" spans="25:26" ht="16.350000000000001" customHeight="1" x14ac:dyDescent="0.25">
      <c r="Y1485" s="221" t="str">
        <f t="shared" si="115"/>
        <v/>
      </c>
      <c r="Z1485" s="221" t="str">
        <f t="shared" si="116"/>
        <v/>
      </c>
    </row>
    <row r="1486" spans="25:26" ht="16.350000000000001" customHeight="1" x14ac:dyDescent="0.25">
      <c r="Y1486" s="221" t="str">
        <f t="shared" si="115"/>
        <v/>
      </c>
      <c r="Z1486" s="221" t="str">
        <f t="shared" si="116"/>
        <v/>
      </c>
    </row>
    <row r="1487" spans="25:26" ht="16.350000000000001" customHeight="1" x14ac:dyDescent="0.25">
      <c r="Y1487" s="221" t="str">
        <f t="shared" si="115"/>
        <v/>
      </c>
      <c r="Z1487" s="221" t="str">
        <f t="shared" si="116"/>
        <v/>
      </c>
    </row>
    <row r="1488" spans="25:26" ht="16.350000000000001" customHeight="1" x14ac:dyDescent="0.25">
      <c r="Y1488" s="221" t="str">
        <f t="shared" si="115"/>
        <v/>
      </c>
      <c r="Z1488" s="221" t="str">
        <f t="shared" si="116"/>
        <v/>
      </c>
    </row>
    <row r="1489" spans="25:26" ht="16.350000000000001" customHeight="1" x14ac:dyDescent="0.25">
      <c r="Y1489" s="221" t="str">
        <f t="shared" ref="Y1489:Y1550" si="117">IF(AA1489&lt;&gt;"","NEW","")</f>
        <v/>
      </c>
      <c r="Z1489" s="221" t="str">
        <f t="shared" si="116"/>
        <v/>
      </c>
    </row>
    <row r="1490" spans="25:26" ht="16.350000000000001" customHeight="1" x14ac:dyDescent="0.25">
      <c r="Y1490" s="221" t="str">
        <f t="shared" si="117"/>
        <v/>
      </c>
      <c r="Z1490" s="221" t="str">
        <f t="shared" si="116"/>
        <v/>
      </c>
    </row>
    <row r="1491" spans="25:26" ht="16.350000000000001" customHeight="1" x14ac:dyDescent="0.25">
      <c r="Y1491" s="221" t="str">
        <f t="shared" si="117"/>
        <v/>
      </c>
      <c r="Z1491" s="221" t="str">
        <f t="shared" si="116"/>
        <v/>
      </c>
    </row>
    <row r="1492" spans="25:26" ht="16.350000000000001" customHeight="1" x14ac:dyDescent="0.25">
      <c r="Y1492" s="221" t="str">
        <f t="shared" si="117"/>
        <v/>
      </c>
      <c r="Z1492" s="221" t="str">
        <f t="shared" si="116"/>
        <v/>
      </c>
    </row>
    <row r="1493" spans="25:26" ht="16.350000000000001" customHeight="1" x14ac:dyDescent="0.25">
      <c r="Y1493" s="221" t="str">
        <f t="shared" si="117"/>
        <v/>
      </c>
      <c r="Z1493" s="221" t="str">
        <f t="shared" si="116"/>
        <v/>
      </c>
    </row>
    <row r="1494" spans="25:26" ht="16.350000000000001" customHeight="1" x14ac:dyDescent="0.25">
      <c r="Y1494" s="221" t="str">
        <f t="shared" si="117"/>
        <v/>
      </c>
      <c r="Z1494" s="221" t="str">
        <f t="shared" si="116"/>
        <v/>
      </c>
    </row>
    <row r="1495" spans="25:26" ht="16.350000000000001" customHeight="1" x14ac:dyDescent="0.25">
      <c r="Y1495" s="221" t="str">
        <f t="shared" si="117"/>
        <v/>
      </c>
      <c r="Z1495" s="221" t="str">
        <f t="shared" si="116"/>
        <v/>
      </c>
    </row>
    <row r="1496" spans="25:26" ht="16.350000000000001" customHeight="1" x14ac:dyDescent="0.25">
      <c r="Y1496" s="221" t="str">
        <f t="shared" si="117"/>
        <v/>
      </c>
      <c r="Z1496" s="221" t="str">
        <f t="shared" si="116"/>
        <v/>
      </c>
    </row>
    <row r="1497" spans="25:26" ht="16.350000000000001" customHeight="1" x14ac:dyDescent="0.25">
      <c r="Y1497" s="221" t="str">
        <f t="shared" si="117"/>
        <v/>
      </c>
      <c r="Z1497" s="221" t="str">
        <f t="shared" si="116"/>
        <v/>
      </c>
    </row>
    <row r="1498" spans="25:26" ht="16.350000000000001" customHeight="1" x14ac:dyDescent="0.25">
      <c r="Y1498" s="221" t="str">
        <f t="shared" si="117"/>
        <v/>
      </c>
      <c r="Z1498" s="221" t="str">
        <f t="shared" si="116"/>
        <v/>
      </c>
    </row>
    <row r="1499" spans="25:26" ht="16.350000000000001" customHeight="1" x14ac:dyDescent="0.25">
      <c r="Y1499" s="221" t="str">
        <f t="shared" si="117"/>
        <v/>
      </c>
      <c r="Z1499" s="221" t="str">
        <f t="shared" si="116"/>
        <v/>
      </c>
    </row>
    <row r="1500" spans="25:26" ht="16.350000000000001" customHeight="1" x14ac:dyDescent="0.25">
      <c r="Y1500" s="221" t="str">
        <f t="shared" si="117"/>
        <v/>
      </c>
      <c r="Z1500" s="221" t="str">
        <f t="shared" si="116"/>
        <v/>
      </c>
    </row>
    <row r="1501" spans="25:26" ht="16.350000000000001" customHeight="1" x14ac:dyDescent="0.25">
      <c r="Y1501" s="221" t="str">
        <f t="shared" si="117"/>
        <v/>
      </c>
      <c r="Z1501" s="221" t="str">
        <f t="shared" si="116"/>
        <v/>
      </c>
    </row>
    <row r="1502" spans="25:26" ht="16.350000000000001" customHeight="1" x14ac:dyDescent="0.25">
      <c r="Y1502" s="221" t="str">
        <f t="shared" si="117"/>
        <v/>
      </c>
      <c r="Z1502" s="221" t="str">
        <f t="shared" si="116"/>
        <v/>
      </c>
    </row>
    <row r="1503" spans="25:26" ht="16.350000000000001" customHeight="1" x14ac:dyDescent="0.25">
      <c r="Y1503" s="221" t="str">
        <f t="shared" si="117"/>
        <v/>
      </c>
      <c r="Z1503" s="221" t="str">
        <f t="shared" si="116"/>
        <v/>
      </c>
    </row>
    <row r="1504" spans="25:26" ht="16.350000000000001" customHeight="1" x14ac:dyDescent="0.25">
      <c r="Y1504" s="221" t="str">
        <f t="shared" si="117"/>
        <v/>
      </c>
      <c r="Z1504" s="221" t="str">
        <f t="shared" si="116"/>
        <v/>
      </c>
    </row>
    <row r="1505" spans="25:26" ht="16.350000000000001" customHeight="1" x14ac:dyDescent="0.25">
      <c r="Y1505" s="221" t="str">
        <f t="shared" si="117"/>
        <v/>
      </c>
      <c r="Z1505" s="221" t="str">
        <f t="shared" si="116"/>
        <v/>
      </c>
    </row>
    <row r="1506" spans="25:26" ht="16.350000000000001" customHeight="1" x14ac:dyDescent="0.25">
      <c r="Y1506" s="221" t="str">
        <f t="shared" si="117"/>
        <v/>
      </c>
      <c r="Z1506" s="221" t="str">
        <f t="shared" si="116"/>
        <v/>
      </c>
    </row>
    <row r="1507" spans="25:26" ht="16.350000000000001" customHeight="1" x14ac:dyDescent="0.25">
      <c r="Y1507" s="221" t="str">
        <f t="shared" si="117"/>
        <v/>
      </c>
      <c r="Z1507" s="221" t="str">
        <f t="shared" si="116"/>
        <v/>
      </c>
    </row>
    <row r="1508" spans="25:26" ht="16.350000000000001" customHeight="1" x14ac:dyDescent="0.25">
      <c r="Y1508" s="221" t="str">
        <f t="shared" si="117"/>
        <v/>
      </c>
      <c r="Z1508" s="221" t="str">
        <f t="shared" si="116"/>
        <v/>
      </c>
    </row>
    <row r="1509" spans="25:26" ht="16.350000000000001" customHeight="1" x14ac:dyDescent="0.25">
      <c r="Y1509" s="221" t="str">
        <f t="shared" si="117"/>
        <v/>
      </c>
      <c r="Z1509" s="221" t="str">
        <f t="shared" si="116"/>
        <v/>
      </c>
    </row>
    <row r="1510" spans="25:26" ht="16.350000000000001" customHeight="1" x14ac:dyDescent="0.25">
      <c r="Y1510" s="221" t="str">
        <f t="shared" si="117"/>
        <v/>
      </c>
      <c r="Z1510" s="221" t="str">
        <f t="shared" si="116"/>
        <v/>
      </c>
    </row>
    <row r="1511" spans="25:26" ht="16.350000000000001" customHeight="1" x14ac:dyDescent="0.25">
      <c r="Y1511" s="221" t="str">
        <f t="shared" si="117"/>
        <v/>
      </c>
      <c r="Z1511" s="221" t="str">
        <f t="shared" si="116"/>
        <v/>
      </c>
    </row>
    <row r="1512" spans="25:26" ht="16.350000000000001" customHeight="1" x14ac:dyDescent="0.25">
      <c r="Y1512" s="221" t="str">
        <f t="shared" si="117"/>
        <v/>
      </c>
      <c r="Z1512" s="221" t="str">
        <f t="shared" si="116"/>
        <v/>
      </c>
    </row>
    <row r="1513" spans="25:26" ht="16.350000000000001" customHeight="1" x14ac:dyDescent="0.25">
      <c r="Y1513" s="221" t="str">
        <f t="shared" si="117"/>
        <v/>
      </c>
      <c r="Z1513" s="221" t="str">
        <f t="shared" si="116"/>
        <v/>
      </c>
    </row>
    <row r="1514" spans="25:26" ht="16.350000000000001" customHeight="1" x14ac:dyDescent="0.25">
      <c r="Y1514" s="221" t="str">
        <f t="shared" si="117"/>
        <v/>
      </c>
      <c r="Z1514" s="221" t="str">
        <f t="shared" si="116"/>
        <v/>
      </c>
    </row>
    <row r="1515" spans="25:26" ht="16.350000000000001" customHeight="1" x14ac:dyDescent="0.25">
      <c r="Y1515" s="221" t="str">
        <f t="shared" si="117"/>
        <v/>
      </c>
      <c r="Z1515" s="221" t="str">
        <f t="shared" si="116"/>
        <v/>
      </c>
    </row>
    <row r="1516" spans="25:26" ht="16.350000000000001" customHeight="1" x14ac:dyDescent="0.25">
      <c r="Y1516" s="221" t="str">
        <f t="shared" si="117"/>
        <v/>
      </c>
      <c r="Z1516" s="221" t="str">
        <f t="shared" si="116"/>
        <v/>
      </c>
    </row>
    <row r="1517" spans="25:26" ht="16.350000000000001" customHeight="1" x14ac:dyDescent="0.25">
      <c r="Y1517" s="221" t="str">
        <f t="shared" si="117"/>
        <v/>
      </c>
      <c r="Z1517" s="221" t="str">
        <f t="shared" si="116"/>
        <v/>
      </c>
    </row>
    <row r="1518" spans="25:26" ht="16.350000000000001" customHeight="1" x14ac:dyDescent="0.25">
      <c r="Y1518" s="221" t="str">
        <f t="shared" si="117"/>
        <v/>
      </c>
      <c r="Z1518" s="221" t="str">
        <f t="shared" si="116"/>
        <v/>
      </c>
    </row>
    <row r="1519" spans="25:26" ht="16.350000000000001" customHeight="1" x14ac:dyDescent="0.25">
      <c r="Y1519" s="221" t="str">
        <f t="shared" si="117"/>
        <v/>
      </c>
      <c r="Z1519" s="221" t="str">
        <f t="shared" si="116"/>
        <v/>
      </c>
    </row>
    <row r="1520" spans="25:26" ht="16.350000000000001" customHeight="1" x14ac:dyDescent="0.25">
      <c r="Y1520" s="221" t="str">
        <f t="shared" si="117"/>
        <v/>
      </c>
      <c r="Z1520" s="221" t="str">
        <f t="shared" si="116"/>
        <v/>
      </c>
    </row>
    <row r="1521" spans="25:26" ht="16.350000000000001" customHeight="1" x14ac:dyDescent="0.25">
      <c r="Y1521" s="221" t="str">
        <f t="shared" si="117"/>
        <v/>
      </c>
      <c r="Z1521" s="221" t="str">
        <f t="shared" si="116"/>
        <v/>
      </c>
    </row>
    <row r="1522" spans="25:26" ht="16.350000000000001" customHeight="1" x14ac:dyDescent="0.25">
      <c r="Y1522" s="221" t="str">
        <f t="shared" si="117"/>
        <v/>
      </c>
      <c r="Z1522" s="221" t="str">
        <f t="shared" si="116"/>
        <v/>
      </c>
    </row>
    <row r="1523" spans="25:26" ht="16.350000000000001" customHeight="1" x14ac:dyDescent="0.25">
      <c r="Y1523" s="221" t="str">
        <f t="shared" si="117"/>
        <v/>
      </c>
      <c r="Z1523" s="221" t="str">
        <f t="shared" si="116"/>
        <v/>
      </c>
    </row>
    <row r="1524" spans="25:26" ht="16.350000000000001" customHeight="1" x14ac:dyDescent="0.25">
      <c r="Y1524" s="221" t="str">
        <f t="shared" si="117"/>
        <v/>
      </c>
      <c r="Z1524" s="221" t="str">
        <f t="shared" si="116"/>
        <v/>
      </c>
    </row>
    <row r="1525" spans="25:26" ht="16.350000000000001" customHeight="1" x14ac:dyDescent="0.25">
      <c r="Y1525" s="221" t="str">
        <f t="shared" si="117"/>
        <v/>
      </c>
      <c r="Z1525" s="221" t="str">
        <f t="shared" si="116"/>
        <v/>
      </c>
    </row>
    <row r="1526" spans="25:26" ht="16.350000000000001" customHeight="1" x14ac:dyDescent="0.25">
      <c r="Y1526" s="221" t="str">
        <f t="shared" si="117"/>
        <v/>
      </c>
      <c r="Z1526" s="221" t="str">
        <f t="shared" si="116"/>
        <v/>
      </c>
    </row>
    <row r="1527" spans="25:26" ht="16.350000000000001" customHeight="1" x14ac:dyDescent="0.25">
      <c r="Y1527" s="221" t="str">
        <f t="shared" si="117"/>
        <v/>
      </c>
      <c r="Z1527" s="221" t="str">
        <f t="shared" si="116"/>
        <v/>
      </c>
    </row>
    <row r="1528" spans="25:26" ht="16.350000000000001" customHeight="1" x14ac:dyDescent="0.25">
      <c r="Y1528" s="221" t="str">
        <f t="shared" si="117"/>
        <v/>
      </c>
      <c r="Z1528" s="221" t="str">
        <f t="shared" si="116"/>
        <v/>
      </c>
    </row>
    <row r="1529" spans="25:26" ht="16.350000000000001" customHeight="1" x14ac:dyDescent="0.25">
      <c r="Y1529" s="221" t="str">
        <f t="shared" si="117"/>
        <v/>
      </c>
      <c r="Z1529" s="221" t="str">
        <f t="shared" si="116"/>
        <v/>
      </c>
    </row>
    <row r="1530" spans="25:26" ht="16.350000000000001" customHeight="1" x14ac:dyDescent="0.25">
      <c r="Y1530" s="221" t="str">
        <f t="shared" si="117"/>
        <v/>
      </c>
      <c r="Z1530" s="221" t="str">
        <f t="shared" si="116"/>
        <v/>
      </c>
    </row>
    <row r="1531" spans="25:26" ht="16.350000000000001" customHeight="1" x14ac:dyDescent="0.25">
      <c r="Y1531" s="221" t="str">
        <f t="shared" si="117"/>
        <v/>
      </c>
      <c r="Z1531" s="221" t="str">
        <f t="shared" si="116"/>
        <v/>
      </c>
    </row>
    <row r="1532" spans="25:26" ht="16.350000000000001" customHeight="1" x14ac:dyDescent="0.25">
      <c r="Y1532" s="221" t="str">
        <f t="shared" si="117"/>
        <v/>
      </c>
      <c r="Z1532" s="221" t="str">
        <f t="shared" si="116"/>
        <v/>
      </c>
    </row>
    <row r="1533" spans="25:26" ht="16.350000000000001" customHeight="1" x14ac:dyDescent="0.25">
      <c r="Y1533" s="221" t="str">
        <f t="shared" si="117"/>
        <v/>
      </c>
      <c r="Z1533" s="221" t="str">
        <f t="shared" si="116"/>
        <v/>
      </c>
    </row>
    <row r="1534" spans="25:26" ht="16.350000000000001" customHeight="1" x14ac:dyDescent="0.25">
      <c r="Y1534" s="221" t="str">
        <f t="shared" si="117"/>
        <v/>
      </c>
      <c r="Z1534" s="221" t="str">
        <f t="shared" si="116"/>
        <v/>
      </c>
    </row>
    <row r="1535" spans="25:26" ht="16.350000000000001" customHeight="1" x14ac:dyDescent="0.25">
      <c r="Y1535" s="221" t="str">
        <f t="shared" si="117"/>
        <v/>
      </c>
      <c r="Z1535" s="221" t="str">
        <f t="shared" si="116"/>
        <v/>
      </c>
    </row>
    <row r="1536" spans="25:26" ht="16.350000000000001" customHeight="1" x14ac:dyDescent="0.25">
      <c r="Y1536" s="221" t="str">
        <f t="shared" si="117"/>
        <v/>
      </c>
      <c r="Z1536" s="221" t="str">
        <f t="shared" si="116"/>
        <v/>
      </c>
    </row>
    <row r="1537" spans="25:26" ht="16.350000000000001" customHeight="1" x14ac:dyDescent="0.25">
      <c r="Y1537" s="221" t="str">
        <f t="shared" si="117"/>
        <v/>
      </c>
      <c r="Z1537" s="221" t="str">
        <f t="shared" si="116"/>
        <v/>
      </c>
    </row>
    <row r="1538" spans="25:26" ht="16.350000000000001" customHeight="1" x14ac:dyDescent="0.25">
      <c r="Y1538" s="221" t="str">
        <f t="shared" si="117"/>
        <v/>
      </c>
      <c r="Z1538" s="221" t="str">
        <f t="shared" si="116"/>
        <v/>
      </c>
    </row>
    <row r="1539" spans="25:26" ht="16.350000000000001" customHeight="1" x14ac:dyDescent="0.25">
      <c r="Y1539" s="221" t="str">
        <f t="shared" si="117"/>
        <v/>
      </c>
      <c r="Z1539" s="221" t="str">
        <f t="shared" si="116"/>
        <v/>
      </c>
    </row>
    <row r="1540" spans="25:26" ht="16.350000000000001" customHeight="1" x14ac:dyDescent="0.25">
      <c r="Y1540" s="221" t="str">
        <f t="shared" si="117"/>
        <v/>
      </c>
      <c r="Z1540" s="221" t="str">
        <f t="shared" si="116"/>
        <v/>
      </c>
    </row>
    <row r="1541" spans="25:26" ht="16.350000000000001" customHeight="1" x14ac:dyDescent="0.25">
      <c r="Y1541" s="221" t="str">
        <f t="shared" si="117"/>
        <v/>
      </c>
      <c r="Z1541" s="221" t="str">
        <f t="shared" si="116"/>
        <v/>
      </c>
    </row>
    <row r="1542" spans="25:26" ht="16.350000000000001" customHeight="1" x14ac:dyDescent="0.25">
      <c r="Y1542" s="221" t="str">
        <f t="shared" si="117"/>
        <v/>
      </c>
      <c r="Z1542" s="221" t="str">
        <f t="shared" si="116"/>
        <v/>
      </c>
    </row>
    <row r="1543" spans="25:26" ht="16.350000000000001" customHeight="1" x14ac:dyDescent="0.25">
      <c r="Y1543" s="221" t="str">
        <f t="shared" si="117"/>
        <v/>
      </c>
      <c r="Z1543" s="221" t="str">
        <f t="shared" ref="Z1543:Z1550" si="118">IF(AA1543&lt;&gt;"",$AA$1,"")</f>
        <v/>
      </c>
    </row>
    <row r="1544" spans="25:26" ht="16.350000000000001" customHeight="1" x14ac:dyDescent="0.25">
      <c r="Y1544" s="221" t="str">
        <f t="shared" si="117"/>
        <v/>
      </c>
      <c r="Z1544" s="221" t="str">
        <f t="shared" si="118"/>
        <v/>
      </c>
    </row>
    <row r="1545" spans="25:26" ht="16.350000000000001" customHeight="1" x14ac:dyDescent="0.25">
      <c r="Y1545" s="221" t="str">
        <f t="shared" si="117"/>
        <v/>
      </c>
      <c r="Z1545" s="221" t="str">
        <f t="shared" si="118"/>
        <v/>
      </c>
    </row>
    <row r="1546" spans="25:26" ht="16.350000000000001" customHeight="1" x14ac:dyDescent="0.25">
      <c r="Y1546" s="221" t="str">
        <f t="shared" si="117"/>
        <v/>
      </c>
      <c r="Z1546" s="221" t="str">
        <f t="shared" si="118"/>
        <v/>
      </c>
    </row>
    <row r="1547" spans="25:26" ht="16.350000000000001" customHeight="1" x14ac:dyDescent="0.25">
      <c r="Y1547" s="221" t="str">
        <f t="shared" si="117"/>
        <v/>
      </c>
      <c r="Z1547" s="221" t="str">
        <f t="shared" si="118"/>
        <v/>
      </c>
    </row>
    <row r="1548" spans="25:26" ht="16.350000000000001" customHeight="1" x14ac:dyDescent="0.25">
      <c r="Y1548" s="221" t="str">
        <f t="shared" si="117"/>
        <v/>
      </c>
      <c r="Z1548" s="221" t="str">
        <f t="shared" si="118"/>
        <v/>
      </c>
    </row>
    <row r="1549" spans="25:26" ht="16.350000000000001" customHeight="1" x14ac:dyDescent="0.25">
      <c r="Y1549" s="221" t="str">
        <f t="shared" si="117"/>
        <v/>
      </c>
      <c r="Z1549" s="221" t="str">
        <f t="shared" si="118"/>
        <v/>
      </c>
    </row>
    <row r="1550" spans="25:26" ht="16.350000000000001" customHeight="1" x14ac:dyDescent="0.25">
      <c r="Y1550" s="221" t="str">
        <f t="shared" si="117"/>
        <v/>
      </c>
      <c r="Z1550" s="221" t="str">
        <f t="shared" si="118"/>
        <v/>
      </c>
    </row>
  </sheetData>
  <sheetProtection formatCells="0"/>
  <mergeCells count="4">
    <mergeCell ref="X28:X29"/>
    <mergeCell ref="D33:D34"/>
    <mergeCell ref="D95:D96"/>
    <mergeCell ref="I76:I77"/>
  </mergeCells>
  <pageMargins left="0.7" right="0.7" top="0.75" bottom="0.75" header="0.3" footer="0.3"/>
  <pageSetup orientation="portrait" r:id="rId1"/>
  <drawing r:id="rId2"/>
  <legacyDrawing r:id="rId3"/>
  <controls>
    <mc:AlternateContent xmlns:mc="http://schemas.openxmlformats.org/markup-compatibility/2006">
      <mc:Choice Requires="x14">
        <control shapeId="8378" r:id="rId4" name="ComboBox60">
          <controlPr defaultSize="0" autoLine="0" linkedCell="D10" r:id="rId5">
            <anchor moveWithCells="1">
              <from>
                <xdr:col>3</xdr:col>
                <xdr:colOff>19050</xdr:colOff>
                <xdr:row>9</xdr:row>
                <xdr:rowOff>9525</xdr:rowOff>
              </from>
              <to>
                <xdr:col>4</xdr:col>
                <xdr:colOff>9525</xdr:colOff>
                <xdr:row>10</xdr:row>
                <xdr:rowOff>0</xdr:rowOff>
              </to>
            </anchor>
          </controlPr>
        </control>
      </mc:Choice>
      <mc:Fallback>
        <control shapeId="8378" r:id="rId4" name="ComboBox60"/>
      </mc:Fallback>
    </mc:AlternateContent>
    <mc:AlternateContent xmlns:mc="http://schemas.openxmlformats.org/markup-compatibility/2006">
      <mc:Choice Requires="x14">
        <control shapeId="8362" r:id="rId6" name="ComboBox43">
          <controlPr defaultSize="0" autoLine="0" linkedCell="D88" r:id="rId7">
            <anchor moveWithCells="1">
              <from>
                <xdr:col>3</xdr:col>
                <xdr:colOff>9525</xdr:colOff>
                <xdr:row>87</xdr:row>
                <xdr:rowOff>9525</xdr:rowOff>
              </from>
              <to>
                <xdr:col>4</xdr:col>
                <xdr:colOff>9525</xdr:colOff>
                <xdr:row>88</xdr:row>
                <xdr:rowOff>0</xdr:rowOff>
              </to>
            </anchor>
          </controlPr>
        </control>
      </mc:Choice>
      <mc:Fallback>
        <control shapeId="8362" r:id="rId6" name="ComboBox43"/>
      </mc:Fallback>
    </mc:AlternateContent>
    <mc:AlternateContent xmlns:mc="http://schemas.openxmlformats.org/markup-compatibility/2006">
      <mc:Choice Requires="x14">
        <control shapeId="8361" r:id="rId8" name="ComboBox42">
          <controlPr defaultSize="0" autoLine="0" linkedCell="D86" listFillRange="Attributes1!F11:F12" r:id="rId5">
            <anchor moveWithCells="1">
              <from>
                <xdr:col>3</xdr:col>
                <xdr:colOff>19050</xdr:colOff>
                <xdr:row>85</xdr:row>
                <xdr:rowOff>9525</xdr:rowOff>
              </from>
              <to>
                <xdr:col>4</xdr:col>
                <xdr:colOff>9525</xdr:colOff>
                <xdr:row>86</xdr:row>
                <xdr:rowOff>0</xdr:rowOff>
              </to>
            </anchor>
          </controlPr>
        </control>
      </mc:Choice>
      <mc:Fallback>
        <control shapeId="8361" r:id="rId8" name="ComboBox42"/>
      </mc:Fallback>
    </mc:AlternateContent>
    <mc:AlternateContent xmlns:mc="http://schemas.openxmlformats.org/markup-compatibility/2006">
      <mc:Choice Requires="x14">
        <control shapeId="8360" r:id="rId9" name="ComboBox40">
          <controlPr defaultSize="0" autoLine="0" linkedCell="D84" listFillRange="Attributes1!F11:F12" r:id="rId7">
            <anchor moveWithCells="1">
              <from>
                <xdr:col>3</xdr:col>
                <xdr:colOff>9525</xdr:colOff>
                <xdr:row>83</xdr:row>
                <xdr:rowOff>9525</xdr:rowOff>
              </from>
              <to>
                <xdr:col>4</xdr:col>
                <xdr:colOff>9525</xdr:colOff>
                <xdr:row>84</xdr:row>
                <xdr:rowOff>0</xdr:rowOff>
              </to>
            </anchor>
          </controlPr>
        </control>
      </mc:Choice>
      <mc:Fallback>
        <control shapeId="8360" r:id="rId9" name="ComboBox40"/>
      </mc:Fallback>
    </mc:AlternateContent>
    <mc:AlternateContent xmlns:mc="http://schemas.openxmlformats.org/markup-compatibility/2006">
      <mc:Choice Requires="x14">
        <control shapeId="8358" r:id="rId10" name="ComboBox41">
          <controlPr defaultSize="0" autoLine="0" linkedCell="I28" listFillRange="Attributes1!F11:F12" r:id="rId5">
            <anchor moveWithCells="1">
              <from>
                <xdr:col>8</xdr:col>
                <xdr:colOff>19050</xdr:colOff>
                <xdr:row>27</xdr:row>
                <xdr:rowOff>9525</xdr:rowOff>
              </from>
              <to>
                <xdr:col>9</xdr:col>
                <xdr:colOff>0</xdr:colOff>
                <xdr:row>28</xdr:row>
                <xdr:rowOff>0</xdr:rowOff>
              </to>
            </anchor>
          </controlPr>
        </control>
      </mc:Choice>
      <mc:Fallback>
        <control shapeId="8358" r:id="rId10" name="ComboBox41"/>
      </mc:Fallback>
    </mc:AlternateContent>
    <mc:AlternateContent xmlns:mc="http://schemas.openxmlformats.org/markup-compatibility/2006">
      <mc:Choice Requires="x14">
        <control shapeId="8355" r:id="rId11" name="ComboBox39">
          <controlPr defaultSize="0" autoLine="0" linkedCell="I22" listFillRange="Attributes1!AN3:AO7" r:id="rId12">
            <anchor moveWithCells="1">
              <from>
                <xdr:col>8</xdr:col>
                <xdr:colOff>38100</xdr:colOff>
                <xdr:row>21</xdr:row>
                <xdr:rowOff>9525</xdr:rowOff>
              </from>
              <to>
                <xdr:col>9</xdr:col>
                <xdr:colOff>0</xdr:colOff>
                <xdr:row>22</xdr:row>
                <xdr:rowOff>0</xdr:rowOff>
              </to>
            </anchor>
          </controlPr>
        </control>
      </mc:Choice>
      <mc:Fallback>
        <control shapeId="8355" r:id="rId11" name="ComboBox39"/>
      </mc:Fallback>
    </mc:AlternateContent>
    <mc:AlternateContent xmlns:mc="http://schemas.openxmlformats.org/markup-compatibility/2006">
      <mc:Choice Requires="x14">
        <control shapeId="8354" r:id="rId13" name="ComboBox38">
          <controlPr defaultSize="0" autoLine="0" linkedCell="D28" listFillRange="Attributes1!AK3:AL48" r:id="rId14">
            <anchor moveWithCells="1">
              <from>
                <xdr:col>3</xdr:col>
                <xdr:colOff>28575</xdr:colOff>
                <xdr:row>27</xdr:row>
                <xdr:rowOff>9525</xdr:rowOff>
              </from>
              <to>
                <xdr:col>4</xdr:col>
                <xdr:colOff>9525</xdr:colOff>
                <xdr:row>28</xdr:row>
                <xdr:rowOff>0</xdr:rowOff>
              </to>
            </anchor>
          </controlPr>
        </control>
      </mc:Choice>
      <mc:Fallback>
        <control shapeId="8354" r:id="rId13" name="ComboBox38"/>
      </mc:Fallback>
    </mc:AlternateContent>
    <mc:AlternateContent xmlns:mc="http://schemas.openxmlformats.org/markup-compatibility/2006">
      <mc:Choice Requires="x14">
        <control shapeId="8340" r:id="rId15" name="ComboBox34">
          <controlPr defaultSize="0" autoLine="0" linkedCell="I60" listFillRange="Attributes1!F11:F12" r:id="rId14">
            <anchor moveWithCells="1">
              <from>
                <xdr:col>8</xdr:col>
                <xdr:colOff>28575</xdr:colOff>
                <xdr:row>59</xdr:row>
                <xdr:rowOff>9525</xdr:rowOff>
              </from>
              <to>
                <xdr:col>9</xdr:col>
                <xdr:colOff>0</xdr:colOff>
                <xdr:row>60</xdr:row>
                <xdr:rowOff>0</xdr:rowOff>
              </to>
            </anchor>
          </controlPr>
        </control>
      </mc:Choice>
      <mc:Fallback>
        <control shapeId="8340" r:id="rId15" name="ComboBox34"/>
      </mc:Fallback>
    </mc:AlternateContent>
    <mc:AlternateContent xmlns:mc="http://schemas.openxmlformats.org/markup-compatibility/2006">
      <mc:Choice Requires="x14">
        <control shapeId="8339" r:id="rId16" name="ComboBox32">
          <controlPr defaultSize="0" autoLine="0" linkedCell="I54" listFillRange="Attributes1!F11:F12" r:id="rId5">
            <anchor moveWithCells="1">
              <from>
                <xdr:col>8</xdr:col>
                <xdr:colOff>19050</xdr:colOff>
                <xdr:row>53</xdr:row>
                <xdr:rowOff>9525</xdr:rowOff>
              </from>
              <to>
                <xdr:col>9</xdr:col>
                <xdr:colOff>0</xdr:colOff>
                <xdr:row>54</xdr:row>
                <xdr:rowOff>0</xdr:rowOff>
              </to>
            </anchor>
          </controlPr>
        </control>
      </mc:Choice>
      <mc:Fallback>
        <control shapeId="8339" r:id="rId16" name="ComboBox32"/>
      </mc:Fallback>
    </mc:AlternateContent>
    <mc:AlternateContent xmlns:mc="http://schemas.openxmlformats.org/markup-compatibility/2006">
      <mc:Choice Requires="x14">
        <control shapeId="8338" r:id="rId17" name="ComboBox30">
          <controlPr defaultSize="0" autoLine="0" linkedCell="I48" listFillRange="Attributes1!F11:F12" r:id="rId5">
            <anchor moveWithCells="1">
              <from>
                <xdr:col>8</xdr:col>
                <xdr:colOff>19050</xdr:colOff>
                <xdr:row>47</xdr:row>
                <xdr:rowOff>9525</xdr:rowOff>
              </from>
              <to>
                <xdr:col>9</xdr:col>
                <xdr:colOff>0</xdr:colOff>
                <xdr:row>48</xdr:row>
                <xdr:rowOff>0</xdr:rowOff>
              </to>
            </anchor>
          </controlPr>
        </control>
      </mc:Choice>
      <mc:Fallback>
        <control shapeId="8338" r:id="rId17" name="ComboBox30"/>
      </mc:Fallback>
    </mc:AlternateContent>
    <mc:AlternateContent xmlns:mc="http://schemas.openxmlformats.org/markup-compatibility/2006">
      <mc:Choice Requires="x14">
        <control shapeId="8337" r:id="rId18" name="ComboBox35">
          <controlPr defaultSize="0" autoLine="0" linkedCell="I18" listFillRange="Attributes1!F11:F12" r:id="rId5">
            <anchor moveWithCells="1">
              <from>
                <xdr:col>8</xdr:col>
                <xdr:colOff>19050</xdr:colOff>
                <xdr:row>17</xdr:row>
                <xdr:rowOff>9525</xdr:rowOff>
              </from>
              <to>
                <xdr:col>9</xdr:col>
                <xdr:colOff>0</xdr:colOff>
                <xdr:row>18</xdr:row>
                <xdr:rowOff>0</xdr:rowOff>
              </to>
            </anchor>
          </controlPr>
        </control>
      </mc:Choice>
      <mc:Fallback>
        <control shapeId="8337" r:id="rId18" name="ComboBox35"/>
      </mc:Fallback>
    </mc:AlternateContent>
    <mc:AlternateContent xmlns:mc="http://schemas.openxmlformats.org/markup-compatibility/2006">
      <mc:Choice Requires="x14">
        <control shapeId="8335" r:id="rId19" name="ComboBox33">
          <controlPr defaultSize="0" autoLine="0" linkedCell="I10" listFillRange="Attributes1!F11:F12" r:id="rId5">
            <anchor moveWithCells="1">
              <from>
                <xdr:col>8</xdr:col>
                <xdr:colOff>19050</xdr:colOff>
                <xdr:row>9</xdr:row>
                <xdr:rowOff>9525</xdr:rowOff>
              </from>
              <to>
                <xdr:col>9</xdr:col>
                <xdr:colOff>0</xdr:colOff>
                <xdr:row>10</xdr:row>
                <xdr:rowOff>0</xdr:rowOff>
              </to>
            </anchor>
          </controlPr>
        </control>
      </mc:Choice>
      <mc:Fallback>
        <control shapeId="8335" r:id="rId19" name="ComboBox33"/>
      </mc:Fallback>
    </mc:AlternateContent>
    <mc:AlternateContent xmlns:mc="http://schemas.openxmlformats.org/markup-compatibility/2006">
      <mc:Choice Requires="x14">
        <control shapeId="8333" r:id="rId20" name="ComboBox31">
          <controlPr defaultSize="0" autoLine="0" linkedCell="D82" listFillRange="Attributes1!F11:F12" r:id="rId5">
            <anchor moveWithCells="1">
              <from>
                <xdr:col>3</xdr:col>
                <xdr:colOff>19050</xdr:colOff>
                <xdr:row>81</xdr:row>
                <xdr:rowOff>9525</xdr:rowOff>
              </from>
              <to>
                <xdr:col>4</xdr:col>
                <xdr:colOff>9525</xdr:colOff>
                <xdr:row>82</xdr:row>
                <xdr:rowOff>0</xdr:rowOff>
              </to>
            </anchor>
          </controlPr>
        </control>
      </mc:Choice>
      <mc:Fallback>
        <control shapeId="8333" r:id="rId20" name="ComboBox31"/>
      </mc:Fallback>
    </mc:AlternateContent>
    <mc:AlternateContent xmlns:mc="http://schemas.openxmlformats.org/markup-compatibility/2006">
      <mc:Choice Requires="x14">
        <control shapeId="8331" r:id="rId21" name="ComboBox29">
          <controlPr defaultSize="0" autoLine="0" linkedCell="D66" listFillRange="Attributes1!F11:F12" r:id="rId5">
            <anchor moveWithCells="1">
              <from>
                <xdr:col>3</xdr:col>
                <xdr:colOff>9525</xdr:colOff>
                <xdr:row>65</xdr:row>
                <xdr:rowOff>9525</xdr:rowOff>
              </from>
              <to>
                <xdr:col>4</xdr:col>
                <xdr:colOff>0</xdr:colOff>
                <xdr:row>66</xdr:row>
                <xdr:rowOff>0</xdr:rowOff>
              </to>
            </anchor>
          </controlPr>
        </control>
      </mc:Choice>
      <mc:Fallback>
        <control shapeId="8331" r:id="rId21" name="ComboBox29"/>
      </mc:Fallback>
    </mc:AlternateContent>
    <mc:AlternateContent xmlns:mc="http://schemas.openxmlformats.org/markup-compatibility/2006">
      <mc:Choice Requires="x14">
        <control shapeId="8328" r:id="rId22" name="ComboBox27">
          <controlPr defaultSize="0" autoLine="0" linkedCell="D62" listFillRange="Attributes1!F11:F12" r:id="rId5">
            <anchor moveWithCells="1">
              <from>
                <xdr:col>3</xdr:col>
                <xdr:colOff>9525</xdr:colOff>
                <xdr:row>61</xdr:row>
                <xdr:rowOff>9525</xdr:rowOff>
              </from>
              <to>
                <xdr:col>4</xdr:col>
                <xdr:colOff>0</xdr:colOff>
                <xdr:row>62</xdr:row>
                <xdr:rowOff>0</xdr:rowOff>
              </to>
            </anchor>
          </controlPr>
        </control>
      </mc:Choice>
      <mc:Fallback>
        <control shapeId="8328" r:id="rId22" name="ComboBox27"/>
      </mc:Fallback>
    </mc:AlternateContent>
    <mc:AlternateContent xmlns:mc="http://schemas.openxmlformats.org/markup-compatibility/2006">
      <mc:Choice Requires="x14">
        <control shapeId="8327" r:id="rId23" name="ComboBox26">
          <controlPr defaultSize="0" autoLine="0" linkedCell="D56" listFillRange="Attributes1!F11:F12" r:id="rId5">
            <anchor moveWithCells="1">
              <from>
                <xdr:col>3</xdr:col>
                <xdr:colOff>9525</xdr:colOff>
                <xdr:row>55</xdr:row>
                <xdr:rowOff>9525</xdr:rowOff>
              </from>
              <to>
                <xdr:col>4</xdr:col>
                <xdr:colOff>0</xdr:colOff>
                <xdr:row>56</xdr:row>
                <xdr:rowOff>0</xdr:rowOff>
              </to>
            </anchor>
          </controlPr>
        </control>
      </mc:Choice>
      <mc:Fallback>
        <control shapeId="8327" r:id="rId23" name="ComboBox26"/>
      </mc:Fallback>
    </mc:AlternateContent>
    <mc:AlternateContent xmlns:mc="http://schemas.openxmlformats.org/markup-compatibility/2006">
      <mc:Choice Requires="x14">
        <control shapeId="8323" r:id="rId24" name="ComboBox25">
          <controlPr defaultSize="0" autoLine="0" linkedCell="D80" listFillRange="Attributes1!AH3:AI461" r:id="rId5">
            <anchor moveWithCells="1">
              <from>
                <xdr:col>3</xdr:col>
                <xdr:colOff>9525</xdr:colOff>
                <xdr:row>79</xdr:row>
                <xdr:rowOff>9525</xdr:rowOff>
              </from>
              <to>
                <xdr:col>4</xdr:col>
                <xdr:colOff>0</xdr:colOff>
                <xdr:row>80</xdr:row>
                <xdr:rowOff>0</xdr:rowOff>
              </to>
            </anchor>
          </controlPr>
        </control>
      </mc:Choice>
      <mc:Fallback>
        <control shapeId="8323" r:id="rId24" name="ComboBox25"/>
      </mc:Fallback>
    </mc:AlternateContent>
    <mc:AlternateContent xmlns:mc="http://schemas.openxmlformats.org/markup-compatibility/2006">
      <mc:Choice Requires="x14">
        <control shapeId="8322" r:id="rId25" name="ComboBox24">
          <controlPr defaultSize="0" autoLine="0" linkedCell="D50" listFillRange="Attributes1!AE3:AF18" r:id="rId5">
            <anchor moveWithCells="1">
              <from>
                <xdr:col>3</xdr:col>
                <xdr:colOff>19050</xdr:colOff>
                <xdr:row>49</xdr:row>
                <xdr:rowOff>9525</xdr:rowOff>
              </from>
              <to>
                <xdr:col>4</xdr:col>
                <xdr:colOff>9525</xdr:colOff>
                <xdr:row>50</xdr:row>
                <xdr:rowOff>0</xdr:rowOff>
              </to>
            </anchor>
          </controlPr>
        </control>
      </mc:Choice>
      <mc:Fallback>
        <control shapeId="8322" r:id="rId25" name="ComboBox24"/>
      </mc:Fallback>
    </mc:AlternateContent>
    <mc:AlternateContent xmlns:mc="http://schemas.openxmlformats.org/markup-compatibility/2006">
      <mc:Choice Requires="x14">
        <control shapeId="8310" r:id="rId26" name="ComboBox23">
          <controlPr defaultSize="0" autoLine="0" linkedCell="I64" r:id="rId5">
            <anchor moveWithCells="1">
              <from>
                <xdr:col>8</xdr:col>
                <xdr:colOff>19050</xdr:colOff>
                <xdr:row>63</xdr:row>
                <xdr:rowOff>9525</xdr:rowOff>
              </from>
              <to>
                <xdr:col>9</xdr:col>
                <xdr:colOff>0</xdr:colOff>
                <xdr:row>64</xdr:row>
                <xdr:rowOff>0</xdr:rowOff>
              </to>
            </anchor>
          </controlPr>
        </control>
      </mc:Choice>
      <mc:Fallback>
        <control shapeId="8310" r:id="rId26" name="ComboBox23"/>
      </mc:Fallback>
    </mc:AlternateContent>
    <mc:AlternateContent xmlns:mc="http://schemas.openxmlformats.org/markup-compatibility/2006">
      <mc:Choice Requires="x14">
        <control shapeId="8309" r:id="rId27" name="ComboBox22">
          <controlPr defaultSize="0" autoLine="0" linkedCell="I62" listFillRange="Attributes1!AA3:AB5" r:id="rId7">
            <anchor moveWithCells="1">
              <from>
                <xdr:col>8</xdr:col>
                <xdr:colOff>19050</xdr:colOff>
                <xdr:row>61</xdr:row>
                <xdr:rowOff>9525</xdr:rowOff>
              </from>
              <to>
                <xdr:col>9</xdr:col>
                <xdr:colOff>9525</xdr:colOff>
                <xdr:row>62</xdr:row>
                <xdr:rowOff>0</xdr:rowOff>
              </to>
            </anchor>
          </controlPr>
        </control>
      </mc:Choice>
      <mc:Fallback>
        <control shapeId="8309" r:id="rId27" name="ComboBox22"/>
      </mc:Fallback>
    </mc:AlternateContent>
    <mc:AlternateContent xmlns:mc="http://schemas.openxmlformats.org/markup-compatibility/2006">
      <mc:Choice Requires="x14">
        <control shapeId="8232" r:id="rId28" name="ComboBox10">
          <controlPr defaultSize="0" autoLine="0" linkedCell="D40" listFillRange="Attributes1!B43:B499" r:id="rId5">
            <anchor moveWithCells="1">
              <from>
                <xdr:col>3</xdr:col>
                <xdr:colOff>9525</xdr:colOff>
                <xdr:row>39</xdr:row>
                <xdr:rowOff>9525</xdr:rowOff>
              </from>
              <to>
                <xdr:col>4</xdr:col>
                <xdr:colOff>0</xdr:colOff>
                <xdr:row>40</xdr:row>
                <xdr:rowOff>0</xdr:rowOff>
              </to>
            </anchor>
          </controlPr>
        </control>
      </mc:Choice>
      <mc:Fallback>
        <control shapeId="8232" r:id="rId28" name="ComboBox10"/>
      </mc:Fallback>
    </mc:AlternateContent>
    <mc:AlternateContent xmlns:mc="http://schemas.openxmlformats.org/markup-compatibility/2006">
      <mc:Choice Requires="x14">
        <control shapeId="8231" r:id="rId29" name="ComboBox9">
          <controlPr defaultSize="0" autoLine="0" linkedCell="D42" listFillRange="Attributes3!H3:I56" r:id="rId14">
            <anchor moveWithCells="1">
              <from>
                <xdr:col>3</xdr:col>
                <xdr:colOff>19050</xdr:colOff>
                <xdr:row>41</xdr:row>
                <xdr:rowOff>9525</xdr:rowOff>
              </from>
              <to>
                <xdr:col>4</xdr:col>
                <xdr:colOff>0</xdr:colOff>
                <xdr:row>42</xdr:row>
                <xdr:rowOff>0</xdr:rowOff>
              </to>
            </anchor>
          </controlPr>
        </control>
      </mc:Choice>
      <mc:Fallback>
        <control shapeId="8231" r:id="rId29" name="ComboBox9"/>
      </mc:Fallback>
    </mc:AlternateContent>
    <mc:AlternateContent xmlns:mc="http://schemas.openxmlformats.org/markup-compatibility/2006">
      <mc:Choice Requires="x14">
        <control shapeId="8229" r:id="rId30" name="ComboBox7">
          <controlPr defaultSize="0" autoLine="0" linkedCell="D18" listFillRange="Attributes3!E3:F518" r:id="rId5">
            <anchor moveWithCells="1">
              <from>
                <xdr:col>3</xdr:col>
                <xdr:colOff>9525</xdr:colOff>
                <xdr:row>17</xdr:row>
                <xdr:rowOff>9525</xdr:rowOff>
              </from>
              <to>
                <xdr:col>4</xdr:col>
                <xdr:colOff>0</xdr:colOff>
                <xdr:row>18</xdr:row>
                <xdr:rowOff>0</xdr:rowOff>
              </to>
            </anchor>
          </controlPr>
        </control>
      </mc:Choice>
      <mc:Fallback>
        <control shapeId="8229" r:id="rId30" name="ComboBox7"/>
      </mc:Fallback>
    </mc:AlternateContent>
    <mc:AlternateContent xmlns:mc="http://schemas.openxmlformats.org/markup-compatibility/2006">
      <mc:Choice Requires="x14">
        <control shapeId="8227" r:id="rId31" name="ComboBox5">
          <controlPr defaultSize="0" autoLine="0" linkedCell="D22" listFillRange="Attributes1!F11:F12" r:id="rId5">
            <anchor moveWithCells="1">
              <from>
                <xdr:col>3</xdr:col>
                <xdr:colOff>9525</xdr:colOff>
                <xdr:row>21</xdr:row>
                <xdr:rowOff>9525</xdr:rowOff>
              </from>
              <to>
                <xdr:col>4</xdr:col>
                <xdr:colOff>0</xdr:colOff>
                <xdr:row>22</xdr:row>
                <xdr:rowOff>0</xdr:rowOff>
              </to>
            </anchor>
          </controlPr>
        </control>
      </mc:Choice>
      <mc:Fallback>
        <control shapeId="8227" r:id="rId31" name="ComboBox5"/>
      </mc:Fallback>
    </mc:AlternateContent>
    <mc:AlternateContent xmlns:mc="http://schemas.openxmlformats.org/markup-compatibility/2006">
      <mc:Choice Requires="x14">
        <control shapeId="8225" r:id="rId32" name="ComboBox3">
          <controlPr defaultSize="0" autoLine="0" linkedCell="D16" listFillRange="Attributes3!B386:B652" r:id="rId5">
            <anchor moveWithCells="1">
              <from>
                <xdr:col>3</xdr:col>
                <xdr:colOff>9525</xdr:colOff>
                <xdr:row>15</xdr:row>
                <xdr:rowOff>9525</xdr:rowOff>
              </from>
              <to>
                <xdr:col>4</xdr:col>
                <xdr:colOff>0</xdr:colOff>
                <xdr:row>16</xdr:row>
                <xdr:rowOff>0</xdr:rowOff>
              </to>
            </anchor>
          </controlPr>
        </control>
      </mc:Choice>
      <mc:Fallback>
        <control shapeId="8225" r:id="rId32" name="ComboBox3"/>
      </mc:Fallback>
    </mc:AlternateContent>
    <mc:AlternateContent xmlns:mc="http://schemas.openxmlformats.org/markup-compatibility/2006">
      <mc:Choice Requires="x14">
        <control shapeId="8273" r:id="rId33" name="ComboBox11">
          <controlPr defaultSize="0" autoLine="0" linkedCell="D54" listFillRange="Attributes1!B550:C1096" r:id="rId5">
            <anchor moveWithCells="1">
              <from>
                <xdr:col>3</xdr:col>
                <xdr:colOff>9525</xdr:colOff>
                <xdr:row>53</xdr:row>
                <xdr:rowOff>9525</xdr:rowOff>
              </from>
              <to>
                <xdr:col>4</xdr:col>
                <xdr:colOff>0</xdr:colOff>
                <xdr:row>54</xdr:row>
                <xdr:rowOff>0</xdr:rowOff>
              </to>
            </anchor>
          </controlPr>
        </control>
      </mc:Choice>
      <mc:Fallback>
        <control shapeId="8273" r:id="rId33" name="ComboBox11"/>
      </mc:Fallback>
    </mc:AlternateContent>
    <mc:AlternateContent xmlns:mc="http://schemas.openxmlformats.org/markup-compatibility/2006">
      <mc:Choice Requires="x14">
        <control shapeId="8274" r:id="rId34" name="ComboBox4">
          <controlPr defaultSize="0" autoLine="0" linkedCell="D12" r:id="rId5">
            <anchor moveWithCells="1">
              <from>
                <xdr:col>3</xdr:col>
                <xdr:colOff>19050</xdr:colOff>
                <xdr:row>11</xdr:row>
                <xdr:rowOff>9525</xdr:rowOff>
              </from>
              <to>
                <xdr:col>4</xdr:col>
                <xdr:colOff>9525</xdr:colOff>
                <xdr:row>12</xdr:row>
                <xdr:rowOff>0</xdr:rowOff>
              </to>
            </anchor>
          </controlPr>
        </control>
      </mc:Choice>
      <mc:Fallback>
        <control shapeId="8274" r:id="rId34" name="ComboBox4"/>
      </mc:Fallback>
    </mc:AlternateContent>
    <mc:AlternateContent xmlns:mc="http://schemas.openxmlformats.org/markup-compatibility/2006">
      <mc:Choice Requires="x14">
        <control shapeId="8284" r:id="rId35" name="ComboBox8">
          <controlPr defaultSize="0" autoFill="0" autoLine="0" linkedCell="D64" listFillRange="Attributes3!E3:F518" r:id="rId5">
            <anchor moveWithCells="1">
              <from>
                <xdr:col>3</xdr:col>
                <xdr:colOff>9525</xdr:colOff>
                <xdr:row>63</xdr:row>
                <xdr:rowOff>9525</xdr:rowOff>
              </from>
              <to>
                <xdr:col>4</xdr:col>
                <xdr:colOff>0</xdr:colOff>
                <xdr:row>64</xdr:row>
                <xdr:rowOff>0</xdr:rowOff>
              </to>
            </anchor>
          </controlPr>
        </control>
      </mc:Choice>
      <mc:Fallback>
        <control shapeId="8284" r:id="rId35" name="ComboBox8"/>
      </mc:Fallback>
    </mc:AlternateContent>
    <mc:AlternateContent xmlns:mc="http://schemas.openxmlformats.org/markup-compatibility/2006">
      <mc:Choice Requires="x14">
        <control shapeId="8286" r:id="rId36" name="ComboBox12">
          <controlPr defaultSize="0" autoLine="0" linkedCell="I4" listFillRange="Attributes1!F11:F12" r:id="rId12">
            <anchor moveWithCells="1">
              <from>
                <xdr:col>8</xdr:col>
                <xdr:colOff>38100</xdr:colOff>
                <xdr:row>3</xdr:row>
                <xdr:rowOff>9525</xdr:rowOff>
              </from>
              <to>
                <xdr:col>9</xdr:col>
                <xdr:colOff>0</xdr:colOff>
                <xdr:row>4</xdr:row>
                <xdr:rowOff>0</xdr:rowOff>
              </to>
            </anchor>
          </controlPr>
        </control>
      </mc:Choice>
      <mc:Fallback>
        <control shapeId="8286" r:id="rId36" name="ComboBox12"/>
      </mc:Fallback>
    </mc:AlternateContent>
    <mc:AlternateContent xmlns:mc="http://schemas.openxmlformats.org/markup-compatibility/2006">
      <mc:Choice Requires="x14">
        <control shapeId="8290" r:id="rId37" name="ComboBox13">
          <controlPr defaultSize="0" autoLine="0" linkedCell="D72" listFillRange="Attributes1!I3:I1018" r:id="rId38">
            <anchor moveWithCells="1">
              <from>
                <xdr:col>3</xdr:col>
                <xdr:colOff>9525</xdr:colOff>
                <xdr:row>71</xdr:row>
                <xdr:rowOff>9525</xdr:rowOff>
              </from>
              <to>
                <xdr:col>4</xdr:col>
                <xdr:colOff>0</xdr:colOff>
                <xdr:row>71</xdr:row>
                <xdr:rowOff>200025</xdr:rowOff>
              </to>
            </anchor>
          </controlPr>
        </control>
      </mc:Choice>
      <mc:Fallback>
        <control shapeId="8290" r:id="rId37" name="ComboBox13"/>
      </mc:Fallback>
    </mc:AlternateContent>
    <mc:AlternateContent xmlns:mc="http://schemas.openxmlformats.org/markup-compatibility/2006">
      <mc:Choice Requires="x14">
        <control shapeId="8292" r:id="rId39" name="ComboBox14">
          <controlPr defaultSize="0" autoLine="0" linkedCell="D78" listFillRange="Attributes1!L3:M9" r:id="rId12">
            <anchor moveWithCells="1">
              <from>
                <xdr:col>3</xdr:col>
                <xdr:colOff>28575</xdr:colOff>
                <xdr:row>77</xdr:row>
                <xdr:rowOff>9525</xdr:rowOff>
              </from>
              <to>
                <xdr:col>4</xdr:col>
                <xdr:colOff>0</xdr:colOff>
                <xdr:row>78</xdr:row>
                <xdr:rowOff>0</xdr:rowOff>
              </to>
            </anchor>
          </controlPr>
        </control>
      </mc:Choice>
      <mc:Fallback>
        <control shapeId="8292" r:id="rId39" name="ComboBox14"/>
      </mc:Fallback>
    </mc:AlternateContent>
    <mc:AlternateContent xmlns:mc="http://schemas.openxmlformats.org/markup-compatibility/2006">
      <mc:Choice Requires="x14">
        <control shapeId="8302" r:id="rId40" name="ComboBox20">
          <controlPr defaultSize="0" autoLine="0" linkedCell="I50" listFillRange="Attributes1!U3:V5" r:id="rId5">
            <anchor moveWithCells="1">
              <from>
                <xdr:col>8</xdr:col>
                <xdr:colOff>19050</xdr:colOff>
                <xdr:row>49</xdr:row>
                <xdr:rowOff>9525</xdr:rowOff>
              </from>
              <to>
                <xdr:col>9</xdr:col>
                <xdr:colOff>0</xdr:colOff>
                <xdr:row>50</xdr:row>
                <xdr:rowOff>0</xdr:rowOff>
              </to>
            </anchor>
          </controlPr>
        </control>
      </mc:Choice>
      <mc:Fallback>
        <control shapeId="8302" r:id="rId40" name="ComboBox20"/>
      </mc:Fallback>
    </mc:AlternateContent>
    <mc:AlternateContent xmlns:mc="http://schemas.openxmlformats.org/markup-compatibility/2006">
      <mc:Choice Requires="x14">
        <control shapeId="8304" r:id="rId41" name="ComboBox17">
          <controlPr defaultSize="0" autoLine="0" linkedCell="I52" r:id="rId5">
            <anchor moveWithCells="1">
              <from>
                <xdr:col>8</xdr:col>
                <xdr:colOff>28575</xdr:colOff>
                <xdr:row>51</xdr:row>
                <xdr:rowOff>9525</xdr:rowOff>
              </from>
              <to>
                <xdr:col>9</xdr:col>
                <xdr:colOff>9525</xdr:colOff>
                <xdr:row>52</xdr:row>
                <xdr:rowOff>0</xdr:rowOff>
              </to>
            </anchor>
          </controlPr>
        </control>
      </mc:Choice>
      <mc:Fallback>
        <control shapeId="8304" r:id="rId41" name="ComboBox17"/>
      </mc:Fallback>
    </mc:AlternateContent>
    <mc:AlternateContent xmlns:mc="http://schemas.openxmlformats.org/markup-compatibility/2006">
      <mc:Choice Requires="x14">
        <control shapeId="8307" r:id="rId42" name="ComboBox19">
          <controlPr defaultSize="0" autoLine="0" linkedCell="I56" listFillRange="Attributes1!X3:Y5" r:id="rId5">
            <anchor moveWithCells="1">
              <from>
                <xdr:col>8</xdr:col>
                <xdr:colOff>19050</xdr:colOff>
                <xdr:row>55</xdr:row>
                <xdr:rowOff>9525</xdr:rowOff>
              </from>
              <to>
                <xdr:col>9</xdr:col>
                <xdr:colOff>0</xdr:colOff>
                <xdr:row>56</xdr:row>
                <xdr:rowOff>0</xdr:rowOff>
              </to>
            </anchor>
          </controlPr>
        </control>
      </mc:Choice>
      <mc:Fallback>
        <control shapeId="8307" r:id="rId42" name="ComboBox19"/>
      </mc:Fallback>
    </mc:AlternateContent>
    <mc:AlternateContent xmlns:mc="http://schemas.openxmlformats.org/markup-compatibility/2006">
      <mc:Choice Requires="x14">
        <control shapeId="8308" r:id="rId43" name="ComboBox21">
          <controlPr defaultSize="0" autoLine="0" linkedCell="I58" r:id="rId14">
            <anchor moveWithCells="1">
              <from>
                <xdr:col>8</xdr:col>
                <xdr:colOff>38100</xdr:colOff>
                <xdr:row>57</xdr:row>
                <xdr:rowOff>9525</xdr:rowOff>
              </from>
              <to>
                <xdr:col>9</xdr:col>
                <xdr:colOff>9525</xdr:colOff>
                <xdr:row>58</xdr:row>
                <xdr:rowOff>0</xdr:rowOff>
              </to>
            </anchor>
          </controlPr>
        </control>
      </mc:Choice>
      <mc:Fallback>
        <control shapeId="8308" r:id="rId43" name="ComboBox21"/>
      </mc:Fallback>
    </mc:AlternateContent>
    <mc:AlternateContent xmlns:mc="http://schemas.openxmlformats.org/markup-compatibility/2006">
      <mc:Choice Requires="x14">
        <control shapeId="8320" r:id="rId44" name="ComboBox15">
          <controlPr defaultSize="0" autoLine="0" linkedCell="I6" listFillRange="Attributes1!F11:F12" r:id="rId7">
            <anchor moveWithCells="1">
              <from>
                <xdr:col>8</xdr:col>
                <xdr:colOff>19050</xdr:colOff>
                <xdr:row>5</xdr:row>
                <xdr:rowOff>9525</xdr:rowOff>
              </from>
              <to>
                <xdr:col>9</xdr:col>
                <xdr:colOff>9525</xdr:colOff>
                <xdr:row>6</xdr:row>
                <xdr:rowOff>0</xdr:rowOff>
              </to>
            </anchor>
          </controlPr>
        </control>
      </mc:Choice>
      <mc:Fallback>
        <control shapeId="8320" r:id="rId44" name="ComboBox15"/>
      </mc:Fallback>
    </mc:AlternateContent>
    <mc:AlternateContent xmlns:mc="http://schemas.openxmlformats.org/markup-compatibility/2006">
      <mc:Choice Requires="x14">
        <control shapeId="8346" r:id="rId45" name="ComboBox1">
          <controlPr defaultSize="0" autoLine="0" linkedCell="D8" listFillRange="Attributes1!B3:C20" r:id="rId5">
            <anchor moveWithCells="1">
              <from>
                <xdr:col>3</xdr:col>
                <xdr:colOff>19050</xdr:colOff>
                <xdr:row>7</xdr:row>
                <xdr:rowOff>9525</xdr:rowOff>
              </from>
              <to>
                <xdr:col>4</xdr:col>
                <xdr:colOff>9525</xdr:colOff>
                <xdr:row>8</xdr:row>
                <xdr:rowOff>0</xdr:rowOff>
              </to>
            </anchor>
          </controlPr>
        </control>
      </mc:Choice>
      <mc:Fallback>
        <control shapeId="8346" r:id="rId45" name="ComboBox1"/>
      </mc:Fallback>
    </mc:AlternateContent>
    <mc:AlternateContent xmlns:mc="http://schemas.openxmlformats.org/markup-compatibility/2006">
      <mc:Choice Requires="x14">
        <control shapeId="8349" r:id="rId46" name="ComboBox28">
          <controlPr defaultSize="0" autoLine="0" linkedCell="I12" listFillRange="Attributes1!F11:F12" r:id="rId12">
            <anchor moveWithCells="1">
              <from>
                <xdr:col>8</xdr:col>
                <xdr:colOff>38100</xdr:colOff>
                <xdr:row>11</xdr:row>
                <xdr:rowOff>9525</xdr:rowOff>
              </from>
              <to>
                <xdr:col>9</xdr:col>
                <xdr:colOff>0</xdr:colOff>
                <xdr:row>12</xdr:row>
                <xdr:rowOff>0</xdr:rowOff>
              </to>
            </anchor>
          </controlPr>
        </control>
      </mc:Choice>
      <mc:Fallback>
        <control shapeId="8349" r:id="rId46" name="ComboBox28"/>
      </mc:Fallback>
    </mc:AlternateContent>
    <mc:AlternateContent xmlns:mc="http://schemas.openxmlformats.org/markup-compatibility/2006">
      <mc:Choice Requires="x14">
        <control shapeId="8351" r:id="rId47" name="ComboBox36">
          <controlPr defaultSize="0" autoLine="0" linkedCell="I14" listFillRange="Attributes1!F11:F12" r:id="rId5">
            <anchor moveWithCells="1">
              <from>
                <xdr:col>8</xdr:col>
                <xdr:colOff>19050</xdr:colOff>
                <xdr:row>13</xdr:row>
                <xdr:rowOff>9525</xdr:rowOff>
              </from>
              <to>
                <xdr:col>9</xdr:col>
                <xdr:colOff>0</xdr:colOff>
                <xdr:row>14</xdr:row>
                <xdr:rowOff>0</xdr:rowOff>
              </to>
            </anchor>
          </controlPr>
        </control>
      </mc:Choice>
      <mc:Fallback>
        <control shapeId="8351" r:id="rId47" name="ComboBox36"/>
      </mc:Fallback>
    </mc:AlternateContent>
    <mc:AlternateContent xmlns:mc="http://schemas.openxmlformats.org/markup-compatibility/2006">
      <mc:Choice Requires="x14">
        <control shapeId="8364" r:id="rId48" name="ComboBox44">
          <controlPr defaultSize="0" autoLine="0" linkedCell="D94" listFillRange="Attributes1!BG3:BH50" r:id="rId14">
            <anchor moveWithCells="1">
              <from>
                <xdr:col>3</xdr:col>
                <xdr:colOff>19050</xdr:colOff>
                <xdr:row>93</xdr:row>
                <xdr:rowOff>9525</xdr:rowOff>
              </from>
              <to>
                <xdr:col>4</xdr:col>
                <xdr:colOff>0</xdr:colOff>
                <xdr:row>94</xdr:row>
                <xdr:rowOff>0</xdr:rowOff>
              </to>
            </anchor>
          </controlPr>
        </control>
      </mc:Choice>
      <mc:Fallback>
        <control shapeId="8364" r:id="rId48" name="ComboBox44"/>
      </mc:Fallback>
    </mc:AlternateContent>
    <mc:AlternateContent xmlns:mc="http://schemas.openxmlformats.org/markup-compatibility/2006">
      <mc:Choice Requires="x14">
        <control shapeId="8367" r:id="rId49" name="ComboBox16">
          <controlPr defaultSize="0" autoLine="0" linkedCell="I68" listFillRange="Attributes1!F11:F12" r:id="rId7">
            <anchor moveWithCells="1">
              <from>
                <xdr:col>8</xdr:col>
                <xdr:colOff>19050</xdr:colOff>
                <xdr:row>67</xdr:row>
                <xdr:rowOff>9525</xdr:rowOff>
              </from>
              <to>
                <xdr:col>9</xdr:col>
                <xdr:colOff>9525</xdr:colOff>
                <xdr:row>68</xdr:row>
                <xdr:rowOff>0</xdr:rowOff>
              </to>
            </anchor>
          </controlPr>
        </control>
      </mc:Choice>
      <mc:Fallback>
        <control shapeId="8367" r:id="rId49" name="ComboBox16"/>
      </mc:Fallback>
    </mc:AlternateContent>
    <mc:AlternateContent xmlns:mc="http://schemas.openxmlformats.org/markup-compatibility/2006">
      <mc:Choice Requires="x14">
        <control shapeId="8368" r:id="rId50" name="ComboBox18">
          <controlPr defaultSize="0" autoLine="0" linkedCell="I70" listFillRange="Attributes1!F11:F12" r:id="rId7">
            <anchor moveWithCells="1">
              <from>
                <xdr:col>8</xdr:col>
                <xdr:colOff>19050</xdr:colOff>
                <xdr:row>69</xdr:row>
                <xdr:rowOff>9525</xdr:rowOff>
              </from>
              <to>
                <xdr:col>9</xdr:col>
                <xdr:colOff>9525</xdr:colOff>
                <xdr:row>70</xdr:row>
                <xdr:rowOff>0</xdr:rowOff>
              </to>
            </anchor>
          </controlPr>
        </control>
      </mc:Choice>
      <mc:Fallback>
        <control shapeId="8368" r:id="rId50" name="ComboBox18"/>
      </mc:Fallback>
    </mc:AlternateContent>
    <mc:AlternateContent xmlns:mc="http://schemas.openxmlformats.org/markup-compatibility/2006">
      <mc:Choice Requires="x14">
        <control shapeId="8369" r:id="rId51" name="ComboBox45">
          <controlPr defaultSize="0" autoLine="0" linkedCell="I72" listFillRange="Attributes1!F11:F12" r:id="rId7">
            <anchor moveWithCells="1">
              <from>
                <xdr:col>8</xdr:col>
                <xdr:colOff>19050</xdr:colOff>
                <xdr:row>71</xdr:row>
                <xdr:rowOff>9525</xdr:rowOff>
              </from>
              <to>
                <xdr:col>9</xdr:col>
                <xdr:colOff>9525</xdr:colOff>
                <xdr:row>72</xdr:row>
                <xdr:rowOff>0</xdr:rowOff>
              </to>
            </anchor>
          </controlPr>
        </control>
      </mc:Choice>
      <mc:Fallback>
        <control shapeId="8369" r:id="rId51" name="ComboBox45"/>
      </mc:Fallback>
    </mc:AlternateContent>
    <mc:AlternateContent xmlns:mc="http://schemas.openxmlformats.org/markup-compatibility/2006">
      <mc:Choice Requires="x14">
        <control shapeId="8370" r:id="rId52" name="ComboBox46">
          <controlPr defaultSize="0" autoLine="0" linkedCell="I74" listFillRange="Attributes1!F11:F12" r:id="rId7">
            <anchor moveWithCells="1">
              <from>
                <xdr:col>8</xdr:col>
                <xdr:colOff>19050</xdr:colOff>
                <xdr:row>73</xdr:row>
                <xdr:rowOff>9525</xdr:rowOff>
              </from>
              <to>
                <xdr:col>9</xdr:col>
                <xdr:colOff>9525</xdr:colOff>
                <xdr:row>74</xdr:row>
                <xdr:rowOff>0</xdr:rowOff>
              </to>
            </anchor>
          </controlPr>
        </control>
      </mc:Choice>
      <mc:Fallback>
        <control shapeId="8370" r:id="rId52" name="ComboBox46"/>
      </mc:Fallback>
    </mc:AlternateContent>
    <mc:AlternateContent xmlns:mc="http://schemas.openxmlformats.org/markup-compatibility/2006">
      <mc:Choice Requires="x14">
        <control shapeId="8371" r:id="rId53" name="ComboBox37">
          <controlPr defaultSize="0" autoLine="0" linkedCell="I80" listFillRange="Attributes1!BJ3:BK13" r:id="rId7">
            <anchor moveWithCells="1">
              <from>
                <xdr:col>8</xdr:col>
                <xdr:colOff>19050</xdr:colOff>
                <xdr:row>79</xdr:row>
                <xdr:rowOff>9525</xdr:rowOff>
              </from>
              <to>
                <xdr:col>9</xdr:col>
                <xdr:colOff>9525</xdr:colOff>
                <xdr:row>80</xdr:row>
                <xdr:rowOff>0</xdr:rowOff>
              </to>
            </anchor>
          </controlPr>
        </control>
      </mc:Choice>
      <mc:Fallback>
        <control shapeId="8371" r:id="rId53" name="ComboBox37"/>
      </mc:Fallback>
    </mc:AlternateContent>
    <mc:AlternateContent xmlns:mc="http://schemas.openxmlformats.org/markup-compatibility/2006">
      <mc:Choice Requires="x14">
        <control shapeId="8372" r:id="rId54" name="ComboBox47">
          <controlPr defaultSize="0" autoLine="0" linkedCell="I82" r:id="rId55">
            <anchor moveWithCells="1">
              <from>
                <xdr:col>8</xdr:col>
                <xdr:colOff>9525</xdr:colOff>
                <xdr:row>81</xdr:row>
                <xdr:rowOff>9525</xdr:rowOff>
              </from>
              <to>
                <xdr:col>9</xdr:col>
                <xdr:colOff>9525</xdr:colOff>
                <xdr:row>82</xdr:row>
                <xdr:rowOff>0</xdr:rowOff>
              </to>
            </anchor>
          </controlPr>
        </control>
      </mc:Choice>
      <mc:Fallback>
        <control shapeId="8372" r:id="rId54" name="ComboBox47"/>
      </mc:Fallback>
    </mc:AlternateContent>
    <mc:AlternateContent xmlns:mc="http://schemas.openxmlformats.org/markup-compatibility/2006">
      <mc:Choice Requires="x14">
        <control shapeId="8373" r:id="rId56" name="ComboBox48">
          <controlPr defaultSize="0" autoLine="0" linkedCell="I84" r:id="rId7">
            <anchor moveWithCells="1">
              <from>
                <xdr:col>8</xdr:col>
                <xdr:colOff>19050</xdr:colOff>
                <xdr:row>83</xdr:row>
                <xdr:rowOff>9525</xdr:rowOff>
              </from>
              <to>
                <xdr:col>9</xdr:col>
                <xdr:colOff>9525</xdr:colOff>
                <xdr:row>84</xdr:row>
                <xdr:rowOff>0</xdr:rowOff>
              </to>
            </anchor>
          </controlPr>
        </control>
      </mc:Choice>
      <mc:Fallback>
        <control shapeId="8373" r:id="rId56" name="ComboBox48"/>
      </mc:Fallback>
    </mc:AlternateContent>
    <mc:AlternateContent xmlns:mc="http://schemas.openxmlformats.org/markup-compatibility/2006">
      <mc:Choice Requires="x14">
        <control shapeId="8374" r:id="rId57" name="ComboBox49">
          <controlPr defaultSize="0" autoLine="0" linkedCell="I86" r:id="rId7">
            <anchor moveWithCells="1">
              <from>
                <xdr:col>8</xdr:col>
                <xdr:colOff>19050</xdr:colOff>
                <xdr:row>85</xdr:row>
                <xdr:rowOff>9525</xdr:rowOff>
              </from>
              <to>
                <xdr:col>9</xdr:col>
                <xdr:colOff>9525</xdr:colOff>
                <xdr:row>86</xdr:row>
                <xdr:rowOff>0</xdr:rowOff>
              </to>
            </anchor>
          </controlPr>
        </control>
      </mc:Choice>
      <mc:Fallback>
        <control shapeId="8374" r:id="rId57" name="ComboBox49"/>
      </mc:Fallback>
    </mc:AlternateContent>
    <mc:AlternateContent xmlns:mc="http://schemas.openxmlformats.org/markup-compatibility/2006">
      <mc:Choice Requires="x14">
        <control shapeId="8375" r:id="rId58" name="ComboBox50">
          <controlPr defaultSize="0" autoLine="0" linkedCell="I88" r:id="rId55">
            <anchor moveWithCells="1">
              <from>
                <xdr:col>8</xdr:col>
                <xdr:colOff>9525</xdr:colOff>
                <xdr:row>87</xdr:row>
                <xdr:rowOff>9525</xdr:rowOff>
              </from>
              <to>
                <xdr:col>9</xdr:col>
                <xdr:colOff>9525</xdr:colOff>
                <xdr:row>88</xdr:row>
                <xdr:rowOff>0</xdr:rowOff>
              </to>
            </anchor>
          </controlPr>
        </control>
      </mc:Choice>
      <mc:Fallback>
        <control shapeId="8375" r:id="rId58" name="ComboBox50"/>
      </mc:Fallback>
    </mc:AlternateContent>
    <mc:AlternateContent xmlns:mc="http://schemas.openxmlformats.org/markup-compatibility/2006">
      <mc:Choice Requires="x14">
        <control shapeId="8376" r:id="rId59" name="ComboBox51">
          <controlPr defaultSize="0" autoLine="0" linkedCell="I90" r:id="rId7">
            <anchor moveWithCells="1">
              <from>
                <xdr:col>8</xdr:col>
                <xdr:colOff>19050</xdr:colOff>
                <xdr:row>89</xdr:row>
                <xdr:rowOff>9525</xdr:rowOff>
              </from>
              <to>
                <xdr:col>9</xdr:col>
                <xdr:colOff>9525</xdr:colOff>
                <xdr:row>90</xdr:row>
                <xdr:rowOff>0</xdr:rowOff>
              </to>
            </anchor>
          </controlPr>
        </control>
      </mc:Choice>
      <mc:Fallback>
        <control shapeId="8376" r:id="rId59" name="ComboBox51"/>
      </mc:Fallback>
    </mc:AlternateContent>
    <mc:AlternateContent xmlns:mc="http://schemas.openxmlformats.org/markup-compatibility/2006">
      <mc:Choice Requires="x14">
        <control shapeId="8377" r:id="rId60" name="ComboBox52">
          <controlPr defaultSize="0" autoLine="0" linkedCell="I92" r:id="rId7">
            <anchor moveWithCells="1">
              <from>
                <xdr:col>8</xdr:col>
                <xdr:colOff>9525</xdr:colOff>
                <xdr:row>91</xdr:row>
                <xdr:rowOff>9525</xdr:rowOff>
              </from>
              <to>
                <xdr:col>9</xdr:col>
                <xdr:colOff>0</xdr:colOff>
                <xdr:row>92</xdr:row>
                <xdr:rowOff>0</xdr:rowOff>
              </to>
            </anchor>
          </controlPr>
        </control>
      </mc:Choice>
      <mc:Fallback>
        <control shapeId="8377" r:id="rId60" name="ComboBox52"/>
      </mc:Fallback>
    </mc:AlternateContent>
    <mc:AlternateContent xmlns:mc="http://schemas.openxmlformats.org/markup-compatibility/2006">
      <mc:Choice Requires="x14">
        <control shapeId="8379" r:id="rId61" name="ComboBox6">
          <controlPr defaultSize="0" autoLine="0" linkedCell="D32" r:id="rId62">
            <anchor moveWithCells="1">
              <from>
                <xdr:col>3</xdr:col>
                <xdr:colOff>9525</xdr:colOff>
                <xdr:row>31</xdr:row>
                <xdr:rowOff>19050</xdr:rowOff>
              </from>
              <to>
                <xdr:col>4</xdr:col>
                <xdr:colOff>9525</xdr:colOff>
                <xdr:row>32</xdr:row>
                <xdr:rowOff>0</xdr:rowOff>
              </to>
            </anchor>
          </controlPr>
        </control>
      </mc:Choice>
      <mc:Fallback>
        <control shapeId="8379" r:id="rId61" name="ComboBox6"/>
      </mc:Fallback>
    </mc:AlternateContent>
    <mc:AlternateContent xmlns:mc="http://schemas.openxmlformats.org/markup-compatibility/2006">
      <mc:Choice Requires="x14">
        <control shapeId="8195" r:id="rId63" name="Group Box 3">
          <controlPr defaultSize="0" autoFill="0" autoPict="0">
            <anchor moveWithCells="1">
              <from>
                <xdr:col>1</xdr:col>
                <xdr:colOff>9525</xdr:colOff>
                <xdr:row>29</xdr:row>
                <xdr:rowOff>152400</xdr:rowOff>
              </from>
              <to>
                <xdr:col>4</xdr:col>
                <xdr:colOff>180975</xdr:colOff>
                <xdr:row>34</xdr:row>
                <xdr:rowOff>19050</xdr:rowOff>
              </to>
            </anchor>
          </controlPr>
        </control>
      </mc:Choice>
    </mc:AlternateContent>
    <mc:AlternateContent xmlns:mc="http://schemas.openxmlformats.org/markup-compatibility/2006">
      <mc:Choice Requires="x14">
        <control shapeId="8200" r:id="rId64" name="Group Box 8">
          <controlPr defaultSize="0" autoFill="0" autoPict="0">
            <anchor moveWithCells="1">
              <from>
                <xdr:col>5</xdr:col>
                <xdr:colOff>180975</xdr:colOff>
                <xdr:row>2</xdr:row>
                <xdr:rowOff>123825</xdr:rowOff>
              </from>
              <to>
                <xdr:col>9</xdr:col>
                <xdr:colOff>161925</xdr:colOff>
                <xdr:row>28</xdr:row>
                <xdr:rowOff>104775</xdr:rowOff>
              </to>
            </anchor>
          </controlPr>
        </control>
      </mc:Choice>
    </mc:AlternateContent>
    <mc:AlternateContent xmlns:mc="http://schemas.openxmlformats.org/markup-compatibility/2006">
      <mc:Choice Requires="x14">
        <control shapeId="8212" r:id="rId65" name="Button 20">
          <controlPr defaultSize="0" print="0" autoFill="0" autoPict="0" macro="[0]!Macro1">
            <anchor moveWithCells="1" sizeWithCells="1">
              <from>
                <xdr:col>6</xdr:col>
                <xdr:colOff>38100</xdr:colOff>
                <xdr:row>93</xdr:row>
                <xdr:rowOff>95250</xdr:rowOff>
              </from>
              <to>
                <xdr:col>8</xdr:col>
                <xdr:colOff>133350</xdr:colOff>
                <xdr:row>95</xdr:row>
                <xdr:rowOff>133350</xdr:rowOff>
              </to>
            </anchor>
          </controlPr>
        </control>
      </mc:Choice>
    </mc:AlternateContent>
    <mc:AlternateContent xmlns:mc="http://schemas.openxmlformats.org/markup-compatibility/2006">
      <mc:Choice Requires="x14">
        <control shapeId="8197" r:id="rId66" name="Group Box 5">
          <controlPr defaultSize="0" autoFill="0" autoPict="0">
            <anchor moveWithCells="1">
              <from>
                <xdr:col>1</xdr:col>
                <xdr:colOff>0</xdr:colOff>
                <xdr:row>35</xdr:row>
                <xdr:rowOff>85725</xdr:rowOff>
              </from>
              <to>
                <xdr:col>4</xdr:col>
                <xdr:colOff>190500</xdr:colOff>
                <xdr:row>51</xdr:row>
                <xdr:rowOff>9525</xdr:rowOff>
              </to>
            </anchor>
          </controlPr>
        </control>
      </mc:Choice>
    </mc:AlternateContent>
    <mc:AlternateContent xmlns:mc="http://schemas.openxmlformats.org/markup-compatibility/2006">
      <mc:Choice Requires="x14">
        <control shapeId="8193" r:id="rId67" name="Group Box 1">
          <controlPr defaultSize="0" autoFill="0" autoPict="0">
            <anchor moveWithCells="1">
              <from>
                <xdr:col>0</xdr:col>
                <xdr:colOff>352425</xdr:colOff>
                <xdr:row>5</xdr:row>
                <xdr:rowOff>161925</xdr:rowOff>
              </from>
              <to>
                <xdr:col>4</xdr:col>
                <xdr:colOff>171450</xdr:colOff>
                <xdr:row>28</xdr:row>
                <xdr:rowOff>85725</xdr:rowOff>
              </to>
            </anchor>
          </controlPr>
        </control>
      </mc:Choice>
    </mc:AlternateContent>
    <mc:AlternateContent xmlns:mc="http://schemas.openxmlformats.org/markup-compatibility/2006">
      <mc:Choice Requires="x14">
        <control shapeId="8272" r:id="rId68" name="Group Box 80">
          <controlPr defaultSize="0" autoFill="0" autoPict="0">
            <anchor moveWithCells="1">
              <from>
                <xdr:col>1</xdr:col>
                <xdr:colOff>9525</xdr:colOff>
                <xdr:row>51</xdr:row>
                <xdr:rowOff>161925</xdr:rowOff>
              </from>
              <to>
                <xdr:col>4</xdr:col>
                <xdr:colOff>190500</xdr:colOff>
                <xdr:row>89</xdr:row>
                <xdr:rowOff>66675</xdr:rowOff>
              </to>
            </anchor>
          </controlPr>
        </control>
      </mc:Choice>
    </mc:AlternateContent>
    <mc:AlternateContent xmlns:mc="http://schemas.openxmlformats.org/markup-compatibility/2006">
      <mc:Choice Requires="x14">
        <control shapeId="8299" r:id="rId69" name="Group Box 107">
          <controlPr defaultSize="0" autoFill="0" autoPict="0">
            <anchor moveWithCells="1">
              <from>
                <xdr:col>6</xdr:col>
                <xdr:colOff>19050</xdr:colOff>
                <xdr:row>45</xdr:row>
                <xdr:rowOff>171450</xdr:rowOff>
              </from>
              <to>
                <xdr:col>9</xdr:col>
                <xdr:colOff>190500</xdr:colOff>
                <xdr:row>65</xdr:row>
                <xdr:rowOff>9525</xdr:rowOff>
              </to>
            </anchor>
          </controlPr>
        </control>
      </mc:Choice>
    </mc:AlternateContent>
    <mc:AlternateContent xmlns:mc="http://schemas.openxmlformats.org/markup-compatibility/2006">
      <mc:Choice Requires="x14">
        <control shapeId="8312" r:id="rId70" name="Group Box 120">
          <controlPr defaultSize="0" autoFill="0" autoPict="0">
            <anchor moveWithCells="1">
              <from>
                <xdr:col>6</xdr:col>
                <xdr:colOff>0</xdr:colOff>
                <xdr:row>29</xdr:row>
                <xdr:rowOff>152400</xdr:rowOff>
              </from>
              <to>
                <xdr:col>9</xdr:col>
                <xdr:colOff>171450</xdr:colOff>
                <xdr:row>39</xdr:row>
                <xdr:rowOff>19050</xdr:rowOff>
              </to>
            </anchor>
          </controlPr>
        </control>
      </mc:Choice>
    </mc:AlternateContent>
    <mc:AlternateContent xmlns:mc="http://schemas.openxmlformats.org/markup-compatibility/2006">
      <mc:Choice Requires="x14">
        <control shapeId="8313" r:id="rId71" name="Group Box 121">
          <controlPr defaultSize="0" autoFill="0" autoPict="0">
            <anchor moveWithCells="1">
              <from>
                <xdr:col>0</xdr:col>
                <xdr:colOff>342900</xdr:colOff>
                <xdr:row>2</xdr:row>
                <xdr:rowOff>104775</xdr:rowOff>
              </from>
              <to>
                <xdr:col>4</xdr:col>
                <xdr:colOff>161925</xdr:colOff>
                <xdr:row>5</xdr:row>
                <xdr:rowOff>76200</xdr:rowOff>
              </to>
            </anchor>
          </controlPr>
        </control>
      </mc:Choice>
    </mc:AlternateContent>
    <mc:AlternateContent xmlns:mc="http://schemas.openxmlformats.org/markup-compatibility/2006">
      <mc:Choice Requires="x14">
        <control shapeId="8199" r:id="rId72" name="Group Box 7">
          <controlPr defaultSize="0" autoFill="0" autoPict="0">
            <anchor moveWithCells="1">
              <from>
                <xdr:col>6</xdr:col>
                <xdr:colOff>0</xdr:colOff>
                <xdr:row>39</xdr:row>
                <xdr:rowOff>171450</xdr:rowOff>
              </from>
              <to>
                <xdr:col>9</xdr:col>
                <xdr:colOff>171450</xdr:colOff>
                <xdr:row>45</xdr:row>
                <xdr:rowOff>19050</xdr:rowOff>
              </to>
            </anchor>
          </controlPr>
        </control>
      </mc:Choice>
    </mc:AlternateContent>
    <mc:AlternateContent xmlns:mc="http://schemas.openxmlformats.org/markup-compatibility/2006">
      <mc:Choice Requires="x14">
        <control shapeId="8363" r:id="rId73" name="Group Box 171">
          <controlPr defaultSize="0" autoFill="0" autoPict="0">
            <anchor moveWithCells="1">
              <from>
                <xdr:col>1</xdr:col>
                <xdr:colOff>0</xdr:colOff>
                <xdr:row>89</xdr:row>
                <xdr:rowOff>171450</xdr:rowOff>
              </from>
              <to>
                <xdr:col>4</xdr:col>
                <xdr:colOff>180975</xdr:colOff>
                <xdr:row>95</xdr:row>
                <xdr:rowOff>133350</xdr:rowOff>
              </to>
            </anchor>
          </controlPr>
        </control>
      </mc:Choice>
    </mc:AlternateContent>
    <mc:AlternateContent xmlns:mc="http://schemas.openxmlformats.org/markup-compatibility/2006">
      <mc:Choice Requires="x14">
        <control shapeId="8365" r:id="rId74" name="Group Box 173">
          <controlPr defaultSize="0" autoFill="0" autoPict="0">
            <anchor moveWithCells="1">
              <from>
                <xdr:col>6</xdr:col>
                <xdr:colOff>38100</xdr:colOff>
                <xdr:row>65</xdr:row>
                <xdr:rowOff>180975</xdr:rowOff>
              </from>
              <to>
                <xdr:col>9</xdr:col>
                <xdr:colOff>209550</xdr:colOff>
                <xdr:row>77</xdr:row>
                <xdr:rowOff>47625</xdr:rowOff>
              </to>
            </anchor>
          </controlPr>
        </control>
      </mc:Choice>
    </mc:AlternateContent>
    <mc:AlternateContent xmlns:mc="http://schemas.openxmlformats.org/markup-compatibility/2006">
      <mc:Choice Requires="x14">
        <control shapeId="8366" r:id="rId75" name="Group Box 174">
          <controlPr defaultSize="0" autoFill="0" autoPict="0">
            <anchor moveWithCells="1">
              <from>
                <xdr:col>6</xdr:col>
                <xdr:colOff>38100</xdr:colOff>
                <xdr:row>77</xdr:row>
                <xdr:rowOff>161925</xdr:rowOff>
              </from>
              <to>
                <xdr:col>9</xdr:col>
                <xdr:colOff>209550</xdr:colOff>
                <xdr:row>93</xdr:row>
                <xdr:rowOff>28575</xdr:rowOff>
              </to>
            </anchor>
          </controlPr>
        </control>
      </mc:Choice>
    </mc:AlternateContent>
    <mc:AlternateContent xmlns:mc="http://schemas.openxmlformats.org/markup-compatibility/2006">
      <mc:Choice Requires="x14">
        <control shapeId="8381" r:id="rId76" name="Button 189">
          <controlPr defaultSize="0" print="0" autoFill="0" autoPict="0" macro="[0]!Button189_Click">
            <anchor moveWithCells="1" sizeWithCells="1">
              <from>
                <xdr:col>8</xdr:col>
                <xdr:colOff>885825</xdr:colOff>
                <xdr:row>93</xdr:row>
                <xdr:rowOff>114300</xdr:rowOff>
              </from>
              <to>
                <xdr:col>9</xdr:col>
                <xdr:colOff>219075</xdr:colOff>
                <xdr:row>95</xdr:row>
                <xdr:rowOff>133350</xdr:rowOff>
              </to>
            </anchor>
          </controlPr>
        </control>
      </mc:Choice>
    </mc:AlternateContent>
    <mc:AlternateContent xmlns:mc="http://schemas.openxmlformats.org/markup-compatibility/2006">
      <mc:Choice Requires="x14">
        <control shapeId="8384" r:id="rId77" name="Button 192">
          <controlPr defaultSize="0" print="0" autoFill="0" autoPict="0" macro="[0]!Button192_Click">
            <anchor moveWithCells="1" sizeWithCells="1">
              <from>
                <xdr:col>8</xdr:col>
                <xdr:colOff>895350</xdr:colOff>
                <xdr:row>95</xdr:row>
                <xdr:rowOff>190500</xdr:rowOff>
              </from>
              <to>
                <xdr:col>9</xdr:col>
                <xdr:colOff>219075</xdr:colOff>
                <xdr:row>98</xdr:row>
                <xdr:rowOff>28575</xdr:rowOff>
              </to>
            </anchor>
          </controlPr>
        </control>
      </mc:Choice>
    </mc:AlternateContent>
    <mc:AlternateContent xmlns:mc="http://schemas.openxmlformats.org/markup-compatibility/2006">
      <mc:Choice Requires="x14">
        <control shapeId="8387" r:id="rId78" name="Button 195">
          <controlPr defaultSize="0" print="0" autoFill="0" autoPict="0" macro="[0]!Button195_Click">
            <anchor moveWithCells="1" sizeWithCells="1">
              <from>
                <xdr:col>6</xdr:col>
                <xdr:colOff>38100</xdr:colOff>
                <xdr:row>96</xdr:row>
                <xdr:rowOff>0</xdr:rowOff>
              </from>
              <to>
                <xdr:col>8</xdr:col>
                <xdr:colOff>123825</xdr:colOff>
                <xdr:row>98</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E48"/>
  <sheetViews>
    <sheetView topLeftCell="A4" workbookViewId="0">
      <selection activeCell="C52" sqref="C52"/>
    </sheetView>
  </sheetViews>
  <sheetFormatPr defaultRowHeight="15" x14ac:dyDescent="0.25"/>
  <cols>
    <col min="1" max="1" width="29.85546875" customWidth="1"/>
    <col min="2" max="2" width="19.85546875" style="166" bestFit="1" customWidth="1"/>
    <col min="3" max="3" width="29.140625" style="166" bestFit="1" customWidth="1"/>
    <col min="4" max="4" width="11.28515625" bestFit="1" customWidth="1"/>
  </cols>
  <sheetData>
    <row r="1" spans="1:5" s="166" customFormat="1" x14ac:dyDescent="0.25">
      <c r="A1" s="166" t="s">
        <v>9132</v>
      </c>
      <c r="B1" s="166" t="s">
        <v>9133</v>
      </c>
      <c r="C1" s="166" t="s">
        <v>9136</v>
      </c>
      <c r="D1" s="166" t="s">
        <v>9134</v>
      </c>
    </row>
    <row r="2" spans="1:5" x14ac:dyDescent="0.25">
      <c r="A2" s="166" t="s">
        <v>6162</v>
      </c>
      <c r="B2" s="166" t="s">
        <v>9135</v>
      </c>
      <c r="D2" t="b">
        <f>ISBLANK(Form!D4)</f>
        <v>1</v>
      </c>
    </row>
    <row r="3" spans="1:5" x14ac:dyDescent="0.25">
      <c r="A3" s="166" t="s">
        <v>9131</v>
      </c>
      <c r="C3" s="174" t="s">
        <v>9137</v>
      </c>
      <c r="D3" s="166" t="b">
        <f>ISBLANK(Form!D8)</f>
        <v>1</v>
      </c>
    </row>
    <row r="4" spans="1:5" x14ac:dyDescent="0.25">
      <c r="A4" s="166" t="s">
        <v>9138</v>
      </c>
      <c r="C4" s="166" t="s">
        <v>9183</v>
      </c>
      <c r="D4" s="166" t="b">
        <f>ISBLANK(Form!D10)</f>
        <v>1</v>
      </c>
    </row>
    <row r="5" spans="1:5" x14ac:dyDescent="0.25">
      <c r="A5" s="166" t="s">
        <v>9139</v>
      </c>
      <c r="C5" s="166" t="s">
        <v>9184</v>
      </c>
      <c r="D5" s="166" t="b">
        <f>ISBLANK(Form!D12)</f>
        <v>1</v>
      </c>
    </row>
    <row r="6" spans="1:5" x14ac:dyDescent="0.25">
      <c r="A6" s="166" t="s">
        <v>286</v>
      </c>
      <c r="B6" s="166" t="s">
        <v>9173</v>
      </c>
      <c r="D6" s="166" t="b">
        <f>ISBLANK(Form!D14)</f>
        <v>1</v>
      </c>
    </row>
    <row r="7" spans="1:5" x14ac:dyDescent="0.25">
      <c r="A7" s="166" t="s">
        <v>8730</v>
      </c>
      <c r="C7" s="166" t="s">
        <v>9185</v>
      </c>
      <c r="D7" s="166" t="b">
        <f>ISBLANK(Form!D16)</f>
        <v>1</v>
      </c>
    </row>
    <row r="8" spans="1:5" x14ac:dyDescent="0.25">
      <c r="A8" s="166" t="s">
        <v>9140</v>
      </c>
      <c r="C8" s="166" t="s">
        <v>9186</v>
      </c>
      <c r="D8" s="166" t="b">
        <f>ISBLANK(Form!D18)</f>
        <v>1</v>
      </c>
    </row>
    <row r="9" spans="1:5" x14ac:dyDescent="0.25">
      <c r="A9" s="166" t="s">
        <v>9141</v>
      </c>
      <c r="B9" s="166" t="s">
        <v>9174</v>
      </c>
      <c r="D9" s="166" t="b">
        <f>ISBLANK(Form!D20)</f>
        <v>1</v>
      </c>
    </row>
    <row r="10" spans="1:5" x14ac:dyDescent="0.25">
      <c r="A10" s="166" t="s">
        <v>9142</v>
      </c>
      <c r="C10" s="166" t="s">
        <v>9187</v>
      </c>
      <c r="D10" s="166" t="b">
        <f>ISBLANK(Form!D22)</f>
        <v>1</v>
      </c>
    </row>
    <row r="11" spans="1:5" x14ac:dyDescent="0.25">
      <c r="A11" s="166" t="s">
        <v>9143</v>
      </c>
      <c r="B11" s="166" t="s">
        <v>9175</v>
      </c>
      <c r="D11" s="166" t="b">
        <f>ISBLANK(Form!D24)</f>
        <v>1</v>
      </c>
      <c r="E11" s="174"/>
    </row>
    <row r="12" spans="1:5" x14ac:dyDescent="0.25">
      <c r="A12" s="166" t="s">
        <v>9144</v>
      </c>
      <c r="C12" s="166" t="s">
        <v>9188</v>
      </c>
      <c r="D12" s="166" t="b">
        <f>ISBLANK(Form!D28)</f>
        <v>1</v>
      </c>
    </row>
    <row r="13" spans="1:5" x14ac:dyDescent="0.25">
      <c r="A13" s="166" t="s">
        <v>9145</v>
      </c>
      <c r="C13" s="166" t="s">
        <v>9189</v>
      </c>
      <c r="D13" s="166" t="b">
        <f>ISBLANK(Form!D32)</f>
        <v>1</v>
      </c>
      <c r="E13" s="166"/>
    </row>
    <row r="14" spans="1:5" x14ac:dyDescent="0.25">
      <c r="A14" s="166" t="s">
        <v>9146</v>
      </c>
      <c r="B14" s="166" t="s">
        <v>9176</v>
      </c>
      <c r="D14" s="166" t="b">
        <f>ISBLANK(Form!D38)</f>
        <v>1</v>
      </c>
      <c r="E14" s="166"/>
    </row>
    <row r="15" spans="1:5" x14ac:dyDescent="0.25">
      <c r="A15" s="166" t="s">
        <v>9147</v>
      </c>
      <c r="C15" s="166" t="s">
        <v>9190</v>
      </c>
      <c r="D15" s="166" t="b">
        <f>ISBLANK(Form!D40)</f>
        <v>1</v>
      </c>
      <c r="E15" s="166"/>
    </row>
    <row r="16" spans="1:5" x14ac:dyDescent="0.25">
      <c r="A16" s="166" t="s">
        <v>9148</v>
      </c>
      <c r="C16" s="166" t="s">
        <v>9191</v>
      </c>
      <c r="D16" s="166" t="b">
        <f>ISBLANK(Form!D42)</f>
        <v>1</v>
      </c>
      <c r="E16" s="166"/>
    </row>
    <row r="17" spans="1:5" x14ac:dyDescent="0.25">
      <c r="A17" s="166" t="s">
        <v>9149</v>
      </c>
      <c r="B17" s="166" t="s">
        <v>9177</v>
      </c>
      <c r="D17" s="166" t="b">
        <f>ISBLANK(Form!D44)</f>
        <v>1</v>
      </c>
      <c r="E17" s="166"/>
    </row>
    <row r="18" spans="1:5" x14ac:dyDescent="0.25">
      <c r="A18" s="166" t="s">
        <v>9150</v>
      </c>
      <c r="B18" s="166" t="s">
        <v>9178</v>
      </c>
      <c r="D18" s="166" t="b">
        <f>ISBLANK(Form!D46)</f>
        <v>1</v>
      </c>
      <c r="E18" s="166"/>
    </row>
    <row r="19" spans="1:5" x14ac:dyDescent="0.25">
      <c r="A19" s="166" t="s">
        <v>9151</v>
      </c>
      <c r="B19" s="166" t="s">
        <v>9179</v>
      </c>
      <c r="D19" s="166" t="b">
        <f>ISBLANK(Form!D48)</f>
        <v>1</v>
      </c>
      <c r="E19" s="166"/>
    </row>
    <row r="20" spans="1:5" x14ac:dyDescent="0.25">
      <c r="A20" s="166" t="s">
        <v>9152</v>
      </c>
      <c r="C20" s="166" t="s">
        <v>9192</v>
      </c>
      <c r="D20" s="166" t="b">
        <f>ISBLANK(Form!D50)</f>
        <v>1</v>
      </c>
      <c r="E20" s="166"/>
    </row>
    <row r="21" spans="1:5" x14ac:dyDescent="0.25">
      <c r="A21" s="166" t="s">
        <v>9153</v>
      </c>
      <c r="C21" s="166" t="s">
        <v>9193</v>
      </c>
      <c r="D21" s="166" t="b">
        <f>ISBLANK(Form!D56)</f>
        <v>1</v>
      </c>
      <c r="E21" s="166"/>
    </row>
    <row r="22" spans="1:5" x14ac:dyDescent="0.25">
      <c r="A22" s="166" t="s">
        <v>9154</v>
      </c>
      <c r="C22" s="166" t="s">
        <v>9194</v>
      </c>
      <c r="D22" s="166" t="b">
        <f>ISBLANK(Form!D62)</f>
        <v>1</v>
      </c>
      <c r="E22" s="166"/>
    </row>
    <row r="23" spans="1:5" x14ac:dyDescent="0.25">
      <c r="A23" s="166" t="s">
        <v>9155</v>
      </c>
      <c r="C23" s="166" t="s">
        <v>9195</v>
      </c>
      <c r="D23" s="166" t="b">
        <f>ISBLANK(Form!D66)</f>
        <v>1</v>
      </c>
      <c r="E23" s="166"/>
    </row>
    <row r="24" spans="1:5" x14ac:dyDescent="0.25">
      <c r="A24" s="166" t="s">
        <v>8657</v>
      </c>
      <c r="C24" s="166" t="s">
        <v>9196</v>
      </c>
      <c r="D24" s="166" t="b">
        <f>ISBLANK(Form!D82)</f>
        <v>1</v>
      </c>
    </row>
    <row r="25" spans="1:5" x14ac:dyDescent="0.25">
      <c r="A25" s="166" t="s">
        <v>8666</v>
      </c>
      <c r="C25" s="166" t="s">
        <v>9197</v>
      </c>
      <c r="D25" s="166" t="b">
        <f>ISBLANK(Form!D84)</f>
        <v>1</v>
      </c>
    </row>
    <row r="26" spans="1:5" x14ac:dyDescent="0.25">
      <c r="A26" s="166" t="s">
        <v>8677</v>
      </c>
      <c r="C26" s="166" t="s">
        <v>9198</v>
      </c>
      <c r="D26" s="166" t="b">
        <f>ISBLANK(Form!D86)</f>
        <v>1</v>
      </c>
    </row>
    <row r="27" spans="1:5" x14ac:dyDescent="0.25">
      <c r="A27" s="166" t="s">
        <v>8733</v>
      </c>
      <c r="C27" s="166" t="s">
        <v>9199</v>
      </c>
      <c r="D27" s="166" t="b">
        <f>ISBLANK(Form!D88)</f>
        <v>1</v>
      </c>
    </row>
    <row r="28" spans="1:5" x14ac:dyDescent="0.25">
      <c r="A28" s="166" t="s">
        <v>9156</v>
      </c>
      <c r="C28" s="166" t="s">
        <v>9200</v>
      </c>
      <c r="D28" s="166" t="b">
        <f>ISBLANK(Form!I4)</f>
        <v>1</v>
      </c>
    </row>
    <row r="29" spans="1:5" x14ac:dyDescent="0.25">
      <c r="A29" s="166" t="s">
        <v>9157</v>
      </c>
      <c r="C29" s="166" t="s">
        <v>9201</v>
      </c>
      <c r="D29" s="166" t="b">
        <f>ISBLANK(Form!I12)</f>
        <v>1</v>
      </c>
    </row>
    <row r="30" spans="1:5" x14ac:dyDescent="0.25">
      <c r="A30" s="166" t="s">
        <v>9158</v>
      </c>
      <c r="C30" s="166" t="s">
        <v>9202</v>
      </c>
      <c r="D30" s="166" t="b">
        <f>ISBLANK(Form!I18)</f>
        <v>1</v>
      </c>
    </row>
    <row r="31" spans="1:5" x14ac:dyDescent="0.25">
      <c r="A31" s="166" t="s">
        <v>9159</v>
      </c>
      <c r="B31" s="166" t="s">
        <v>9180</v>
      </c>
      <c r="D31" s="166" t="b">
        <f>ISBLANK(Form!I20)</f>
        <v>1</v>
      </c>
    </row>
    <row r="32" spans="1:5" x14ac:dyDescent="0.25">
      <c r="A32" s="166" t="s">
        <v>9160</v>
      </c>
      <c r="C32" s="166" t="s">
        <v>9203</v>
      </c>
      <c r="D32" s="166" t="b">
        <f>ISBLANK(Form!I22)</f>
        <v>1</v>
      </c>
    </row>
    <row r="33" spans="1:4" x14ac:dyDescent="0.25">
      <c r="A33" s="166" t="s">
        <v>8682</v>
      </c>
      <c r="C33" s="166" t="s">
        <v>9204</v>
      </c>
      <c r="D33" s="166" t="b">
        <f>ISBLANK(Form!I28)</f>
        <v>1</v>
      </c>
    </row>
    <row r="34" spans="1:4" x14ac:dyDescent="0.25">
      <c r="A34" s="166" t="s">
        <v>9161</v>
      </c>
      <c r="B34" s="166" t="s">
        <v>9181</v>
      </c>
      <c r="D34" s="166" t="b">
        <f>ISBLANK(Form!I42)</f>
        <v>1</v>
      </c>
    </row>
    <row r="35" spans="1:4" x14ac:dyDescent="0.25">
      <c r="A35" s="166" t="s">
        <v>9162</v>
      </c>
      <c r="B35" s="166" t="s">
        <v>9182</v>
      </c>
      <c r="D35" s="166" t="b">
        <f>ISBLANK(Form!I44)</f>
        <v>1</v>
      </c>
    </row>
    <row r="36" spans="1:4" x14ac:dyDescent="0.25">
      <c r="A36" s="166" t="s">
        <v>9163</v>
      </c>
      <c r="C36" s="166" t="s">
        <v>9205</v>
      </c>
      <c r="D36" s="166" t="b">
        <f>ISBLANK(Form!I48)</f>
        <v>1</v>
      </c>
    </row>
    <row r="37" spans="1:4" x14ac:dyDescent="0.25">
      <c r="A37" s="166" t="s">
        <v>9164</v>
      </c>
      <c r="C37" s="166" t="s">
        <v>9206</v>
      </c>
      <c r="D37" s="166" t="b">
        <f>ISBLANK(Form!I54)</f>
        <v>1</v>
      </c>
    </row>
    <row r="38" spans="1:4" x14ac:dyDescent="0.25">
      <c r="A38" s="166" t="s">
        <v>9165</v>
      </c>
      <c r="C38" s="166" t="s">
        <v>9207</v>
      </c>
      <c r="D38" s="166" t="b">
        <f>ISBLANK(Form!I60)</f>
        <v>1</v>
      </c>
    </row>
    <row r="39" spans="1:4" x14ac:dyDescent="0.25">
      <c r="A39" s="166" t="s">
        <v>8659</v>
      </c>
      <c r="C39" s="166" t="s">
        <v>9208</v>
      </c>
      <c r="D39" s="166" t="b">
        <f>ISBLANK(Form!I68)</f>
        <v>1</v>
      </c>
    </row>
    <row r="40" spans="1:4" x14ac:dyDescent="0.25">
      <c r="A40" s="166" t="s">
        <v>8661</v>
      </c>
      <c r="C40" s="166" t="s">
        <v>9209</v>
      </c>
      <c r="D40" s="166" t="b">
        <f>ISBLANK(Form!I70)</f>
        <v>1</v>
      </c>
    </row>
    <row r="41" spans="1:4" x14ac:dyDescent="0.25">
      <c r="A41" s="166" t="s">
        <v>8664</v>
      </c>
      <c r="C41" s="166" t="s">
        <v>9210</v>
      </c>
      <c r="D41" s="166" t="b">
        <f>ISBLANK(Form!I72)</f>
        <v>1</v>
      </c>
    </row>
    <row r="42" spans="1:4" x14ac:dyDescent="0.25">
      <c r="A42" s="166" t="s">
        <v>9166</v>
      </c>
      <c r="C42" s="166" t="s">
        <v>9211</v>
      </c>
      <c r="D42" s="166" t="b">
        <f>ISBLANK(Form!I80)</f>
        <v>1</v>
      </c>
    </row>
    <row r="43" spans="1:4" x14ac:dyDescent="0.25">
      <c r="A43" s="166" t="s">
        <v>9167</v>
      </c>
      <c r="C43" s="166" t="s">
        <v>9212</v>
      </c>
      <c r="D43" s="166" t="b">
        <f>ISBLANK(Form!I82)</f>
        <v>1</v>
      </c>
    </row>
    <row r="44" spans="1:4" x14ac:dyDescent="0.25">
      <c r="A44" s="166" t="s">
        <v>9168</v>
      </c>
      <c r="C44" s="166" t="s">
        <v>9213</v>
      </c>
      <c r="D44" s="166" t="b">
        <f>ISBLANK(Form!I84)</f>
        <v>1</v>
      </c>
    </row>
    <row r="45" spans="1:4" x14ac:dyDescent="0.25">
      <c r="A45" s="166" t="s">
        <v>9169</v>
      </c>
      <c r="C45" s="166" t="s">
        <v>9214</v>
      </c>
      <c r="D45" s="166" t="b">
        <f>ISBLANK(Form!I86)</f>
        <v>1</v>
      </c>
    </row>
    <row r="46" spans="1:4" x14ac:dyDescent="0.25">
      <c r="A46" s="166" t="s">
        <v>9170</v>
      </c>
      <c r="C46" s="166" t="s">
        <v>9215</v>
      </c>
      <c r="D46" s="166" t="b">
        <f>ISBLANK(Form!I88)</f>
        <v>1</v>
      </c>
    </row>
    <row r="47" spans="1:4" x14ac:dyDescent="0.25">
      <c r="A47" s="166" t="s">
        <v>9171</v>
      </c>
      <c r="C47" s="166" t="s">
        <v>9216</v>
      </c>
      <c r="D47" s="166" t="b">
        <f>ISBLANK(Form!I90)</f>
        <v>1</v>
      </c>
    </row>
    <row r="48" spans="1:4" x14ac:dyDescent="0.25">
      <c r="A48" s="166" t="s">
        <v>9172</v>
      </c>
      <c r="C48" s="166" t="s">
        <v>9217</v>
      </c>
      <c r="D48" s="166" t="b">
        <f>ISBLANK(Form!I92)</f>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Check_123">
                <anchor moveWithCells="1" sizeWithCells="1">
                  <from>
                    <xdr:col>8</xdr:col>
                    <xdr:colOff>495300</xdr:colOff>
                    <xdr:row>3</xdr:row>
                    <xdr:rowOff>19050</xdr:rowOff>
                  </from>
                  <to>
                    <xdr:col>11</xdr:col>
                    <xdr:colOff>152400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AA50"/>
  <sheetViews>
    <sheetView showZeros="0" zoomScale="115" zoomScaleNormal="115" workbookViewId="0">
      <selection activeCell="D13" sqref="D13"/>
    </sheetView>
  </sheetViews>
  <sheetFormatPr defaultRowHeight="15" x14ac:dyDescent="0.25"/>
  <cols>
    <col min="1" max="2" width="9.140625" style="258"/>
    <col min="3" max="3" width="48.28515625" style="258" customWidth="1"/>
    <col min="4" max="4" width="29.85546875" style="258" bestFit="1" customWidth="1"/>
    <col min="5" max="5" width="26.5703125" style="258" bestFit="1" customWidth="1"/>
    <col min="6" max="6" width="9.140625" style="258"/>
    <col min="7" max="7" width="24.85546875" style="258" bestFit="1" customWidth="1"/>
    <col min="8" max="8" width="11.85546875" style="258" bestFit="1" customWidth="1"/>
    <col min="9" max="9" width="17.28515625" style="258" bestFit="1" customWidth="1"/>
    <col min="10" max="10" width="18" style="258" bestFit="1" customWidth="1"/>
    <col min="11" max="11" width="10.7109375" style="258" bestFit="1" customWidth="1"/>
    <col min="12" max="12" width="7.5703125" style="258" bestFit="1" customWidth="1"/>
    <col min="13" max="27" width="9.140625" style="258"/>
    <col min="28" max="47" width="9.140625" style="98"/>
    <col min="48" max="48" width="15.85546875" style="98" bestFit="1" customWidth="1"/>
    <col min="49" max="16384" width="9.140625" style="98"/>
  </cols>
  <sheetData>
    <row r="1" spans="1:12" x14ac:dyDescent="0.25">
      <c r="A1" s="221" t="s">
        <v>4318</v>
      </c>
      <c r="B1" s="221" t="s">
        <v>4319</v>
      </c>
      <c r="C1" s="221" t="s">
        <v>4320</v>
      </c>
      <c r="D1" s="221" t="s">
        <v>4321</v>
      </c>
      <c r="E1" s="221" t="s">
        <v>4322</v>
      </c>
      <c r="F1" s="221" t="s">
        <v>4323</v>
      </c>
      <c r="G1" s="221" t="s">
        <v>4520</v>
      </c>
      <c r="H1" s="221" t="s">
        <v>4521</v>
      </c>
      <c r="I1" s="221" t="s">
        <v>4522</v>
      </c>
      <c r="J1" s="221" t="s">
        <v>4523</v>
      </c>
      <c r="K1" s="221" t="s">
        <v>4524</v>
      </c>
      <c r="L1" s="221" t="s">
        <v>4525</v>
      </c>
    </row>
    <row r="2" spans="1:12" x14ac:dyDescent="0.25">
      <c r="F2" s="264"/>
      <c r="H2" s="265"/>
      <c r="J2" s="264"/>
      <c r="L2" s="264"/>
    </row>
    <row r="9" spans="1:12" x14ac:dyDescent="0.25">
      <c r="D9" s="266"/>
    </row>
    <row r="15" spans="1:12" x14ac:dyDescent="0.25">
      <c r="D15" s="264"/>
    </row>
    <row r="18" spans="4:4" x14ac:dyDescent="0.25">
      <c r="D18" s="266"/>
    </row>
    <row r="19" spans="4:4" x14ac:dyDescent="0.25">
      <c r="D19" s="274"/>
    </row>
    <row r="20" spans="4:4" x14ac:dyDescent="0.25">
      <c r="D20" s="266"/>
    </row>
    <row r="30" spans="4:4" x14ac:dyDescent="0.25">
      <c r="D30" s="266"/>
    </row>
    <row r="34" spans="4:4" x14ac:dyDescent="0.25">
      <c r="D34" s="266"/>
    </row>
    <row r="50" spans="8:10" x14ac:dyDescent="0.25">
      <c r="H50" s="266"/>
      <c r="J50" s="26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C70"/>
  <sheetViews>
    <sheetView workbookViewId="0">
      <selection activeCell="B16" sqref="B16"/>
    </sheetView>
  </sheetViews>
  <sheetFormatPr defaultRowHeight="15" x14ac:dyDescent="0.25"/>
  <cols>
    <col min="1" max="1" width="29.28515625" style="118" customWidth="1"/>
    <col min="2" max="2" width="58.85546875" style="166" customWidth="1"/>
    <col min="3" max="3" width="74.5703125" style="166" customWidth="1"/>
    <col min="4" max="16384" width="9.140625" style="166"/>
  </cols>
  <sheetData>
    <row r="1" spans="1:3" x14ac:dyDescent="0.25">
      <c r="A1" s="180" t="s">
        <v>8760</v>
      </c>
      <c r="B1" s="179" t="s">
        <v>8759</v>
      </c>
      <c r="C1" s="166" t="s">
        <v>8758</v>
      </c>
    </row>
    <row r="2" spans="1:3" x14ac:dyDescent="0.25">
      <c r="A2" s="118" t="s">
        <v>8757</v>
      </c>
      <c r="B2" s="166" t="s">
        <v>8756</v>
      </c>
      <c r="C2" s="166" t="s">
        <v>8755</v>
      </c>
    </row>
    <row r="3" spans="1:3" x14ac:dyDescent="0.25">
      <c r="A3" s="118" t="s">
        <v>8754</v>
      </c>
      <c r="B3" s="166" t="s">
        <v>8753</v>
      </c>
      <c r="C3" s="166" t="s">
        <v>8752</v>
      </c>
    </row>
    <row r="4" spans="1:3" x14ac:dyDescent="0.25">
      <c r="A4" s="118" t="s">
        <v>8751</v>
      </c>
      <c r="B4" s="166" t="s">
        <v>8750</v>
      </c>
      <c r="C4" s="166" t="s">
        <v>8749</v>
      </c>
    </row>
    <row r="5" spans="1:3" ht="90" x14ac:dyDescent="0.25">
      <c r="A5" s="178" t="s">
        <v>8748</v>
      </c>
      <c r="B5" s="177" t="s">
        <v>8747</v>
      </c>
      <c r="C5" s="177" t="s">
        <v>8746</v>
      </c>
    </row>
    <row r="6" spans="1:3" x14ac:dyDescent="0.25">
      <c r="A6" s="118" t="s">
        <v>8745</v>
      </c>
      <c r="B6" s="166" t="s">
        <v>8744</v>
      </c>
      <c r="C6" s="166" t="s">
        <v>8743</v>
      </c>
    </row>
    <row r="7" spans="1:3" x14ac:dyDescent="0.25">
      <c r="A7" s="118" t="s">
        <v>8742</v>
      </c>
      <c r="B7" s="166" t="s">
        <v>8741</v>
      </c>
      <c r="C7" s="166" t="s">
        <v>8740</v>
      </c>
    </row>
    <row r="8" spans="1:3" x14ac:dyDescent="0.25">
      <c r="A8" s="118" t="s">
        <v>8739</v>
      </c>
      <c r="B8" s="166" t="s">
        <v>8738</v>
      </c>
      <c r="C8" s="166" t="s">
        <v>8737</v>
      </c>
    </row>
    <row r="9" spans="1:3" x14ac:dyDescent="0.25">
      <c r="A9" s="118" t="s">
        <v>8736</v>
      </c>
      <c r="B9" s="166" t="s">
        <v>8735</v>
      </c>
      <c r="C9" s="166" t="s">
        <v>8734</v>
      </c>
    </row>
    <row r="10" spans="1:3" ht="30" x14ac:dyDescent="0.25">
      <c r="A10" s="118" t="s">
        <v>162</v>
      </c>
      <c r="B10" s="119" t="s">
        <v>8733</v>
      </c>
      <c r="C10" s="119" t="s">
        <v>8732</v>
      </c>
    </row>
    <row r="11" spans="1:3" x14ac:dyDescent="0.25">
      <c r="A11" s="118" t="s">
        <v>8731</v>
      </c>
      <c r="B11" s="166" t="s">
        <v>8730</v>
      </c>
      <c r="C11" s="166" t="s">
        <v>8729</v>
      </c>
    </row>
    <row r="12" spans="1:3" x14ac:dyDescent="0.25">
      <c r="A12" s="118" t="s">
        <v>8728</v>
      </c>
      <c r="B12" s="166" t="s">
        <v>4610</v>
      </c>
      <c r="C12" s="166" t="s">
        <v>8727</v>
      </c>
    </row>
    <row r="13" spans="1:3" x14ac:dyDescent="0.25">
      <c r="A13" s="118" t="s">
        <v>8726</v>
      </c>
      <c r="B13" s="166" t="s">
        <v>8725</v>
      </c>
      <c r="C13" s="166" t="s">
        <v>8724</v>
      </c>
    </row>
    <row r="14" spans="1:3" x14ac:dyDescent="0.25">
      <c r="A14" s="118" t="s">
        <v>8723</v>
      </c>
      <c r="B14" s="166" t="s">
        <v>8722</v>
      </c>
      <c r="C14" s="166" t="s">
        <v>8721</v>
      </c>
    </row>
    <row r="15" spans="1:3" x14ac:dyDescent="0.25">
      <c r="A15" s="118" t="s">
        <v>8720</v>
      </c>
      <c r="B15" s="166" t="s">
        <v>4632</v>
      </c>
      <c r="C15" s="166" t="s">
        <v>8719</v>
      </c>
    </row>
    <row r="16" spans="1:3" x14ac:dyDescent="0.25">
      <c r="A16" s="118" t="s">
        <v>8718</v>
      </c>
      <c r="B16" s="166" t="s">
        <v>8717</v>
      </c>
      <c r="C16" s="166" t="s">
        <v>8716</v>
      </c>
    </row>
    <row r="17" spans="1:3" x14ac:dyDescent="0.25">
      <c r="A17" s="118" t="s">
        <v>8715</v>
      </c>
      <c r="B17" s="166" t="s">
        <v>8714</v>
      </c>
      <c r="C17" s="166" t="s">
        <v>8713</v>
      </c>
    </row>
    <row r="18" spans="1:3" x14ac:dyDescent="0.25">
      <c r="A18" s="118" t="s">
        <v>8712</v>
      </c>
      <c r="B18" s="166" t="s">
        <v>8711</v>
      </c>
      <c r="C18" s="166" t="s">
        <v>8710</v>
      </c>
    </row>
    <row r="19" spans="1:3" x14ac:dyDescent="0.25">
      <c r="A19" s="118" t="s">
        <v>8709</v>
      </c>
      <c r="B19" s="166" t="s">
        <v>8708</v>
      </c>
      <c r="C19" s="166" t="s">
        <v>8707</v>
      </c>
    </row>
    <row r="20" spans="1:3" x14ac:dyDescent="0.25">
      <c r="A20" s="118" t="s">
        <v>162</v>
      </c>
      <c r="B20" s="166" t="s">
        <v>8706</v>
      </c>
      <c r="C20" s="166" t="s">
        <v>8705</v>
      </c>
    </row>
    <row r="21" spans="1:3" s="118" customFormat="1" x14ac:dyDescent="0.25">
      <c r="A21" s="118" t="s">
        <v>8704</v>
      </c>
      <c r="B21" s="166" t="s">
        <v>286</v>
      </c>
      <c r="C21" s="166" t="s">
        <v>8703</v>
      </c>
    </row>
    <row r="22" spans="1:3" x14ac:dyDescent="0.25">
      <c r="A22" s="118" t="s">
        <v>8702</v>
      </c>
      <c r="B22" s="119" t="s">
        <v>8701</v>
      </c>
      <c r="C22" s="166" t="s">
        <v>8700</v>
      </c>
    </row>
    <row r="23" spans="1:3" x14ac:dyDescent="0.25">
      <c r="A23" s="118" t="s">
        <v>8699</v>
      </c>
      <c r="B23" s="166" t="s">
        <v>8698</v>
      </c>
      <c r="C23" s="166" t="s">
        <v>8697</v>
      </c>
    </row>
    <row r="24" spans="1:3" x14ac:dyDescent="0.25">
      <c r="A24" s="118" t="s">
        <v>8696</v>
      </c>
      <c r="B24" s="166" t="s">
        <v>8695</v>
      </c>
    </row>
    <row r="25" spans="1:3" x14ac:dyDescent="0.25">
      <c r="A25" s="118" t="s">
        <v>8694</v>
      </c>
      <c r="B25" s="166" t="s">
        <v>8693</v>
      </c>
      <c r="C25" s="166" t="s">
        <v>8692</v>
      </c>
    </row>
    <row r="26" spans="1:3" x14ac:dyDescent="0.25">
      <c r="A26" s="118" t="s">
        <v>8691</v>
      </c>
      <c r="B26" s="118" t="s">
        <v>8690</v>
      </c>
      <c r="C26" s="118" t="s">
        <v>8689</v>
      </c>
    </row>
    <row r="27" spans="1:3" ht="30" x14ac:dyDescent="0.25">
      <c r="A27" s="118" t="s">
        <v>162</v>
      </c>
      <c r="B27" s="119" t="s">
        <v>8688</v>
      </c>
      <c r="C27" s="119" t="s">
        <v>8687</v>
      </c>
    </row>
    <row r="28" spans="1:3" ht="60" x14ac:dyDescent="0.25">
      <c r="A28" s="118" t="s">
        <v>162</v>
      </c>
      <c r="B28" s="119" t="s">
        <v>8686</v>
      </c>
      <c r="C28" s="119" t="s">
        <v>8685</v>
      </c>
    </row>
    <row r="29" spans="1:3" x14ac:dyDescent="0.25">
      <c r="A29" s="118" t="s">
        <v>3280</v>
      </c>
      <c r="B29" s="166" t="s">
        <v>8684</v>
      </c>
      <c r="C29" s="166" t="s">
        <v>8683</v>
      </c>
    </row>
    <row r="30" spans="1:3" x14ac:dyDescent="0.25">
      <c r="A30" s="118" t="s">
        <v>162</v>
      </c>
      <c r="B30" s="119" t="s">
        <v>8682</v>
      </c>
      <c r="C30" s="119" t="s">
        <v>8681</v>
      </c>
    </row>
    <row r="31" spans="1:3" x14ac:dyDescent="0.25">
      <c r="A31" s="118" t="s">
        <v>8680</v>
      </c>
      <c r="B31" s="166" t="s">
        <v>8679</v>
      </c>
      <c r="C31" s="166" t="s">
        <v>8678</v>
      </c>
    </row>
    <row r="32" spans="1:3" x14ac:dyDescent="0.25">
      <c r="A32" s="118" t="s">
        <v>162</v>
      </c>
      <c r="B32" s="119" t="s">
        <v>8677</v>
      </c>
      <c r="C32" s="119" t="s">
        <v>8676</v>
      </c>
    </row>
    <row r="33" spans="1:3" x14ac:dyDescent="0.25">
      <c r="A33" s="118" t="s">
        <v>8675</v>
      </c>
      <c r="B33" s="166" t="s">
        <v>8674</v>
      </c>
      <c r="C33" s="166" t="s">
        <v>8673</v>
      </c>
    </row>
    <row r="34" spans="1:3" x14ac:dyDescent="0.25">
      <c r="A34" s="118" t="s">
        <v>8672</v>
      </c>
      <c r="B34" s="166" t="s">
        <v>8671</v>
      </c>
      <c r="C34" s="166" t="s">
        <v>8670</v>
      </c>
    </row>
    <row r="35" spans="1:3" x14ac:dyDescent="0.25">
      <c r="A35" s="118" t="s">
        <v>8669</v>
      </c>
      <c r="B35" s="166" t="s">
        <v>8668</v>
      </c>
      <c r="C35" s="166" t="s">
        <v>8667</v>
      </c>
    </row>
    <row r="36" spans="1:3" x14ac:dyDescent="0.25">
      <c r="A36" s="118" t="s">
        <v>162</v>
      </c>
      <c r="B36" s="166" t="s">
        <v>8666</v>
      </c>
      <c r="C36" s="166" t="s">
        <v>8665</v>
      </c>
    </row>
    <row r="37" spans="1:3" x14ac:dyDescent="0.25">
      <c r="A37" s="118" t="s">
        <v>162</v>
      </c>
      <c r="B37" s="119" t="s">
        <v>8664</v>
      </c>
      <c r="C37" s="119" t="s">
        <v>8663</v>
      </c>
    </row>
    <row r="38" spans="1:3" x14ac:dyDescent="0.25">
      <c r="A38" s="118" t="s">
        <v>4315</v>
      </c>
      <c r="B38" s="166" t="s">
        <v>4316</v>
      </c>
      <c r="C38" s="166" t="s">
        <v>8662</v>
      </c>
    </row>
    <row r="39" spans="1:3" x14ac:dyDescent="0.25">
      <c r="A39" s="118" t="s">
        <v>162</v>
      </c>
      <c r="B39" s="166" t="s">
        <v>8661</v>
      </c>
      <c r="C39" s="166" t="s">
        <v>8660</v>
      </c>
    </row>
    <row r="40" spans="1:3" x14ac:dyDescent="0.25">
      <c r="A40" s="118" t="s">
        <v>162</v>
      </c>
      <c r="B40" s="166" t="s">
        <v>8659</v>
      </c>
      <c r="C40" s="166" t="s">
        <v>8658</v>
      </c>
    </row>
    <row r="41" spans="1:3" x14ac:dyDescent="0.25">
      <c r="A41" s="118" t="s">
        <v>8657</v>
      </c>
      <c r="B41" s="176" t="s">
        <v>8657</v>
      </c>
      <c r="C41" s="119" t="s">
        <v>8656</v>
      </c>
    </row>
    <row r="42" spans="1:3" x14ac:dyDescent="0.25">
      <c r="A42" s="118" t="s">
        <v>162</v>
      </c>
      <c r="B42" s="166" t="s">
        <v>55</v>
      </c>
      <c r="C42" s="166" t="s">
        <v>8655</v>
      </c>
    </row>
    <row r="43" spans="1:3" x14ac:dyDescent="0.25">
      <c r="A43" s="118" t="s">
        <v>8654</v>
      </c>
      <c r="B43" s="166" t="s">
        <v>8653</v>
      </c>
      <c r="C43" s="166" t="s">
        <v>8652</v>
      </c>
    </row>
    <row r="44" spans="1:3" x14ac:dyDescent="0.25">
      <c r="A44" s="118" t="s">
        <v>8651</v>
      </c>
      <c r="B44" s="166" t="s">
        <v>8650</v>
      </c>
      <c r="C44" s="166" t="s">
        <v>8649</v>
      </c>
    </row>
    <row r="45" spans="1:3" x14ac:dyDescent="0.25">
      <c r="A45" s="118" t="s">
        <v>162</v>
      </c>
      <c r="B45" s="166" t="s">
        <v>8648</v>
      </c>
      <c r="C45" s="166" t="s">
        <v>8647</v>
      </c>
    </row>
    <row r="46" spans="1:3" x14ac:dyDescent="0.25">
      <c r="A46" s="118" t="s">
        <v>162</v>
      </c>
      <c r="B46" s="166" t="s">
        <v>8646</v>
      </c>
      <c r="C46" s="166" t="s">
        <v>8645</v>
      </c>
    </row>
    <row r="47" spans="1:3" x14ac:dyDescent="0.25">
      <c r="A47" s="118" t="s">
        <v>8644</v>
      </c>
      <c r="B47" s="166" t="s">
        <v>8643</v>
      </c>
      <c r="C47" s="166" t="s">
        <v>8642</v>
      </c>
    </row>
    <row r="48" spans="1:3" x14ac:dyDescent="0.25">
      <c r="A48" s="118" t="s">
        <v>8641</v>
      </c>
      <c r="B48" s="166" t="s">
        <v>4498</v>
      </c>
    </row>
    <row r="49" spans="1:3" x14ac:dyDescent="0.25">
      <c r="A49" s="118" t="s">
        <v>8640</v>
      </c>
      <c r="B49" s="166" t="s">
        <v>8639</v>
      </c>
      <c r="C49" s="166" t="s">
        <v>8638</v>
      </c>
    </row>
    <row r="50" spans="1:3" x14ac:dyDescent="0.25">
      <c r="A50" s="118" t="s">
        <v>8637</v>
      </c>
      <c r="B50" s="166" t="s">
        <v>8636</v>
      </c>
      <c r="C50" s="166" t="s">
        <v>8635</v>
      </c>
    </row>
    <row r="51" spans="1:3" x14ac:dyDescent="0.25">
      <c r="A51" s="118" t="s">
        <v>8634</v>
      </c>
      <c r="B51" s="166" t="s">
        <v>8633</v>
      </c>
    </row>
    <row r="52" spans="1:3" x14ac:dyDescent="0.25">
      <c r="A52" s="118" t="s">
        <v>8632</v>
      </c>
      <c r="B52" s="166" t="s">
        <v>8631</v>
      </c>
      <c r="C52" s="166" t="s">
        <v>8630</v>
      </c>
    </row>
    <row r="53" spans="1:3" ht="30" x14ac:dyDescent="0.25">
      <c r="A53" s="118" t="s">
        <v>162</v>
      </c>
      <c r="B53" s="119" t="s">
        <v>8629</v>
      </c>
      <c r="C53" s="119" t="s">
        <v>7811</v>
      </c>
    </row>
    <row r="54" spans="1:3" x14ac:dyDescent="0.25">
      <c r="A54" s="118" t="s">
        <v>8628</v>
      </c>
      <c r="B54" s="166" t="s">
        <v>8627</v>
      </c>
      <c r="C54" s="166" t="s">
        <v>8626</v>
      </c>
    </row>
    <row r="55" spans="1:3" x14ac:dyDescent="0.25">
      <c r="A55" s="118" t="s">
        <v>8625</v>
      </c>
      <c r="B55" s="118" t="s">
        <v>8624</v>
      </c>
      <c r="C55" s="118" t="s">
        <v>8623</v>
      </c>
    </row>
    <row r="56" spans="1:3" x14ac:dyDescent="0.25">
      <c r="A56" s="118" t="s">
        <v>8622</v>
      </c>
      <c r="B56" s="166" t="s">
        <v>8621</v>
      </c>
      <c r="C56" s="166" t="s">
        <v>8620</v>
      </c>
    </row>
    <row r="57" spans="1:3" x14ac:dyDescent="0.25">
      <c r="A57" s="118" t="s">
        <v>162</v>
      </c>
      <c r="B57" s="166" t="s">
        <v>8619</v>
      </c>
      <c r="C57" s="166" t="s">
        <v>8618</v>
      </c>
    </row>
    <row r="58" spans="1:3" x14ac:dyDescent="0.25">
      <c r="A58" s="118" t="s">
        <v>162</v>
      </c>
      <c r="B58" s="166" t="s">
        <v>8617</v>
      </c>
      <c r="C58" s="166" t="s">
        <v>8616</v>
      </c>
    </row>
    <row r="59" spans="1:3" x14ac:dyDescent="0.25">
      <c r="A59" s="118" t="s">
        <v>162</v>
      </c>
      <c r="B59" s="166" t="s">
        <v>8615</v>
      </c>
      <c r="C59" s="166" t="s">
        <v>8614</v>
      </c>
    </row>
    <row r="60" spans="1:3" x14ac:dyDescent="0.25">
      <c r="A60" s="118" t="s">
        <v>162</v>
      </c>
      <c r="B60" s="166" t="s">
        <v>8613</v>
      </c>
      <c r="C60" s="166" t="s">
        <v>8612</v>
      </c>
    </row>
    <row r="61" spans="1:3" x14ac:dyDescent="0.25">
      <c r="A61" s="118" t="s">
        <v>162</v>
      </c>
      <c r="B61" s="166" t="s">
        <v>8611</v>
      </c>
      <c r="C61" s="166" t="s">
        <v>8610</v>
      </c>
    </row>
    <row r="62" spans="1:3" x14ac:dyDescent="0.25">
      <c r="A62" s="118" t="s">
        <v>162</v>
      </c>
      <c r="B62" s="166" t="s">
        <v>8609</v>
      </c>
      <c r="C62" s="166" t="s">
        <v>8608</v>
      </c>
    </row>
    <row r="63" spans="1:3" x14ac:dyDescent="0.25">
      <c r="A63" s="118" t="s">
        <v>162</v>
      </c>
      <c r="B63" s="166" t="s">
        <v>8607</v>
      </c>
      <c r="C63" s="166" t="s">
        <v>8606</v>
      </c>
    </row>
    <row r="64" spans="1:3" x14ac:dyDescent="0.25">
      <c r="A64" s="118" t="s">
        <v>162</v>
      </c>
      <c r="B64" s="166" t="s">
        <v>8605</v>
      </c>
      <c r="C64" s="166" t="s">
        <v>8604</v>
      </c>
    </row>
    <row r="65" spans="1:3" x14ac:dyDescent="0.25">
      <c r="A65" s="118" t="s">
        <v>8603</v>
      </c>
      <c r="B65" s="166" t="s">
        <v>8602</v>
      </c>
      <c r="C65" s="166" t="s">
        <v>8601</v>
      </c>
    </row>
    <row r="66" spans="1:3" x14ac:dyDescent="0.25">
      <c r="A66" s="118" t="s">
        <v>8600</v>
      </c>
      <c r="B66" s="166" t="s">
        <v>8599</v>
      </c>
      <c r="C66" s="166" t="s">
        <v>8598</v>
      </c>
    </row>
    <row r="67" spans="1:3" x14ac:dyDescent="0.25">
      <c r="A67" s="118" t="s">
        <v>8597</v>
      </c>
      <c r="B67" s="166" t="s">
        <v>4319</v>
      </c>
      <c r="C67" s="166" t="s">
        <v>8596</v>
      </c>
    </row>
    <row r="68" spans="1:3" x14ac:dyDescent="0.25">
      <c r="A68" s="118" t="s">
        <v>8595</v>
      </c>
      <c r="B68" s="166" t="s">
        <v>4500</v>
      </c>
    </row>
    <row r="69" spans="1:3" x14ac:dyDescent="0.25">
      <c r="A69" s="118" t="s">
        <v>8594</v>
      </c>
      <c r="B69" s="166" t="s">
        <v>8593</v>
      </c>
      <c r="C69" s="166" t="s">
        <v>8592</v>
      </c>
    </row>
    <row r="70" spans="1:3" x14ac:dyDescent="0.25">
      <c r="A70" s="118" t="s">
        <v>8591</v>
      </c>
      <c r="B70" s="166" t="s">
        <v>8590</v>
      </c>
      <c r="C70" s="166" t="s">
        <v>8589</v>
      </c>
    </row>
  </sheetData>
  <autoFilter ref="A1:C70">
    <sortState ref="A2:C70">
      <sortCondition ref="B1:B48"/>
    </sortState>
  </autoFilter>
  <conditionalFormatting sqref="B1:B49 B64:B1048576">
    <cfRule type="duplicateValues" dxfId="4" priority="2"/>
  </conditionalFormatting>
  <conditionalFormatting sqref="B50:C63">
    <cfRule type="duplicateValues" dxfId="3"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32"/>
  <sheetViews>
    <sheetView zoomScale="85" zoomScaleNormal="85" workbookViewId="0">
      <selection activeCell="C11" sqref="C11"/>
    </sheetView>
  </sheetViews>
  <sheetFormatPr defaultRowHeight="15" x14ac:dyDescent="0.25"/>
  <cols>
    <col min="1" max="1" width="20.7109375" style="166" bestFit="1" customWidth="1"/>
    <col min="2" max="2" width="46.42578125" style="166" customWidth="1"/>
    <col min="3" max="3" width="21.85546875" style="166" bestFit="1" customWidth="1"/>
    <col min="4" max="4" width="40.42578125" style="166" customWidth="1"/>
    <col min="5" max="5" width="10" style="166" bestFit="1" customWidth="1"/>
    <col min="6" max="6" width="33.5703125" style="166" customWidth="1"/>
    <col min="7" max="7" width="17.85546875" style="166" bestFit="1" customWidth="1"/>
    <col min="8" max="8" width="52.85546875" style="166" customWidth="1"/>
    <col min="9" max="9" width="18.85546875" style="166" bestFit="1" customWidth="1"/>
    <col min="10" max="10" width="50.28515625" style="166" customWidth="1"/>
    <col min="11" max="11" width="20" style="166" bestFit="1" customWidth="1"/>
    <col min="12" max="12" width="47" style="166" customWidth="1"/>
    <col min="13" max="13" width="19.140625" style="166" bestFit="1" customWidth="1"/>
    <col min="14" max="14" width="55.7109375" style="166" customWidth="1"/>
    <col min="15" max="16384" width="9.140625" style="166"/>
  </cols>
  <sheetData>
    <row r="1" spans="1:14" ht="20.25" thickBot="1" x14ac:dyDescent="0.3">
      <c r="A1" s="285" t="s">
        <v>8835</v>
      </c>
      <c r="B1" s="284"/>
      <c r="C1" s="283" t="s">
        <v>8834</v>
      </c>
      <c r="D1" s="284"/>
      <c r="E1" s="283" t="s">
        <v>8833</v>
      </c>
      <c r="F1" s="284"/>
      <c r="G1" s="283" t="s">
        <v>8832</v>
      </c>
      <c r="H1" s="284"/>
      <c r="I1" s="283" t="s">
        <v>8831</v>
      </c>
      <c r="J1" s="284"/>
      <c r="K1" s="283" t="s">
        <v>8830</v>
      </c>
      <c r="L1" s="284"/>
      <c r="M1" s="283" t="s">
        <v>8829</v>
      </c>
      <c r="N1" s="284"/>
    </row>
    <row r="2" spans="1:14" ht="18.75" thickTop="1" thickBot="1" x14ac:dyDescent="0.3">
      <c r="A2" s="186" t="s">
        <v>612</v>
      </c>
      <c r="B2" s="184" t="s">
        <v>286</v>
      </c>
      <c r="C2" s="185" t="s">
        <v>612</v>
      </c>
      <c r="D2" s="184" t="s">
        <v>286</v>
      </c>
      <c r="E2" s="185" t="s">
        <v>612</v>
      </c>
      <c r="F2" s="184" t="s">
        <v>286</v>
      </c>
      <c r="G2" s="185" t="s">
        <v>612</v>
      </c>
      <c r="H2" s="184" t="s">
        <v>286</v>
      </c>
      <c r="I2" s="185" t="s">
        <v>612</v>
      </c>
      <c r="J2" s="184" t="s">
        <v>286</v>
      </c>
      <c r="K2" s="185" t="s">
        <v>612</v>
      </c>
      <c r="L2" s="184" t="s">
        <v>286</v>
      </c>
      <c r="M2" s="185" t="s">
        <v>612</v>
      </c>
      <c r="N2" s="184" t="s">
        <v>286</v>
      </c>
    </row>
    <row r="3" spans="1:14" ht="45.75" thickTop="1" x14ac:dyDescent="0.25">
      <c r="A3" s="183" t="s">
        <v>157</v>
      </c>
      <c r="B3" s="181" t="s">
        <v>8828</v>
      </c>
      <c r="C3" s="182" t="s">
        <v>156</v>
      </c>
      <c r="D3" s="181" t="s">
        <v>8827</v>
      </c>
      <c r="E3" s="182" t="s">
        <v>155</v>
      </c>
      <c r="F3" s="181" t="s">
        <v>8826</v>
      </c>
      <c r="G3" s="182" t="s">
        <v>154</v>
      </c>
      <c r="H3" s="181" t="s">
        <v>8825</v>
      </c>
      <c r="I3" s="182" t="s">
        <v>152</v>
      </c>
      <c r="J3" s="181" t="s">
        <v>8794</v>
      </c>
      <c r="K3" s="182" t="s">
        <v>148</v>
      </c>
      <c r="L3" s="181" t="s">
        <v>8824</v>
      </c>
      <c r="M3" s="182" t="s">
        <v>147</v>
      </c>
      <c r="N3" s="181" t="s">
        <v>8823</v>
      </c>
    </row>
    <row r="4" spans="1:14" ht="45" x14ac:dyDescent="0.25">
      <c r="A4" s="183" t="s">
        <v>173</v>
      </c>
      <c r="B4" s="181" t="s">
        <v>8822</v>
      </c>
      <c r="C4" s="182" t="s">
        <v>172</v>
      </c>
      <c r="D4" s="181" t="s">
        <v>8821</v>
      </c>
      <c r="E4" s="182" t="s">
        <v>171</v>
      </c>
      <c r="F4" s="181" t="s">
        <v>8820</v>
      </c>
      <c r="G4" s="182" t="s">
        <v>170</v>
      </c>
      <c r="H4" s="181" t="s">
        <v>8819</v>
      </c>
      <c r="I4" s="182" t="s">
        <v>168</v>
      </c>
      <c r="J4" s="181" t="s">
        <v>8792</v>
      </c>
      <c r="K4" s="182" t="s">
        <v>164</v>
      </c>
      <c r="L4" s="181" t="s">
        <v>8818</v>
      </c>
      <c r="M4" s="182" t="s">
        <v>163</v>
      </c>
      <c r="N4" s="181" t="s">
        <v>8817</v>
      </c>
    </row>
    <row r="5" spans="1:14" ht="60" x14ac:dyDescent="0.25">
      <c r="A5" s="183" t="s">
        <v>188</v>
      </c>
      <c r="B5" s="181" t="s">
        <v>8816</v>
      </c>
      <c r="C5" s="182" t="s">
        <v>187</v>
      </c>
      <c r="D5" s="181" t="s">
        <v>8784</v>
      </c>
      <c r="E5" s="182" t="s">
        <v>186</v>
      </c>
      <c r="F5" s="181" t="s">
        <v>8815</v>
      </c>
      <c r="G5" s="182" t="s">
        <v>185</v>
      </c>
      <c r="H5" s="181" t="s">
        <v>8814</v>
      </c>
      <c r="I5" s="182" t="s">
        <v>183</v>
      </c>
      <c r="J5" s="181" t="s">
        <v>8789</v>
      </c>
      <c r="K5" s="182" t="s">
        <v>179</v>
      </c>
      <c r="L5" s="181" t="s">
        <v>8813</v>
      </c>
      <c r="M5" s="182" t="s">
        <v>178</v>
      </c>
      <c r="N5" s="181" t="s">
        <v>8812</v>
      </c>
    </row>
    <row r="6" spans="1:14" ht="60" x14ac:dyDescent="0.25">
      <c r="A6" s="183" t="s">
        <v>201</v>
      </c>
      <c r="B6" s="181" t="s">
        <v>8811</v>
      </c>
      <c r="C6" s="182" t="s">
        <v>200</v>
      </c>
      <c r="D6" s="181" t="s">
        <v>8810</v>
      </c>
      <c r="E6" s="182" t="s">
        <v>199</v>
      </c>
      <c r="F6" s="181" t="s">
        <v>8809</v>
      </c>
      <c r="G6" s="182"/>
      <c r="H6" s="181"/>
      <c r="I6" s="182" t="s">
        <v>197</v>
      </c>
      <c r="J6" s="181" t="s">
        <v>8779</v>
      </c>
      <c r="K6" s="182" t="s">
        <v>193</v>
      </c>
      <c r="L6" s="181" t="s">
        <v>8808</v>
      </c>
      <c r="M6" s="182" t="s">
        <v>192</v>
      </c>
      <c r="N6" s="181" t="s">
        <v>8807</v>
      </c>
    </row>
    <row r="7" spans="1:14" ht="45" x14ac:dyDescent="0.25">
      <c r="A7" s="183" t="s">
        <v>212</v>
      </c>
      <c r="B7" s="181" t="s">
        <v>8806</v>
      </c>
      <c r="C7" s="182" t="s">
        <v>211</v>
      </c>
      <c r="D7" s="181" t="s">
        <v>8805</v>
      </c>
      <c r="E7" s="182"/>
      <c r="F7" s="181"/>
      <c r="G7" s="182"/>
      <c r="H7" s="181"/>
      <c r="I7" s="182" t="s">
        <v>209</v>
      </c>
      <c r="J7" s="181" t="s">
        <v>8776</v>
      </c>
      <c r="K7" s="182" t="s">
        <v>205</v>
      </c>
      <c r="L7" s="181" t="s">
        <v>8802</v>
      </c>
      <c r="M7" s="182" t="s">
        <v>204</v>
      </c>
      <c r="N7" s="181" t="s">
        <v>8804</v>
      </c>
    </row>
    <row r="8" spans="1:14" ht="30" x14ac:dyDescent="0.25">
      <c r="A8" s="183"/>
      <c r="B8" s="181"/>
      <c r="C8" s="182" t="s">
        <v>222</v>
      </c>
      <c r="D8" s="181" t="s">
        <v>8803</v>
      </c>
      <c r="E8" s="182"/>
      <c r="F8" s="181"/>
      <c r="G8" s="182"/>
      <c r="H8" s="181"/>
      <c r="I8" s="182" t="s">
        <v>220</v>
      </c>
      <c r="J8" s="181" t="s">
        <v>8773</v>
      </c>
      <c r="K8" s="182" t="s">
        <v>216</v>
      </c>
      <c r="L8" s="181" t="s">
        <v>8802</v>
      </c>
      <c r="M8" s="182" t="s">
        <v>215</v>
      </c>
      <c r="N8" s="181" t="s">
        <v>8801</v>
      </c>
    </row>
    <row r="9" spans="1:14" ht="30" x14ac:dyDescent="0.25">
      <c r="A9" s="183"/>
      <c r="B9" s="181"/>
      <c r="C9" s="182" t="s">
        <v>232</v>
      </c>
      <c r="D9" s="181" t="s">
        <v>8800</v>
      </c>
      <c r="E9" s="182"/>
      <c r="F9" s="181"/>
      <c r="G9" s="182"/>
      <c r="H9" s="181"/>
      <c r="I9" s="182" t="s">
        <v>230</v>
      </c>
      <c r="J9" s="181" t="s">
        <v>8772</v>
      </c>
      <c r="K9" s="182" t="s">
        <v>226</v>
      </c>
      <c r="L9" s="181" t="s">
        <v>8799</v>
      </c>
      <c r="M9" s="182" t="s">
        <v>225</v>
      </c>
      <c r="N9" s="181" t="s">
        <v>8798</v>
      </c>
    </row>
    <row r="10" spans="1:14" ht="30" x14ac:dyDescent="0.25">
      <c r="A10" s="183"/>
      <c r="B10" s="181"/>
      <c r="C10" s="182" t="s">
        <v>241</v>
      </c>
      <c r="D10" s="181" t="s">
        <v>8797</v>
      </c>
      <c r="E10" s="182"/>
      <c r="F10" s="181"/>
      <c r="G10" s="182"/>
      <c r="H10" s="181"/>
      <c r="I10" s="182" t="s">
        <v>239</v>
      </c>
      <c r="J10" s="181" t="s">
        <v>8771</v>
      </c>
      <c r="K10" s="182" t="s">
        <v>236</v>
      </c>
      <c r="L10" s="181" t="s">
        <v>8796</v>
      </c>
      <c r="M10" s="182" t="s">
        <v>235</v>
      </c>
      <c r="N10" s="181" t="s">
        <v>8795</v>
      </c>
    </row>
    <row r="11" spans="1:14" ht="75" x14ac:dyDescent="0.25">
      <c r="A11" s="183"/>
      <c r="B11" s="181"/>
      <c r="C11" s="182" t="s">
        <v>248</v>
      </c>
      <c r="D11" s="181" t="s">
        <v>8780</v>
      </c>
      <c r="E11" s="182"/>
      <c r="F11" s="181"/>
      <c r="G11" s="182"/>
      <c r="H11" s="181"/>
      <c r="I11" s="182" t="s">
        <v>247</v>
      </c>
      <c r="J11" s="181" t="s">
        <v>8770</v>
      </c>
      <c r="K11" s="182" t="s">
        <v>152</v>
      </c>
      <c r="L11" s="181" t="s">
        <v>8794</v>
      </c>
      <c r="M11" s="182" t="s">
        <v>244</v>
      </c>
      <c r="N11" s="181" t="s">
        <v>8793</v>
      </c>
    </row>
    <row r="12" spans="1:14" ht="45" x14ac:dyDescent="0.25">
      <c r="A12" s="183"/>
      <c r="B12" s="181"/>
      <c r="C12" s="182" t="s">
        <v>255</v>
      </c>
      <c r="D12" s="181" t="s">
        <v>8768</v>
      </c>
      <c r="E12" s="182"/>
      <c r="F12" s="181"/>
      <c r="G12" s="182"/>
      <c r="H12" s="181"/>
      <c r="I12" s="182" t="s">
        <v>254</v>
      </c>
      <c r="J12" s="181" t="s">
        <v>8769</v>
      </c>
      <c r="K12" s="182" t="s">
        <v>168</v>
      </c>
      <c r="L12" s="181" t="s">
        <v>8792</v>
      </c>
      <c r="M12" s="182" t="s">
        <v>251</v>
      </c>
      <c r="N12" s="181" t="s">
        <v>8791</v>
      </c>
    </row>
    <row r="13" spans="1:14" ht="45" x14ac:dyDescent="0.25">
      <c r="A13" s="183"/>
      <c r="B13" s="181"/>
      <c r="C13" s="182" t="s">
        <v>260</v>
      </c>
      <c r="D13" s="181" t="s">
        <v>8790</v>
      </c>
      <c r="E13" s="182"/>
      <c r="F13" s="181"/>
      <c r="G13" s="182"/>
      <c r="H13" s="181"/>
      <c r="I13" s="182" t="s">
        <v>246</v>
      </c>
      <c r="J13" s="181" t="s">
        <v>8767</v>
      </c>
      <c r="K13" s="182" t="s">
        <v>183</v>
      </c>
      <c r="L13" s="181" t="s">
        <v>8789</v>
      </c>
      <c r="M13" s="182" t="s">
        <v>257</v>
      </c>
      <c r="N13" s="181" t="s">
        <v>8788</v>
      </c>
    </row>
    <row r="14" spans="1:14" ht="45" x14ac:dyDescent="0.25">
      <c r="A14" s="183"/>
      <c r="B14" s="181"/>
      <c r="C14" s="182" t="s">
        <v>246</v>
      </c>
      <c r="D14" s="181" t="s">
        <v>8767</v>
      </c>
      <c r="E14" s="182"/>
      <c r="F14" s="181"/>
      <c r="G14" s="182"/>
      <c r="H14" s="181"/>
      <c r="I14" s="182" t="s">
        <v>266</v>
      </c>
      <c r="J14" s="181" t="s">
        <v>8766</v>
      </c>
      <c r="K14" s="182" t="s">
        <v>263</v>
      </c>
      <c r="L14" s="181" t="s">
        <v>8787</v>
      </c>
      <c r="M14" s="182" t="s">
        <v>262</v>
      </c>
      <c r="N14" s="181" t="s">
        <v>8786</v>
      </c>
    </row>
    <row r="15" spans="1:14" ht="45" x14ac:dyDescent="0.25">
      <c r="A15" s="183"/>
      <c r="B15" s="181"/>
      <c r="C15" s="182" t="s">
        <v>272</v>
      </c>
      <c r="D15" s="181" t="s">
        <v>8785</v>
      </c>
      <c r="E15" s="182"/>
      <c r="F15" s="181"/>
      <c r="G15" s="182"/>
      <c r="H15" s="181"/>
      <c r="I15" s="182" t="s">
        <v>271</v>
      </c>
      <c r="J15" s="181" t="s">
        <v>8765</v>
      </c>
      <c r="K15" s="182" t="s">
        <v>187</v>
      </c>
      <c r="L15" s="181" t="s">
        <v>8784</v>
      </c>
      <c r="M15" s="182" t="s">
        <v>268</v>
      </c>
      <c r="N15" s="181" t="s">
        <v>8783</v>
      </c>
    </row>
    <row r="16" spans="1:14" ht="60" x14ac:dyDescent="0.25">
      <c r="A16" s="183"/>
      <c r="B16" s="181"/>
      <c r="C16" s="182" t="s">
        <v>277</v>
      </c>
      <c r="D16" s="181" t="s">
        <v>8782</v>
      </c>
      <c r="E16" s="182"/>
      <c r="F16" s="181"/>
      <c r="G16" s="182"/>
      <c r="H16" s="181"/>
      <c r="I16" s="182" t="s">
        <v>276</v>
      </c>
      <c r="J16" s="181" t="s">
        <v>8781</v>
      </c>
      <c r="K16" s="182" t="s">
        <v>248</v>
      </c>
      <c r="L16" s="181" t="s">
        <v>8780</v>
      </c>
      <c r="M16" s="182"/>
      <c r="N16" s="181"/>
    </row>
    <row r="17" spans="1:14" ht="45" x14ac:dyDescent="0.25">
      <c r="A17" s="183"/>
      <c r="B17" s="181"/>
      <c r="C17" s="182" t="s">
        <v>280</v>
      </c>
      <c r="D17" s="181" t="s">
        <v>8762</v>
      </c>
      <c r="E17" s="182"/>
      <c r="F17" s="181"/>
      <c r="G17" s="182"/>
      <c r="H17" s="181"/>
      <c r="I17" s="182" t="s">
        <v>279</v>
      </c>
      <c r="J17" s="181" t="s">
        <v>8764</v>
      </c>
      <c r="K17" s="182" t="s">
        <v>197</v>
      </c>
      <c r="L17" s="181" t="s">
        <v>8779</v>
      </c>
      <c r="M17" s="182"/>
      <c r="N17" s="181"/>
    </row>
    <row r="18" spans="1:14" ht="60" x14ac:dyDescent="0.25">
      <c r="A18" s="183"/>
      <c r="B18" s="181"/>
      <c r="C18" s="182" t="s">
        <v>282</v>
      </c>
      <c r="D18" s="181" t="s">
        <v>8778</v>
      </c>
      <c r="E18" s="182"/>
      <c r="F18" s="181"/>
      <c r="G18" s="182"/>
      <c r="H18" s="181"/>
      <c r="I18" s="182" t="s">
        <v>281</v>
      </c>
      <c r="J18" s="181" t="s">
        <v>8777</v>
      </c>
      <c r="K18" s="182" t="s">
        <v>209</v>
      </c>
      <c r="L18" s="181" t="s">
        <v>8776</v>
      </c>
      <c r="M18" s="182"/>
      <c r="N18" s="181"/>
    </row>
    <row r="19" spans="1:14" ht="45" x14ac:dyDescent="0.25">
      <c r="A19" s="183"/>
      <c r="B19" s="181"/>
      <c r="C19" s="182"/>
      <c r="D19" s="181"/>
      <c r="E19" s="182"/>
      <c r="F19" s="181"/>
      <c r="G19" s="182"/>
      <c r="H19" s="181"/>
      <c r="I19" s="182" t="s">
        <v>283</v>
      </c>
      <c r="J19" s="181" t="s">
        <v>8761</v>
      </c>
      <c r="K19" s="182" t="s">
        <v>8775</v>
      </c>
      <c r="L19" s="181" t="s">
        <v>8774</v>
      </c>
      <c r="M19" s="182"/>
      <c r="N19" s="181"/>
    </row>
    <row r="20" spans="1:14" x14ac:dyDescent="0.25">
      <c r="A20" s="183"/>
      <c r="B20" s="181"/>
      <c r="C20" s="182"/>
      <c r="D20" s="181"/>
      <c r="E20" s="182"/>
      <c r="F20" s="181"/>
      <c r="G20" s="182"/>
      <c r="H20" s="181"/>
      <c r="I20" s="182"/>
      <c r="J20" s="181"/>
      <c r="K20" s="182" t="s">
        <v>220</v>
      </c>
      <c r="L20" s="181" t="s">
        <v>8773</v>
      </c>
      <c r="M20" s="182"/>
      <c r="N20" s="181"/>
    </row>
    <row r="21" spans="1:14" x14ac:dyDescent="0.25">
      <c r="A21" s="183"/>
      <c r="B21" s="181"/>
      <c r="C21" s="182"/>
      <c r="D21" s="181"/>
      <c r="E21" s="182"/>
      <c r="F21" s="181"/>
      <c r="G21" s="182"/>
      <c r="H21" s="181"/>
      <c r="I21" s="182"/>
      <c r="J21" s="181"/>
      <c r="K21" s="182" t="s">
        <v>230</v>
      </c>
      <c r="L21" s="181" t="s">
        <v>8772</v>
      </c>
      <c r="M21" s="182"/>
      <c r="N21" s="181"/>
    </row>
    <row r="22" spans="1:14" ht="30" x14ac:dyDescent="0.25">
      <c r="A22" s="183"/>
      <c r="B22" s="181"/>
      <c r="C22" s="182"/>
      <c r="D22" s="181"/>
      <c r="E22" s="182"/>
      <c r="F22" s="181"/>
      <c r="G22" s="182"/>
      <c r="H22" s="181"/>
      <c r="I22" s="182"/>
      <c r="J22" s="181"/>
      <c r="K22" s="182" t="s">
        <v>239</v>
      </c>
      <c r="L22" s="181" t="s">
        <v>8771</v>
      </c>
      <c r="M22" s="182"/>
      <c r="N22" s="181"/>
    </row>
    <row r="23" spans="1:14" ht="75" x14ac:dyDescent="0.25">
      <c r="A23" s="183"/>
      <c r="B23" s="181"/>
      <c r="C23" s="182"/>
      <c r="D23" s="181"/>
      <c r="E23" s="182"/>
      <c r="F23" s="181"/>
      <c r="G23" s="182"/>
      <c r="H23" s="181"/>
      <c r="I23" s="182"/>
      <c r="J23" s="181"/>
      <c r="K23" s="182" t="s">
        <v>247</v>
      </c>
      <c r="L23" s="181" t="s">
        <v>8770</v>
      </c>
      <c r="M23" s="182"/>
      <c r="N23" s="181"/>
    </row>
    <row r="24" spans="1:14" ht="30" x14ac:dyDescent="0.25">
      <c r="A24" s="183"/>
      <c r="B24" s="181"/>
      <c r="C24" s="182"/>
      <c r="D24" s="181"/>
      <c r="E24" s="182"/>
      <c r="F24" s="181"/>
      <c r="G24" s="182"/>
      <c r="H24" s="181"/>
      <c r="I24" s="182"/>
      <c r="J24" s="181"/>
      <c r="K24" s="182" t="s">
        <v>254</v>
      </c>
      <c r="L24" s="181" t="s">
        <v>8769</v>
      </c>
      <c r="M24" s="182"/>
      <c r="N24" s="181"/>
    </row>
    <row r="25" spans="1:14" x14ac:dyDescent="0.25">
      <c r="A25" s="183"/>
      <c r="B25" s="181"/>
      <c r="C25" s="182"/>
      <c r="D25" s="181"/>
      <c r="E25" s="182"/>
      <c r="F25" s="181"/>
      <c r="G25" s="182"/>
      <c r="H25" s="181"/>
      <c r="I25" s="182"/>
      <c r="J25" s="181"/>
      <c r="K25" s="182" t="s">
        <v>255</v>
      </c>
      <c r="L25" s="181" t="s">
        <v>8768</v>
      </c>
      <c r="M25" s="182"/>
      <c r="N25" s="181"/>
    </row>
    <row r="26" spans="1:14" x14ac:dyDescent="0.25">
      <c r="A26" s="183"/>
      <c r="B26" s="181"/>
      <c r="C26" s="182"/>
      <c r="D26" s="181"/>
      <c r="E26" s="182"/>
      <c r="F26" s="181"/>
      <c r="G26" s="182"/>
      <c r="H26" s="181"/>
      <c r="I26" s="182"/>
      <c r="J26" s="181"/>
      <c r="K26" s="182" t="s">
        <v>246</v>
      </c>
      <c r="L26" s="181" t="s">
        <v>8767</v>
      </c>
      <c r="M26" s="182"/>
      <c r="N26" s="181"/>
    </row>
    <row r="27" spans="1:14" ht="60" x14ac:dyDescent="0.25">
      <c r="A27" s="183"/>
      <c r="B27" s="181"/>
      <c r="C27" s="182"/>
      <c r="D27" s="181"/>
      <c r="E27" s="182"/>
      <c r="F27" s="181"/>
      <c r="G27" s="182"/>
      <c r="H27" s="181"/>
      <c r="I27" s="182"/>
      <c r="J27" s="181"/>
      <c r="K27" s="182" t="s">
        <v>266</v>
      </c>
      <c r="L27" s="181" t="s">
        <v>8766</v>
      </c>
      <c r="M27" s="182"/>
      <c r="N27" s="181"/>
    </row>
    <row r="28" spans="1:14" ht="45" x14ac:dyDescent="0.25">
      <c r="A28" s="183"/>
      <c r="B28" s="181"/>
      <c r="C28" s="182"/>
      <c r="D28" s="181"/>
      <c r="E28" s="182"/>
      <c r="F28" s="181"/>
      <c r="G28" s="182"/>
      <c r="H28" s="181"/>
      <c r="I28" s="182"/>
      <c r="J28" s="181"/>
      <c r="K28" s="182" t="s">
        <v>271</v>
      </c>
      <c r="L28" s="181" t="s">
        <v>8765</v>
      </c>
      <c r="M28" s="182"/>
      <c r="N28" s="181"/>
    </row>
    <row r="29" spans="1:14" ht="30" x14ac:dyDescent="0.25">
      <c r="A29" s="183"/>
      <c r="B29" s="181"/>
      <c r="C29" s="182"/>
      <c r="D29" s="181"/>
      <c r="E29" s="182"/>
      <c r="F29" s="181"/>
      <c r="G29" s="182"/>
      <c r="H29" s="181"/>
      <c r="I29" s="182"/>
      <c r="J29" s="181"/>
      <c r="K29" s="182" t="s">
        <v>279</v>
      </c>
      <c r="L29" s="181" t="s">
        <v>8764</v>
      </c>
      <c r="M29" s="182"/>
      <c r="N29" s="181"/>
    </row>
    <row r="30" spans="1:14" ht="30" x14ac:dyDescent="0.25">
      <c r="A30" s="183"/>
      <c r="B30" s="181"/>
      <c r="C30" s="182"/>
      <c r="D30" s="181"/>
      <c r="E30" s="182"/>
      <c r="F30" s="181"/>
      <c r="G30" s="182"/>
      <c r="H30" s="181"/>
      <c r="I30" s="182"/>
      <c r="J30" s="181"/>
      <c r="K30" s="182" t="s">
        <v>284</v>
      </c>
      <c r="L30" s="181" t="s">
        <v>8763</v>
      </c>
      <c r="M30" s="182"/>
      <c r="N30" s="181"/>
    </row>
    <row r="31" spans="1:14" x14ac:dyDescent="0.25">
      <c r="A31" s="183"/>
      <c r="B31" s="181"/>
      <c r="C31" s="182"/>
      <c r="D31" s="181"/>
      <c r="E31" s="182"/>
      <c r="F31" s="181"/>
      <c r="G31" s="182"/>
      <c r="H31" s="181"/>
      <c r="I31" s="182"/>
      <c r="J31" s="181"/>
      <c r="K31" s="182" t="s">
        <v>280</v>
      </c>
      <c r="L31" s="181" t="s">
        <v>8762</v>
      </c>
      <c r="M31" s="182"/>
      <c r="N31" s="181"/>
    </row>
    <row r="32" spans="1:14" ht="45" x14ac:dyDescent="0.25">
      <c r="A32" s="183"/>
      <c r="B32" s="181"/>
      <c r="C32" s="182"/>
      <c r="D32" s="181"/>
      <c r="E32" s="182"/>
      <c r="F32" s="181"/>
      <c r="G32" s="182"/>
      <c r="H32" s="181"/>
      <c r="I32" s="182"/>
      <c r="J32" s="181"/>
      <c r="K32" s="182" t="s">
        <v>283</v>
      </c>
      <c r="L32" s="181" t="s">
        <v>8761</v>
      </c>
      <c r="M32" s="182"/>
      <c r="N32" s="181"/>
    </row>
  </sheetData>
  <mergeCells count="7">
    <mergeCell ref="M1:N1"/>
    <mergeCell ref="A1:B1"/>
    <mergeCell ref="C1:D1"/>
    <mergeCell ref="E1:F1"/>
    <mergeCell ref="G1:H1"/>
    <mergeCell ref="I1:J1"/>
    <mergeCell ref="K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43"/>
  <sheetViews>
    <sheetView workbookViewId="0">
      <selection activeCell="B5" sqref="B5"/>
    </sheetView>
  </sheetViews>
  <sheetFormatPr defaultRowHeight="15" x14ac:dyDescent="0.25"/>
  <cols>
    <col min="1" max="1" width="9.7109375" style="158" customWidth="1"/>
    <col min="2" max="2" width="37.42578125" style="181" customWidth="1"/>
    <col min="3" max="3" width="10.140625" style="158" bestFit="1" customWidth="1"/>
    <col min="4" max="4" width="34.140625" style="187" customWidth="1"/>
    <col min="5" max="5" width="10.140625" style="158" bestFit="1" customWidth="1"/>
    <col min="6" max="6" width="32.42578125" style="181" customWidth="1"/>
    <col min="7" max="7" width="10.140625" style="158" bestFit="1" customWidth="1"/>
    <col min="8" max="8" width="20.5703125" style="187" bestFit="1" customWidth="1"/>
    <col min="9" max="16384" width="9.140625" style="166"/>
  </cols>
  <sheetData>
    <row r="1" spans="1:8" ht="20.25" thickBot="1" x14ac:dyDescent="0.3">
      <c r="A1" s="286" t="s">
        <v>6</v>
      </c>
      <c r="B1" s="286"/>
      <c r="C1" s="286" t="s">
        <v>11</v>
      </c>
      <c r="D1" s="286"/>
      <c r="E1" s="286" t="s">
        <v>4</v>
      </c>
      <c r="F1" s="286"/>
      <c r="G1" s="286" t="s">
        <v>18</v>
      </c>
      <c r="H1" s="286"/>
    </row>
    <row r="2" spans="1:8" ht="16.5" thickTop="1" thickBot="1" x14ac:dyDescent="0.3">
      <c r="A2" s="191" t="s">
        <v>612</v>
      </c>
      <c r="B2" s="192" t="s">
        <v>286</v>
      </c>
      <c r="C2" s="191" t="s">
        <v>612</v>
      </c>
      <c r="D2" s="190" t="s">
        <v>286</v>
      </c>
      <c r="E2" s="191" t="s">
        <v>612</v>
      </c>
      <c r="F2" s="192" t="s">
        <v>286</v>
      </c>
      <c r="G2" s="191" t="s">
        <v>612</v>
      </c>
      <c r="H2" s="190" t="s">
        <v>286</v>
      </c>
    </row>
    <row r="3" spans="1:8" ht="90" x14ac:dyDescent="0.25">
      <c r="A3" s="158" t="s">
        <v>1</v>
      </c>
      <c r="B3" s="181" t="s">
        <v>9099</v>
      </c>
      <c r="C3" s="158" t="s">
        <v>1</v>
      </c>
      <c r="D3" s="181" t="s">
        <v>9099</v>
      </c>
      <c r="E3" s="158" t="s">
        <v>6784</v>
      </c>
      <c r="F3" s="181" t="s">
        <v>9098</v>
      </c>
      <c r="G3" s="189" t="s">
        <v>6871</v>
      </c>
      <c r="H3" s="188" t="s">
        <v>8998</v>
      </c>
    </row>
    <row r="4" spans="1:8" ht="90" customHeight="1" x14ac:dyDescent="0.25">
      <c r="A4" s="158" t="s">
        <v>6823</v>
      </c>
      <c r="B4" s="181" t="s">
        <v>9097</v>
      </c>
      <c r="C4" s="158" t="s">
        <v>6823</v>
      </c>
      <c r="D4" s="181" t="s">
        <v>9097</v>
      </c>
      <c r="E4" s="158" t="s">
        <v>6785</v>
      </c>
      <c r="F4" s="181" t="s">
        <v>9096</v>
      </c>
      <c r="G4" s="182"/>
    </row>
    <row r="5" spans="1:8" ht="60" customHeight="1" x14ac:dyDescent="0.25">
      <c r="A5" s="158" t="s">
        <v>6824</v>
      </c>
      <c r="B5" s="181" t="s">
        <v>9095</v>
      </c>
      <c r="C5" s="158" t="s">
        <v>6824</v>
      </c>
      <c r="D5" s="181" t="s">
        <v>9095</v>
      </c>
      <c r="E5" s="158" t="s">
        <v>6786</v>
      </c>
      <c r="F5" s="181" t="s">
        <v>9094</v>
      </c>
      <c r="G5" s="182"/>
    </row>
    <row r="6" spans="1:8" ht="75" x14ac:dyDescent="0.25">
      <c r="A6" s="158" t="s">
        <v>315</v>
      </c>
      <c r="B6" s="181" t="s">
        <v>9093</v>
      </c>
      <c r="C6" s="158" t="s">
        <v>315</v>
      </c>
      <c r="D6" s="181" t="s">
        <v>9093</v>
      </c>
      <c r="E6" s="158" t="s">
        <v>6787</v>
      </c>
      <c r="F6" s="181" t="s">
        <v>9092</v>
      </c>
      <c r="G6" s="182"/>
    </row>
    <row r="7" spans="1:8" ht="45" x14ac:dyDescent="0.25">
      <c r="A7" s="158" t="s">
        <v>6825</v>
      </c>
      <c r="B7" s="181" t="s">
        <v>9091</v>
      </c>
      <c r="C7" s="158" t="s">
        <v>6825</v>
      </c>
      <c r="D7" s="181" t="s">
        <v>9091</v>
      </c>
      <c r="E7" s="158" t="s">
        <v>6788</v>
      </c>
      <c r="F7" s="181" t="s">
        <v>9090</v>
      </c>
      <c r="G7" s="182"/>
    </row>
    <row r="8" spans="1:8" ht="45" x14ac:dyDescent="0.25">
      <c r="A8" s="158" t="s">
        <v>6826</v>
      </c>
      <c r="B8" s="181" t="s">
        <v>9089</v>
      </c>
      <c r="C8" s="158" t="s">
        <v>6826</v>
      </c>
      <c r="D8" s="181" t="s">
        <v>9089</v>
      </c>
      <c r="E8" s="158" t="s">
        <v>6789</v>
      </c>
      <c r="F8" s="181" t="s">
        <v>9088</v>
      </c>
    </row>
    <row r="9" spans="1:8" ht="105" x14ac:dyDescent="0.25">
      <c r="A9" s="158" t="s">
        <v>6827</v>
      </c>
      <c r="B9" s="181" t="s">
        <v>9087</v>
      </c>
      <c r="C9" s="158" t="s">
        <v>6827</v>
      </c>
      <c r="D9" s="181" t="s">
        <v>9087</v>
      </c>
      <c r="E9" s="158" t="s">
        <v>6790</v>
      </c>
      <c r="F9" s="181" t="s">
        <v>9086</v>
      </c>
    </row>
    <row r="10" spans="1:8" ht="60" x14ac:dyDescent="0.25">
      <c r="A10" s="158" t="s">
        <v>6828</v>
      </c>
      <c r="B10" s="181" t="s">
        <v>9085</v>
      </c>
      <c r="C10" s="158" t="s">
        <v>6828</v>
      </c>
      <c r="D10" s="181" t="s">
        <v>9085</v>
      </c>
      <c r="E10" s="158" t="s">
        <v>6791</v>
      </c>
      <c r="F10" s="181" t="s">
        <v>9084</v>
      </c>
    </row>
    <row r="11" spans="1:8" ht="90" x14ac:dyDescent="0.25">
      <c r="A11" s="158" t="s">
        <v>6829</v>
      </c>
      <c r="B11" s="181" t="s">
        <v>9083</v>
      </c>
      <c r="C11" s="158" t="s">
        <v>6829</v>
      </c>
      <c r="D11" s="181" t="s">
        <v>9083</v>
      </c>
      <c r="E11" s="158" t="s">
        <v>6792</v>
      </c>
      <c r="F11" s="181" t="s">
        <v>6792</v>
      </c>
    </row>
    <row r="12" spans="1:8" x14ac:dyDescent="0.25">
      <c r="A12" s="158" t="s">
        <v>6830</v>
      </c>
      <c r="B12" s="181" t="s">
        <v>9082</v>
      </c>
      <c r="C12" s="158" t="s">
        <v>6830</v>
      </c>
      <c r="D12" s="181" t="s">
        <v>9082</v>
      </c>
      <c r="E12" s="158" t="s">
        <v>6793</v>
      </c>
      <c r="F12" s="181" t="s">
        <v>9081</v>
      </c>
    </row>
    <row r="13" spans="1:8" ht="45" x14ac:dyDescent="0.25">
      <c r="A13" s="158" t="s">
        <v>6831</v>
      </c>
      <c r="B13" s="181" t="s">
        <v>9080</v>
      </c>
      <c r="C13" s="158" t="s">
        <v>6831</v>
      </c>
      <c r="D13" s="181" t="s">
        <v>9080</v>
      </c>
      <c r="E13" s="158" t="s">
        <v>3235</v>
      </c>
      <c r="F13" s="181" t="s">
        <v>3235</v>
      </c>
    </row>
    <row r="14" spans="1:8" x14ac:dyDescent="0.25">
      <c r="A14" s="158" t="s">
        <v>6832</v>
      </c>
      <c r="B14" s="181" t="s">
        <v>9062</v>
      </c>
      <c r="C14" s="158" t="s">
        <v>6832</v>
      </c>
      <c r="D14" s="181" t="s">
        <v>9062</v>
      </c>
      <c r="E14" s="158" t="s">
        <v>6794</v>
      </c>
      <c r="F14" s="181" t="s">
        <v>9079</v>
      </c>
    </row>
    <row r="15" spans="1:8" ht="45" x14ac:dyDescent="0.25">
      <c r="A15" s="158" t="s">
        <v>6833</v>
      </c>
      <c r="B15" s="181" t="s">
        <v>9078</v>
      </c>
      <c r="C15" s="158" t="s">
        <v>6833</v>
      </c>
      <c r="D15" s="181" t="s">
        <v>9078</v>
      </c>
      <c r="E15" s="158" t="s">
        <v>6795</v>
      </c>
      <c r="F15" s="181" t="s">
        <v>9077</v>
      </c>
    </row>
    <row r="16" spans="1:8" ht="45" x14ac:dyDescent="0.25">
      <c r="A16" s="158" t="s">
        <v>6834</v>
      </c>
      <c r="B16" s="181" t="s">
        <v>9076</v>
      </c>
      <c r="C16" s="158" t="s">
        <v>6834</v>
      </c>
      <c r="D16" s="181" t="s">
        <v>9076</v>
      </c>
      <c r="E16" s="158" t="s">
        <v>3236</v>
      </c>
      <c r="F16" s="181" t="s">
        <v>3236</v>
      </c>
    </row>
    <row r="17" spans="1:6" s="166" customFormat="1" ht="45" x14ac:dyDescent="0.25">
      <c r="A17" s="158" t="s">
        <v>6835</v>
      </c>
      <c r="B17" s="181" t="s">
        <v>9075</v>
      </c>
      <c r="C17" s="158" t="s">
        <v>6835</v>
      </c>
      <c r="D17" s="181" t="s">
        <v>9075</v>
      </c>
      <c r="E17" s="158" t="s">
        <v>147</v>
      </c>
      <c r="F17" s="181" t="s">
        <v>147</v>
      </c>
    </row>
    <row r="18" spans="1:6" s="166" customFormat="1" ht="60" x14ac:dyDescent="0.25">
      <c r="A18" s="158" t="s">
        <v>6836</v>
      </c>
      <c r="B18" s="181" t="s">
        <v>9074</v>
      </c>
      <c r="C18" s="158" t="s">
        <v>6836</v>
      </c>
      <c r="D18" s="181" t="s">
        <v>9074</v>
      </c>
      <c r="E18" s="158" t="s">
        <v>6796</v>
      </c>
      <c r="F18" s="181" t="s">
        <v>9073</v>
      </c>
    </row>
    <row r="19" spans="1:6" s="166" customFormat="1" ht="45" x14ac:dyDescent="0.25">
      <c r="A19" s="158" t="s">
        <v>6837</v>
      </c>
      <c r="B19" s="181" t="s">
        <v>9072</v>
      </c>
      <c r="C19" s="158" t="s">
        <v>6837</v>
      </c>
      <c r="D19" s="181" t="s">
        <v>9072</v>
      </c>
      <c r="E19" s="158" t="s">
        <v>6797</v>
      </c>
      <c r="F19" s="181" t="s">
        <v>7787</v>
      </c>
    </row>
    <row r="20" spans="1:6" s="166" customFormat="1" ht="60" x14ac:dyDescent="0.25">
      <c r="A20" s="158" t="s">
        <v>6838</v>
      </c>
      <c r="B20" s="181" t="s">
        <v>9071</v>
      </c>
      <c r="C20" s="158" t="s">
        <v>6838</v>
      </c>
      <c r="D20" s="181" t="s">
        <v>9071</v>
      </c>
      <c r="E20" s="158" t="s">
        <v>6798</v>
      </c>
      <c r="F20" s="181" t="s">
        <v>9070</v>
      </c>
    </row>
    <row r="21" spans="1:6" s="166" customFormat="1" ht="60" x14ac:dyDescent="0.25">
      <c r="A21" s="158" t="s">
        <v>6839</v>
      </c>
      <c r="B21" s="181" t="s">
        <v>9069</v>
      </c>
      <c r="C21" s="158" t="s">
        <v>6839</v>
      </c>
      <c r="D21" s="181" t="s">
        <v>9069</v>
      </c>
      <c r="E21" s="158" t="s">
        <v>6799</v>
      </c>
      <c r="F21" s="181" t="s">
        <v>9068</v>
      </c>
    </row>
    <row r="22" spans="1:6" s="166" customFormat="1" ht="60" x14ac:dyDescent="0.25">
      <c r="A22" s="158" t="s">
        <v>6840</v>
      </c>
      <c r="B22" s="181" t="s">
        <v>9067</v>
      </c>
      <c r="C22" s="158" t="s">
        <v>6840</v>
      </c>
      <c r="D22" s="181" t="s">
        <v>9067</v>
      </c>
      <c r="E22" s="158" t="s">
        <v>6800</v>
      </c>
      <c r="F22" s="181" t="s">
        <v>9066</v>
      </c>
    </row>
    <row r="23" spans="1:6" s="166" customFormat="1" ht="45" x14ac:dyDescent="0.25">
      <c r="A23" s="158" t="s">
        <v>6841</v>
      </c>
      <c r="B23" s="181" t="s">
        <v>9065</v>
      </c>
      <c r="C23" s="158" t="s">
        <v>6841</v>
      </c>
      <c r="D23" s="181" t="s">
        <v>9065</v>
      </c>
      <c r="E23" s="158" t="s">
        <v>6801</v>
      </c>
      <c r="F23" s="181" t="s">
        <v>9064</v>
      </c>
    </row>
    <row r="24" spans="1:6" s="166" customFormat="1" ht="45" x14ac:dyDescent="0.25">
      <c r="A24" s="158" t="s">
        <v>6842</v>
      </c>
      <c r="B24" s="181" t="s">
        <v>9063</v>
      </c>
      <c r="C24" s="158" t="s">
        <v>6842</v>
      </c>
      <c r="D24" s="181" t="s">
        <v>9063</v>
      </c>
      <c r="E24" s="158" t="s">
        <v>6832</v>
      </c>
      <c r="F24" s="181" t="s">
        <v>9062</v>
      </c>
    </row>
    <row r="25" spans="1:6" s="166" customFormat="1" ht="60" x14ac:dyDescent="0.25">
      <c r="A25" s="158" t="s">
        <v>6843</v>
      </c>
      <c r="B25" s="181" t="s">
        <v>9061</v>
      </c>
      <c r="C25" s="158" t="s">
        <v>6843</v>
      </c>
      <c r="D25" s="181" t="s">
        <v>9061</v>
      </c>
      <c r="E25" s="158" t="s">
        <v>9060</v>
      </c>
      <c r="F25" s="181" t="s">
        <v>9059</v>
      </c>
    </row>
    <row r="26" spans="1:6" s="166" customFormat="1" ht="105" x14ac:dyDescent="0.25">
      <c r="A26" s="158" t="s">
        <v>6844</v>
      </c>
      <c r="B26" s="181" t="s">
        <v>9058</v>
      </c>
      <c r="C26" s="158" t="s">
        <v>6844</v>
      </c>
      <c r="D26" s="181" t="s">
        <v>9058</v>
      </c>
      <c r="E26" s="158" t="s">
        <v>9057</v>
      </c>
      <c r="F26" s="181" t="s">
        <v>9056</v>
      </c>
    </row>
    <row r="27" spans="1:6" s="166" customFormat="1" ht="45" x14ac:dyDescent="0.25">
      <c r="A27" s="158" t="s">
        <v>6845</v>
      </c>
      <c r="B27" s="181" t="s">
        <v>9055</v>
      </c>
      <c r="C27" s="158" t="s">
        <v>6845</v>
      </c>
      <c r="D27" s="181" t="s">
        <v>9055</v>
      </c>
      <c r="E27" s="158" t="s">
        <v>380</v>
      </c>
      <c r="F27" s="181" t="s">
        <v>9054</v>
      </c>
    </row>
    <row r="28" spans="1:6" s="166" customFormat="1" ht="60" x14ac:dyDescent="0.25">
      <c r="A28" s="158" t="s">
        <v>6846</v>
      </c>
      <c r="B28" s="181" t="s">
        <v>9053</v>
      </c>
      <c r="C28" s="158" t="s">
        <v>6846</v>
      </c>
      <c r="D28" s="181" t="s">
        <v>9053</v>
      </c>
      <c r="E28" s="158" t="s">
        <v>9052</v>
      </c>
      <c r="F28" s="181" t="s">
        <v>9051</v>
      </c>
    </row>
    <row r="29" spans="1:6" s="166" customFormat="1" ht="90" x14ac:dyDescent="0.25">
      <c r="A29" s="158" t="s">
        <v>6847</v>
      </c>
      <c r="B29" s="181" t="s">
        <v>9050</v>
      </c>
      <c r="C29" s="158" t="s">
        <v>6847</v>
      </c>
      <c r="D29" s="181" t="s">
        <v>9050</v>
      </c>
      <c r="E29" s="158" t="s">
        <v>7071</v>
      </c>
      <c r="F29" s="181" t="s">
        <v>9034</v>
      </c>
    </row>
    <row r="30" spans="1:6" s="166" customFormat="1" ht="60" x14ac:dyDescent="0.25">
      <c r="A30" s="158" t="s">
        <v>6848</v>
      </c>
      <c r="B30" s="181" t="s">
        <v>9049</v>
      </c>
      <c r="C30" s="158" t="s">
        <v>6848</v>
      </c>
      <c r="D30" s="181" t="s">
        <v>9049</v>
      </c>
      <c r="E30" s="158" t="s">
        <v>7073</v>
      </c>
      <c r="F30" s="181" t="s">
        <v>9048</v>
      </c>
    </row>
    <row r="31" spans="1:6" s="166" customFormat="1" ht="45" x14ac:dyDescent="0.25">
      <c r="A31" s="158" t="s">
        <v>6849</v>
      </c>
      <c r="B31" s="181" t="s">
        <v>9047</v>
      </c>
      <c r="C31" s="158" t="s">
        <v>6849</v>
      </c>
      <c r="D31" s="181" t="s">
        <v>9047</v>
      </c>
      <c r="E31" s="158" t="s">
        <v>7075</v>
      </c>
      <c r="F31" s="181" t="s">
        <v>9046</v>
      </c>
    </row>
    <row r="32" spans="1:6" s="166" customFormat="1" ht="90" x14ac:dyDescent="0.25">
      <c r="A32" s="158" t="s">
        <v>6850</v>
      </c>
      <c r="B32" s="181" t="s">
        <v>9045</v>
      </c>
      <c r="C32" s="158" t="s">
        <v>6850</v>
      </c>
      <c r="D32" s="181" t="s">
        <v>9045</v>
      </c>
      <c r="E32" s="158" t="s">
        <v>7078</v>
      </c>
      <c r="F32" s="181" t="s">
        <v>9034</v>
      </c>
    </row>
    <row r="33" spans="1:6" s="166" customFormat="1" ht="30" x14ac:dyDescent="0.25">
      <c r="A33" s="158" t="s">
        <v>6851</v>
      </c>
      <c r="B33" s="181" t="s">
        <v>9044</v>
      </c>
      <c r="C33" s="158" t="s">
        <v>6851</v>
      </c>
      <c r="D33" s="181" t="s">
        <v>9044</v>
      </c>
      <c r="E33" s="158" t="s">
        <v>7079</v>
      </c>
      <c r="F33" s="181" t="s">
        <v>9043</v>
      </c>
    </row>
    <row r="34" spans="1:6" s="166" customFormat="1" ht="90" x14ac:dyDescent="0.25">
      <c r="A34" s="158" t="s">
        <v>6852</v>
      </c>
      <c r="B34" s="181" t="s">
        <v>9042</v>
      </c>
      <c r="C34" s="158" t="s">
        <v>6852</v>
      </c>
      <c r="D34" s="181" t="s">
        <v>9042</v>
      </c>
      <c r="E34" s="158" t="s">
        <v>7080</v>
      </c>
      <c r="F34" s="181" t="s">
        <v>9034</v>
      </c>
    </row>
    <row r="35" spans="1:6" s="166" customFormat="1" ht="45" x14ac:dyDescent="0.25">
      <c r="A35" s="158" t="s">
        <v>6853</v>
      </c>
      <c r="B35" s="181" t="s">
        <v>9041</v>
      </c>
      <c r="C35" s="158" t="s">
        <v>6853</v>
      </c>
      <c r="D35" s="181" t="s">
        <v>9041</v>
      </c>
      <c r="E35" s="158" t="s">
        <v>7081</v>
      </c>
      <c r="F35" s="181" t="s">
        <v>9034</v>
      </c>
    </row>
    <row r="36" spans="1:6" s="166" customFormat="1" ht="45" x14ac:dyDescent="0.25">
      <c r="A36" s="158" t="s">
        <v>6854</v>
      </c>
      <c r="B36" s="181" t="s">
        <v>9040</v>
      </c>
      <c r="C36" s="158" t="s">
        <v>6854</v>
      </c>
      <c r="D36" s="181" t="s">
        <v>9040</v>
      </c>
      <c r="E36" s="158" t="s">
        <v>7082</v>
      </c>
      <c r="F36" s="181" t="s">
        <v>9039</v>
      </c>
    </row>
    <row r="37" spans="1:6" s="166" customFormat="1" ht="30" x14ac:dyDescent="0.25">
      <c r="A37" s="158" t="s">
        <v>6855</v>
      </c>
      <c r="B37" s="181" t="s">
        <v>9038</v>
      </c>
      <c r="C37" s="158" t="s">
        <v>6855</v>
      </c>
      <c r="D37" s="181" t="s">
        <v>9038</v>
      </c>
      <c r="E37" s="158" t="s">
        <v>9037</v>
      </c>
      <c r="F37" s="181" t="s">
        <v>9034</v>
      </c>
    </row>
    <row r="38" spans="1:6" s="166" customFormat="1" ht="75" x14ac:dyDescent="0.25">
      <c r="A38" s="158" t="s">
        <v>6856</v>
      </c>
      <c r="B38" s="181" t="s">
        <v>9036</v>
      </c>
      <c r="C38" s="158" t="s">
        <v>6856</v>
      </c>
      <c r="D38" s="181" t="s">
        <v>9036</v>
      </c>
      <c r="E38" s="158" t="s">
        <v>9035</v>
      </c>
      <c r="F38" s="181" t="s">
        <v>9034</v>
      </c>
    </row>
    <row r="39" spans="1:6" s="166" customFormat="1" ht="75" x14ac:dyDescent="0.25">
      <c r="A39" s="158" t="s">
        <v>6857</v>
      </c>
      <c r="B39" s="181" t="s">
        <v>9033</v>
      </c>
      <c r="C39" s="158" t="s">
        <v>6857</v>
      </c>
      <c r="D39" s="181" t="s">
        <v>9033</v>
      </c>
      <c r="E39" s="158" t="s">
        <v>9032</v>
      </c>
      <c r="F39" s="181" t="s">
        <v>9031</v>
      </c>
    </row>
    <row r="40" spans="1:6" s="166" customFormat="1" x14ac:dyDescent="0.25">
      <c r="A40" s="158" t="s">
        <v>6858</v>
      </c>
      <c r="B40" s="181" t="s">
        <v>9030</v>
      </c>
      <c r="C40" s="158" t="s">
        <v>6858</v>
      </c>
      <c r="D40" s="181" t="s">
        <v>9030</v>
      </c>
      <c r="E40" s="158" t="s">
        <v>7085</v>
      </c>
      <c r="F40" s="181" t="s">
        <v>9029</v>
      </c>
    </row>
    <row r="41" spans="1:6" s="166" customFormat="1" ht="75" x14ac:dyDescent="0.25">
      <c r="A41" s="158" t="s">
        <v>6859</v>
      </c>
      <c r="B41" s="181" t="s">
        <v>9028</v>
      </c>
      <c r="C41" s="158" t="s">
        <v>6859</v>
      </c>
      <c r="D41" s="181" t="s">
        <v>9028</v>
      </c>
      <c r="E41" s="158" t="s">
        <v>7087</v>
      </c>
      <c r="F41" s="181" t="s">
        <v>9027</v>
      </c>
    </row>
    <row r="42" spans="1:6" s="166" customFormat="1" ht="75" x14ac:dyDescent="0.25">
      <c r="A42" s="158" t="s">
        <v>6860</v>
      </c>
      <c r="B42" s="181" t="s">
        <v>9026</v>
      </c>
      <c r="C42" s="158" t="s">
        <v>6860</v>
      </c>
      <c r="D42" s="181" t="s">
        <v>9026</v>
      </c>
      <c r="E42" s="158" t="s">
        <v>7088</v>
      </c>
      <c r="F42" s="181" t="s">
        <v>9025</v>
      </c>
    </row>
    <row r="43" spans="1:6" s="166" customFormat="1" ht="90" x14ac:dyDescent="0.25">
      <c r="A43" s="158" t="s">
        <v>6861</v>
      </c>
      <c r="B43" s="181" t="s">
        <v>9024</v>
      </c>
      <c r="C43" s="158" t="s">
        <v>6861</v>
      </c>
      <c r="D43" s="181" t="s">
        <v>9024</v>
      </c>
      <c r="E43" s="158" t="s">
        <v>7089</v>
      </c>
      <c r="F43" s="181" t="s">
        <v>9023</v>
      </c>
    </row>
    <row r="44" spans="1:6" s="166" customFormat="1" ht="75" x14ac:dyDescent="0.25">
      <c r="A44" s="158" t="s">
        <v>6862</v>
      </c>
      <c r="B44" s="181" t="s">
        <v>9022</v>
      </c>
      <c r="C44" s="158" t="s">
        <v>6862</v>
      </c>
      <c r="D44" s="181" t="s">
        <v>9022</v>
      </c>
      <c r="E44" s="158" t="s">
        <v>7090</v>
      </c>
      <c r="F44" s="181" t="s">
        <v>9021</v>
      </c>
    </row>
    <row r="45" spans="1:6" s="166" customFormat="1" ht="45" x14ac:dyDescent="0.25">
      <c r="A45" s="158" t="s">
        <v>6863</v>
      </c>
      <c r="B45" s="181" t="s">
        <v>9020</v>
      </c>
      <c r="C45" s="158" t="s">
        <v>15</v>
      </c>
      <c r="D45" s="181" t="s">
        <v>9018</v>
      </c>
      <c r="E45" s="158" t="s">
        <v>7093</v>
      </c>
      <c r="F45" s="181" t="s">
        <v>9019</v>
      </c>
    </row>
    <row r="46" spans="1:6" s="166" customFormat="1" ht="45" x14ac:dyDescent="0.25">
      <c r="A46" s="158" t="s">
        <v>15</v>
      </c>
      <c r="B46" s="181" t="s">
        <v>9018</v>
      </c>
      <c r="C46" s="158" t="s">
        <v>6864</v>
      </c>
      <c r="D46" s="181" t="s">
        <v>9015</v>
      </c>
      <c r="E46" s="158" t="s">
        <v>9017</v>
      </c>
      <c r="F46" s="181" t="s">
        <v>9016</v>
      </c>
    </row>
    <row r="47" spans="1:6" s="166" customFormat="1" ht="45" x14ac:dyDescent="0.25">
      <c r="A47" s="158" t="s">
        <v>6864</v>
      </c>
      <c r="B47" s="181" t="s">
        <v>9015</v>
      </c>
      <c r="C47" s="158" t="s">
        <v>6865</v>
      </c>
      <c r="D47" s="181" t="s">
        <v>9013</v>
      </c>
      <c r="E47" s="158" t="s">
        <v>7096</v>
      </c>
      <c r="F47" s="181" t="s">
        <v>9014</v>
      </c>
    </row>
    <row r="48" spans="1:6" s="166" customFormat="1" ht="60" x14ac:dyDescent="0.25">
      <c r="A48" s="158" t="s">
        <v>6865</v>
      </c>
      <c r="B48" s="181" t="s">
        <v>9013</v>
      </c>
      <c r="C48" s="158" t="s">
        <v>6866</v>
      </c>
      <c r="D48" s="181" t="s">
        <v>9010</v>
      </c>
      <c r="E48" s="158" t="s">
        <v>9012</v>
      </c>
      <c r="F48" s="181" t="s">
        <v>9011</v>
      </c>
    </row>
    <row r="49" spans="1:6" s="166" customFormat="1" ht="60" x14ac:dyDescent="0.25">
      <c r="A49" s="158" t="s">
        <v>6866</v>
      </c>
      <c r="B49" s="181" t="s">
        <v>9010</v>
      </c>
      <c r="C49" s="158" t="s">
        <v>6867</v>
      </c>
      <c r="D49" s="181" t="s">
        <v>9008</v>
      </c>
      <c r="E49" s="158" t="s">
        <v>7098</v>
      </c>
      <c r="F49" s="181" t="s">
        <v>9009</v>
      </c>
    </row>
    <row r="50" spans="1:6" s="166" customFormat="1" ht="30" x14ac:dyDescent="0.25">
      <c r="A50" s="158" t="s">
        <v>6867</v>
      </c>
      <c r="B50" s="181" t="s">
        <v>9008</v>
      </c>
      <c r="C50" s="158" t="s">
        <v>6868</v>
      </c>
      <c r="D50" s="181" t="s">
        <v>9005</v>
      </c>
      <c r="E50" s="158" t="s">
        <v>9007</v>
      </c>
      <c r="F50" s="181" t="s">
        <v>9006</v>
      </c>
    </row>
    <row r="51" spans="1:6" s="166" customFormat="1" ht="45" x14ac:dyDescent="0.25">
      <c r="A51" s="158" t="s">
        <v>6868</v>
      </c>
      <c r="B51" s="181" t="s">
        <v>9005</v>
      </c>
      <c r="C51" s="158" t="s">
        <v>6869</v>
      </c>
      <c r="D51" s="181" t="s">
        <v>9004</v>
      </c>
      <c r="E51" s="158" t="s">
        <v>7099</v>
      </c>
      <c r="F51" s="181" t="s">
        <v>8979</v>
      </c>
    </row>
    <row r="52" spans="1:6" s="166" customFormat="1" ht="90" x14ac:dyDescent="0.25">
      <c r="A52" s="158" t="s">
        <v>6869</v>
      </c>
      <c r="B52" s="181" t="s">
        <v>9004</v>
      </c>
      <c r="C52" s="158" t="s">
        <v>6870</v>
      </c>
      <c r="D52" s="181" t="s">
        <v>9001</v>
      </c>
      <c r="E52" s="158" t="s">
        <v>9003</v>
      </c>
      <c r="F52" s="181" t="s">
        <v>9002</v>
      </c>
    </row>
    <row r="53" spans="1:6" s="166" customFormat="1" ht="90" x14ac:dyDescent="0.25">
      <c r="A53" s="158" t="s">
        <v>6870</v>
      </c>
      <c r="B53" s="181" t="s">
        <v>9001</v>
      </c>
      <c r="C53" s="158" t="s">
        <v>6871</v>
      </c>
      <c r="D53" s="181" t="s">
        <v>8998</v>
      </c>
      <c r="E53" s="158" t="s">
        <v>9000</v>
      </c>
      <c r="F53" s="181" t="s">
        <v>8999</v>
      </c>
    </row>
    <row r="54" spans="1:6" s="166" customFormat="1" ht="75" x14ac:dyDescent="0.25">
      <c r="A54" s="158" t="s">
        <v>6871</v>
      </c>
      <c r="B54" s="181" t="s">
        <v>8998</v>
      </c>
      <c r="C54" s="158" t="s">
        <v>6872</v>
      </c>
      <c r="D54" s="181" t="s">
        <v>8996</v>
      </c>
      <c r="E54" s="158" t="s">
        <v>7103</v>
      </c>
      <c r="F54" s="181" t="s">
        <v>8997</v>
      </c>
    </row>
    <row r="55" spans="1:6" s="166" customFormat="1" ht="90" x14ac:dyDescent="0.25">
      <c r="A55" s="158" t="s">
        <v>6872</v>
      </c>
      <c r="B55" s="181" t="s">
        <v>8996</v>
      </c>
      <c r="C55" s="158" t="s">
        <v>6873</v>
      </c>
      <c r="D55" s="181" t="s">
        <v>8994</v>
      </c>
      <c r="E55" s="158" t="s">
        <v>7104</v>
      </c>
      <c r="F55" s="181" t="s">
        <v>8995</v>
      </c>
    </row>
    <row r="56" spans="1:6" s="166" customFormat="1" ht="90" x14ac:dyDescent="0.25">
      <c r="A56" s="158" t="s">
        <v>6873</v>
      </c>
      <c r="B56" s="181" t="s">
        <v>8994</v>
      </c>
      <c r="C56" s="158" t="s">
        <v>492</v>
      </c>
      <c r="D56" s="181" t="s">
        <v>8992</v>
      </c>
      <c r="E56" s="158" t="s">
        <v>7105</v>
      </c>
      <c r="F56" s="181" t="s">
        <v>8993</v>
      </c>
    </row>
    <row r="57" spans="1:6" s="166" customFormat="1" ht="90" x14ac:dyDescent="0.25">
      <c r="A57" s="158" t="s">
        <v>492</v>
      </c>
      <c r="B57" s="181" t="s">
        <v>8992</v>
      </c>
      <c r="C57" s="158" t="s">
        <v>6874</v>
      </c>
      <c r="D57" s="181" t="s">
        <v>8990</v>
      </c>
      <c r="E57" s="158" t="s">
        <v>7106</v>
      </c>
      <c r="F57" s="181" t="s">
        <v>8991</v>
      </c>
    </row>
    <row r="58" spans="1:6" s="166" customFormat="1" ht="90" x14ac:dyDescent="0.25">
      <c r="A58" s="158" t="s">
        <v>6874</v>
      </c>
      <c r="B58" s="181" t="s">
        <v>8990</v>
      </c>
      <c r="C58" s="158" t="s">
        <v>6875</v>
      </c>
      <c r="D58" s="181" t="s">
        <v>8988</v>
      </c>
      <c r="E58" s="158" t="s">
        <v>7107</v>
      </c>
      <c r="F58" s="181" t="s">
        <v>8989</v>
      </c>
    </row>
    <row r="59" spans="1:6" s="166" customFormat="1" ht="60" x14ac:dyDescent="0.25">
      <c r="A59" s="158" t="s">
        <v>6875</v>
      </c>
      <c r="B59" s="181" t="s">
        <v>8988</v>
      </c>
      <c r="C59" s="158" t="s">
        <v>6876</v>
      </c>
      <c r="D59" s="181" t="s">
        <v>8987</v>
      </c>
      <c r="E59" s="158" t="s">
        <v>7108</v>
      </c>
      <c r="F59" s="181" t="s">
        <v>8979</v>
      </c>
    </row>
    <row r="60" spans="1:6" s="166" customFormat="1" ht="90" x14ac:dyDescent="0.25">
      <c r="A60" s="158" t="s">
        <v>6876</v>
      </c>
      <c r="B60" s="181" t="s">
        <v>8987</v>
      </c>
      <c r="C60" s="158" t="s">
        <v>6877</v>
      </c>
      <c r="D60" s="181" t="s">
        <v>8985</v>
      </c>
      <c r="E60" s="158" t="s">
        <v>8986</v>
      </c>
      <c r="F60" s="181" t="s">
        <v>8979</v>
      </c>
    </row>
    <row r="61" spans="1:6" s="166" customFormat="1" ht="90" x14ac:dyDescent="0.25">
      <c r="A61" s="158" t="s">
        <v>6877</v>
      </c>
      <c r="B61" s="181" t="s">
        <v>8985</v>
      </c>
      <c r="C61" s="158" t="s">
        <v>6878</v>
      </c>
      <c r="D61" s="181" t="s">
        <v>8983</v>
      </c>
      <c r="E61" s="158" t="s">
        <v>7109</v>
      </c>
      <c r="F61" s="181" t="s">
        <v>8984</v>
      </c>
    </row>
    <row r="62" spans="1:6" s="166" customFormat="1" ht="45" x14ac:dyDescent="0.25">
      <c r="A62" s="158" t="s">
        <v>6878</v>
      </c>
      <c r="B62" s="181" t="s">
        <v>8983</v>
      </c>
      <c r="C62" s="158" t="s">
        <v>513</v>
      </c>
      <c r="D62" s="181" t="s">
        <v>8982</v>
      </c>
      <c r="E62" s="158" t="s">
        <v>7111</v>
      </c>
      <c r="F62" s="181" t="s">
        <v>8979</v>
      </c>
    </row>
    <row r="63" spans="1:6" s="166" customFormat="1" ht="60" x14ac:dyDescent="0.25">
      <c r="A63" s="158" t="s">
        <v>513</v>
      </c>
      <c r="B63" s="181" t="s">
        <v>8982</v>
      </c>
      <c r="C63" s="158" t="s">
        <v>6879</v>
      </c>
      <c r="D63" s="181" t="s">
        <v>8980</v>
      </c>
      <c r="E63" s="158" t="s">
        <v>7112</v>
      </c>
      <c r="F63" s="181" t="s">
        <v>8981</v>
      </c>
    </row>
    <row r="64" spans="1:6" s="166" customFormat="1" ht="60" x14ac:dyDescent="0.25">
      <c r="A64" s="158" t="s">
        <v>6879</v>
      </c>
      <c r="B64" s="181" t="s">
        <v>8980</v>
      </c>
      <c r="C64" s="158" t="s">
        <v>6880</v>
      </c>
      <c r="D64" s="181" t="s">
        <v>8978</v>
      </c>
      <c r="E64" s="158" t="s">
        <v>7114</v>
      </c>
      <c r="F64" s="181" t="s">
        <v>8979</v>
      </c>
    </row>
    <row r="65" spans="1:6" s="166" customFormat="1" ht="90" x14ac:dyDescent="0.25">
      <c r="A65" s="158" t="s">
        <v>6880</v>
      </c>
      <c r="B65" s="181" t="s">
        <v>8978</v>
      </c>
      <c r="C65" s="158" t="s">
        <v>6881</v>
      </c>
      <c r="D65" s="181" t="s">
        <v>8976</v>
      </c>
      <c r="E65" s="158" t="s">
        <v>8977</v>
      </c>
      <c r="F65" s="181" t="s">
        <v>8969</v>
      </c>
    </row>
    <row r="66" spans="1:6" s="166" customFormat="1" ht="90" x14ac:dyDescent="0.25">
      <c r="A66" s="158" t="s">
        <v>6881</v>
      </c>
      <c r="B66" s="181" t="s">
        <v>8976</v>
      </c>
      <c r="C66" s="158" t="s">
        <v>6882</v>
      </c>
      <c r="D66" s="181" t="s">
        <v>8974</v>
      </c>
      <c r="E66" s="158" t="s">
        <v>8975</v>
      </c>
      <c r="F66" s="181" t="s">
        <v>8969</v>
      </c>
    </row>
    <row r="67" spans="1:6" s="166" customFormat="1" ht="90" x14ac:dyDescent="0.25">
      <c r="A67" s="158" t="s">
        <v>6882</v>
      </c>
      <c r="B67" s="181" t="s">
        <v>8974</v>
      </c>
      <c r="C67" s="158" t="s">
        <v>6883</v>
      </c>
      <c r="D67" s="181" t="s">
        <v>8972</v>
      </c>
      <c r="E67" s="158" t="s">
        <v>8973</v>
      </c>
      <c r="F67" s="181" t="s">
        <v>8969</v>
      </c>
    </row>
    <row r="68" spans="1:6" s="166" customFormat="1" ht="90" x14ac:dyDescent="0.25">
      <c r="A68" s="158" t="s">
        <v>6883</v>
      </c>
      <c r="B68" s="181" t="s">
        <v>8972</v>
      </c>
      <c r="C68" s="158" t="s">
        <v>6884</v>
      </c>
      <c r="D68" s="181" t="s">
        <v>8971</v>
      </c>
      <c r="E68" s="158" t="s">
        <v>7119</v>
      </c>
      <c r="F68" s="181" t="s">
        <v>8969</v>
      </c>
    </row>
    <row r="69" spans="1:6" s="166" customFormat="1" ht="90" x14ac:dyDescent="0.25">
      <c r="A69" s="158" t="s">
        <v>6884</v>
      </c>
      <c r="B69" s="181" t="s">
        <v>8971</v>
      </c>
      <c r="C69" s="158" t="s">
        <v>3193</v>
      </c>
      <c r="D69" s="181" t="s">
        <v>8966</v>
      </c>
      <c r="E69" s="158" t="s">
        <v>8970</v>
      </c>
      <c r="F69" s="181" t="s">
        <v>8969</v>
      </c>
    </row>
    <row r="70" spans="1:6" s="166" customFormat="1" ht="60" x14ac:dyDescent="0.25">
      <c r="A70" s="158" t="s">
        <v>3193</v>
      </c>
      <c r="B70" s="181" t="s">
        <v>8966</v>
      </c>
      <c r="C70" s="158" t="s">
        <v>6885</v>
      </c>
      <c r="D70" s="181" t="s">
        <v>8966</v>
      </c>
      <c r="E70" s="158" t="s">
        <v>8968</v>
      </c>
      <c r="F70" s="181" t="s">
        <v>8967</v>
      </c>
    </row>
    <row r="71" spans="1:6" s="166" customFormat="1" ht="90" x14ac:dyDescent="0.25">
      <c r="A71" s="158" t="s">
        <v>6885</v>
      </c>
      <c r="B71" s="181" t="s">
        <v>8966</v>
      </c>
      <c r="C71" s="158" t="s">
        <v>6886</v>
      </c>
      <c r="D71" s="181" t="s">
        <v>8964</v>
      </c>
      <c r="E71" s="158" t="s">
        <v>7122</v>
      </c>
      <c r="F71" s="181" t="s">
        <v>8965</v>
      </c>
    </row>
    <row r="72" spans="1:6" s="166" customFormat="1" ht="90" x14ac:dyDescent="0.25">
      <c r="A72" s="158" t="s">
        <v>6886</v>
      </c>
      <c r="B72" s="181" t="s">
        <v>8964</v>
      </c>
      <c r="C72" s="158" t="s">
        <v>6887</v>
      </c>
      <c r="D72" s="181" t="s">
        <v>8962</v>
      </c>
      <c r="E72" s="158" t="s">
        <v>3129</v>
      </c>
      <c r="F72" s="181" t="s">
        <v>8963</v>
      </c>
    </row>
    <row r="73" spans="1:6" s="166" customFormat="1" ht="60" x14ac:dyDescent="0.25">
      <c r="A73" s="158" t="s">
        <v>6887</v>
      </c>
      <c r="B73" s="181" t="s">
        <v>8962</v>
      </c>
      <c r="C73" s="158" t="s">
        <v>6888</v>
      </c>
      <c r="D73" s="181" t="s">
        <v>8961</v>
      </c>
      <c r="E73" s="158" t="s">
        <v>7128</v>
      </c>
      <c r="F73" s="181" t="s">
        <v>8958</v>
      </c>
    </row>
    <row r="74" spans="1:6" s="166" customFormat="1" ht="60" x14ac:dyDescent="0.25">
      <c r="A74" s="158" t="s">
        <v>6888</v>
      </c>
      <c r="B74" s="181" t="s">
        <v>8961</v>
      </c>
      <c r="C74" s="158" t="s">
        <v>6889</v>
      </c>
      <c r="D74" s="181" t="s">
        <v>8959</v>
      </c>
      <c r="E74" s="158" t="s">
        <v>7131</v>
      </c>
      <c r="F74" s="181" t="s">
        <v>8960</v>
      </c>
    </row>
    <row r="75" spans="1:6" s="166" customFormat="1" ht="45" x14ac:dyDescent="0.25">
      <c r="A75" s="158" t="s">
        <v>6889</v>
      </c>
      <c r="B75" s="181" t="s">
        <v>8959</v>
      </c>
      <c r="C75" s="158" t="s">
        <v>6890</v>
      </c>
      <c r="D75" s="181" t="s">
        <v>8957</v>
      </c>
      <c r="E75" s="158" t="s">
        <v>7138</v>
      </c>
      <c r="F75" s="181" t="s">
        <v>8958</v>
      </c>
    </row>
    <row r="76" spans="1:6" s="166" customFormat="1" ht="45" x14ac:dyDescent="0.25">
      <c r="A76" s="158" t="s">
        <v>6890</v>
      </c>
      <c r="B76" s="181" t="s">
        <v>8957</v>
      </c>
      <c r="C76" s="158" t="s">
        <v>6891</v>
      </c>
      <c r="D76" s="181" t="s">
        <v>8955</v>
      </c>
      <c r="E76" s="158" t="s">
        <v>7139</v>
      </c>
      <c r="F76" s="181" t="s">
        <v>8956</v>
      </c>
    </row>
    <row r="77" spans="1:6" s="166" customFormat="1" ht="45" x14ac:dyDescent="0.25">
      <c r="A77" s="158" t="s">
        <v>6891</v>
      </c>
      <c r="B77" s="181" t="s">
        <v>8955</v>
      </c>
      <c r="C77" s="158" t="s">
        <v>6892</v>
      </c>
      <c r="D77" s="181" t="s">
        <v>8953</v>
      </c>
      <c r="E77" s="158" t="s">
        <v>7141</v>
      </c>
      <c r="F77" s="181" t="s">
        <v>8954</v>
      </c>
    </row>
    <row r="78" spans="1:6" s="166" customFormat="1" ht="60" x14ac:dyDescent="0.25">
      <c r="A78" s="158" t="s">
        <v>6892</v>
      </c>
      <c r="B78" s="181" t="s">
        <v>8953</v>
      </c>
      <c r="C78" s="158" t="s">
        <v>6893</v>
      </c>
      <c r="D78" s="181" t="s">
        <v>8952</v>
      </c>
      <c r="E78" s="158" t="s">
        <v>912</v>
      </c>
      <c r="F78" s="181" t="s">
        <v>8941</v>
      </c>
    </row>
    <row r="79" spans="1:6" s="166" customFormat="1" ht="75" x14ac:dyDescent="0.25">
      <c r="A79" s="158" t="s">
        <v>6893</v>
      </c>
      <c r="B79" s="181" t="s">
        <v>8952</v>
      </c>
      <c r="C79" s="158" t="s">
        <v>6894</v>
      </c>
      <c r="D79" s="181" t="s">
        <v>8950</v>
      </c>
      <c r="E79" s="158" t="s">
        <v>7143</v>
      </c>
      <c r="F79" s="181" t="s">
        <v>8951</v>
      </c>
    </row>
    <row r="80" spans="1:6" s="166" customFormat="1" ht="90" x14ac:dyDescent="0.25">
      <c r="A80" s="158" t="s">
        <v>6894</v>
      </c>
      <c r="B80" s="181" t="s">
        <v>8950</v>
      </c>
      <c r="C80" s="158" t="s">
        <v>6895</v>
      </c>
      <c r="D80" s="181" t="s">
        <v>8948</v>
      </c>
      <c r="E80" s="158" t="s">
        <v>7146</v>
      </c>
      <c r="F80" s="181" t="s">
        <v>8949</v>
      </c>
    </row>
    <row r="81" spans="1:6" s="166" customFormat="1" ht="75" x14ac:dyDescent="0.25">
      <c r="A81" s="158" t="s">
        <v>6895</v>
      </c>
      <c r="B81" s="181" t="s">
        <v>8948</v>
      </c>
      <c r="C81" s="158" t="s">
        <v>6896</v>
      </c>
      <c r="D81" s="181" t="s">
        <v>8946</v>
      </c>
      <c r="E81" s="158" t="s">
        <v>7147</v>
      </c>
      <c r="F81" s="181" t="s">
        <v>8947</v>
      </c>
    </row>
    <row r="82" spans="1:6" s="166" customFormat="1" ht="45" x14ac:dyDescent="0.25">
      <c r="A82" s="158" t="s">
        <v>6896</v>
      </c>
      <c r="B82" s="181" t="s">
        <v>8946</v>
      </c>
      <c r="C82" s="158" t="s">
        <v>6897</v>
      </c>
      <c r="D82" s="181" t="s">
        <v>8944</v>
      </c>
      <c r="E82" s="158" t="s">
        <v>7149</v>
      </c>
      <c r="F82" s="181" t="s">
        <v>8945</v>
      </c>
    </row>
    <row r="83" spans="1:6" s="166" customFormat="1" ht="45" x14ac:dyDescent="0.25">
      <c r="A83" s="158" t="s">
        <v>6897</v>
      </c>
      <c r="B83" s="181" t="s">
        <v>8944</v>
      </c>
      <c r="C83" s="158" t="s">
        <v>551</v>
      </c>
      <c r="D83" s="181" t="s">
        <v>8942</v>
      </c>
      <c r="E83" s="158" t="s">
        <v>7151</v>
      </c>
      <c r="F83" s="181" t="s">
        <v>8943</v>
      </c>
    </row>
    <row r="84" spans="1:6" s="166" customFormat="1" ht="60" x14ac:dyDescent="0.25">
      <c r="A84" s="158" t="s">
        <v>551</v>
      </c>
      <c r="B84" s="181" t="s">
        <v>8942</v>
      </c>
      <c r="C84" s="158" t="s">
        <v>6898</v>
      </c>
      <c r="D84" s="181" t="s">
        <v>8940</v>
      </c>
      <c r="E84" s="158" t="s">
        <v>7152</v>
      </c>
      <c r="F84" s="181" t="s">
        <v>8941</v>
      </c>
    </row>
    <row r="85" spans="1:6" s="166" customFormat="1" ht="60" x14ac:dyDescent="0.25">
      <c r="A85" s="158" t="s">
        <v>6898</v>
      </c>
      <c r="B85" s="181" t="s">
        <v>8940</v>
      </c>
      <c r="C85" s="158" t="s">
        <v>6899</v>
      </c>
      <c r="D85" s="181" t="s">
        <v>8937</v>
      </c>
      <c r="E85" s="158" t="s">
        <v>8939</v>
      </c>
      <c r="F85" s="181" t="s">
        <v>8938</v>
      </c>
    </row>
    <row r="86" spans="1:6" s="166" customFormat="1" ht="60" x14ac:dyDescent="0.25">
      <c r="A86" s="158" t="s">
        <v>6899</v>
      </c>
      <c r="B86" s="181" t="s">
        <v>8937</v>
      </c>
      <c r="C86" s="158"/>
      <c r="D86" s="187"/>
      <c r="E86" s="158" t="s">
        <v>8936</v>
      </c>
      <c r="F86" s="181" t="s">
        <v>8935</v>
      </c>
    </row>
    <row r="87" spans="1:6" s="166" customFormat="1" x14ac:dyDescent="0.25">
      <c r="A87" s="158"/>
      <c r="B87" s="181"/>
      <c r="C87" s="158"/>
      <c r="D87" s="187"/>
      <c r="E87" s="158" t="s">
        <v>8934</v>
      </c>
      <c r="F87" s="181" t="s">
        <v>8933</v>
      </c>
    </row>
    <row r="88" spans="1:6" s="166" customFormat="1" x14ac:dyDescent="0.25">
      <c r="A88" s="158"/>
      <c r="B88" s="181"/>
      <c r="C88" s="158"/>
      <c r="D88" s="187"/>
      <c r="E88" s="158" t="s">
        <v>8932</v>
      </c>
      <c r="F88" s="181" t="s">
        <v>8931</v>
      </c>
    </row>
    <row r="89" spans="1:6" s="166" customFormat="1" x14ac:dyDescent="0.25">
      <c r="A89" s="158"/>
      <c r="B89" s="181"/>
      <c r="C89" s="158"/>
      <c r="D89" s="187"/>
      <c r="E89" s="158" t="s">
        <v>8930</v>
      </c>
      <c r="F89" s="181" t="s">
        <v>8929</v>
      </c>
    </row>
    <row r="90" spans="1:6" s="166" customFormat="1" x14ac:dyDescent="0.25">
      <c r="A90" s="158"/>
      <c r="B90" s="181"/>
      <c r="C90" s="158"/>
      <c r="D90" s="187"/>
      <c r="E90" s="158" t="s">
        <v>8928</v>
      </c>
      <c r="F90" s="181" t="s">
        <v>8927</v>
      </c>
    </row>
    <row r="91" spans="1:6" s="166" customFormat="1" x14ac:dyDescent="0.25">
      <c r="A91" s="158"/>
      <c r="B91" s="181"/>
      <c r="C91" s="158"/>
      <c r="D91" s="187"/>
      <c r="E91" s="158" t="s">
        <v>8926</v>
      </c>
      <c r="F91" s="181" t="s">
        <v>8925</v>
      </c>
    </row>
    <row r="92" spans="1:6" s="166" customFormat="1" ht="30" x14ac:dyDescent="0.25">
      <c r="A92" s="158"/>
      <c r="B92" s="181"/>
      <c r="C92" s="158"/>
      <c r="D92" s="187"/>
      <c r="E92" s="158" t="s">
        <v>8924</v>
      </c>
      <c r="F92" s="181" t="s">
        <v>8923</v>
      </c>
    </row>
    <row r="93" spans="1:6" s="166" customFormat="1" x14ac:dyDescent="0.25">
      <c r="A93" s="158"/>
      <c r="B93" s="181"/>
      <c r="C93" s="158"/>
      <c r="D93" s="187"/>
      <c r="E93" s="158" t="s">
        <v>8922</v>
      </c>
      <c r="F93" s="181" t="s">
        <v>8922</v>
      </c>
    </row>
    <row r="94" spans="1:6" s="166" customFormat="1" x14ac:dyDescent="0.25">
      <c r="A94" s="158"/>
      <c r="B94" s="181"/>
      <c r="C94" s="158"/>
      <c r="D94" s="187"/>
      <c r="E94" s="158" t="s">
        <v>8921</v>
      </c>
      <c r="F94" s="181" t="s">
        <v>8920</v>
      </c>
    </row>
    <row r="95" spans="1:6" s="166" customFormat="1" x14ac:dyDescent="0.25">
      <c r="A95" s="158"/>
      <c r="B95" s="181"/>
      <c r="C95" s="158"/>
      <c r="D95" s="187"/>
      <c r="E95" s="158" t="s">
        <v>8919</v>
      </c>
      <c r="F95" s="181" t="s">
        <v>8918</v>
      </c>
    </row>
    <row r="96" spans="1:6" s="166" customFormat="1" x14ac:dyDescent="0.25">
      <c r="A96" s="158"/>
      <c r="B96" s="181"/>
      <c r="C96" s="158"/>
      <c r="D96" s="187"/>
      <c r="E96" s="158" t="s">
        <v>8917</v>
      </c>
      <c r="F96" s="181" t="s">
        <v>8916</v>
      </c>
    </row>
    <row r="97" spans="5:6" s="166" customFormat="1" x14ac:dyDescent="0.25">
      <c r="E97" s="158" t="s">
        <v>8915</v>
      </c>
      <c r="F97" s="181" t="s">
        <v>8914</v>
      </c>
    </row>
    <row r="98" spans="5:6" s="166" customFormat="1" x14ac:dyDescent="0.25">
      <c r="E98" s="158" t="s">
        <v>8913</v>
      </c>
      <c r="F98" s="181" t="s">
        <v>8912</v>
      </c>
    </row>
    <row r="99" spans="5:6" s="166" customFormat="1" x14ac:dyDescent="0.25">
      <c r="E99" s="158" t="s">
        <v>1008</v>
      </c>
      <c r="F99" s="181" t="s">
        <v>4538</v>
      </c>
    </row>
    <row r="100" spans="5:6" s="166" customFormat="1" x14ac:dyDescent="0.25">
      <c r="E100" s="158" t="s">
        <v>1030</v>
      </c>
      <c r="F100" s="181" t="s">
        <v>8911</v>
      </c>
    </row>
    <row r="101" spans="5:6" s="166" customFormat="1" x14ac:dyDescent="0.25">
      <c r="E101" s="158" t="s">
        <v>8910</v>
      </c>
      <c r="F101" s="181" t="s">
        <v>8909</v>
      </c>
    </row>
    <row r="102" spans="5:6" s="166" customFormat="1" x14ac:dyDescent="0.25">
      <c r="E102" s="158" t="s">
        <v>8908</v>
      </c>
      <c r="F102" s="181" t="s">
        <v>8907</v>
      </c>
    </row>
    <row r="103" spans="5:6" s="166" customFormat="1" x14ac:dyDescent="0.25">
      <c r="E103" s="158" t="s">
        <v>8906</v>
      </c>
      <c r="F103" s="181" t="s">
        <v>8906</v>
      </c>
    </row>
    <row r="104" spans="5:6" s="166" customFormat="1" x14ac:dyDescent="0.25">
      <c r="E104" s="158" t="s">
        <v>8905</v>
      </c>
      <c r="F104" s="181" t="s">
        <v>8904</v>
      </c>
    </row>
    <row r="105" spans="5:6" s="166" customFormat="1" x14ac:dyDescent="0.25">
      <c r="E105" s="158" t="s">
        <v>487</v>
      </c>
      <c r="F105" s="181" t="s">
        <v>8903</v>
      </c>
    </row>
    <row r="106" spans="5:6" s="166" customFormat="1" x14ac:dyDescent="0.25">
      <c r="E106" s="158" t="s">
        <v>8902</v>
      </c>
      <c r="F106" s="181" t="s">
        <v>8901</v>
      </c>
    </row>
    <row r="107" spans="5:6" s="166" customFormat="1" x14ac:dyDescent="0.25">
      <c r="E107" s="158" t="s">
        <v>8900</v>
      </c>
      <c r="F107" s="181" t="s">
        <v>8899</v>
      </c>
    </row>
    <row r="108" spans="5:6" s="166" customFormat="1" x14ac:dyDescent="0.25">
      <c r="E108" s="158" t="s">
        <v>8898</v>
      </c>
      <c r="F108" s="181" t="s">
        <v>8897</v>
      </c>
    </row>
    <row r="109" spans="5:6" s="166" customFormat="1" x14ac:dyDescent="0.25">
      <c r="E109" s="158" t="s">
        <v>8896</v>
      </c>
      <c r="F109" s="181" t="s">
        <v>8895</v>
      </c>
    </row>
    <row r="110" spans="5:6" s="166" customFormat="1" x14ac:dyDescent="0.25">
      <c r="E110" s="158" t="s">
        <v>8894</v>
      </c>
      <c r="F110" s="181" t="s">
        <v>8893</v>
      </c>
    </row>
    <row r="111" spans="5:6" s="166" customFormat="1" x14ac:dyDescent="0.25">
      <c r="E111" s="158" t="s">
        <v>3169</v>
      </c>
      <c r="F111" s="181" t="s">
        <v>8892</v>
      </c>
    </row>
    <row r="112" spans="5:6" s="166" customFormat="1" x14ac:dyDescent="0.25">
      <c r="E112" s="158" t="s">
        <v>8891</v>
      </c>
      <c r="F112" s="181" t="s">
        <v>8890</v>
      </c>
    </row>
    <row r="113" spans="5:6" s="166" customFormat="1" x14ac:dyDescent="0.25">
      <c r="E113" s="158" t="s">
        <v>8889</v>
      </c>
      <c r="F113" s="181" t="s">
        <v>8888</v>
      </c>
    </row>
    <row r="114" spans="5:6" s="166" customFormat="1" x14ac:dyDescent="0.25">
      <c r="E114" s="158" t="s">
        <v>8887</v>
      </c>
      <c r="F114" s="181" t="s">
        <v>8884</v>
      </c>
    </row>
    <row r="115" spans="5:6" s="166" customFormat="1" x14ac:dyDescent="0.25">
      <c r="E115" s="158" t="s">
        <v>8886</v>
      </c>
      <c r="F115" s="181" t="s">
        <v>8884</v>
      </c>
    </row>
    <row r="116" spans="5:6" s="166" customFormat="1" x14ac:dyDescent="0.25">
      <c r="E116" s="158" t="s">
        <v>8885</v>
      </c>
      <c r="F116" s="181" t="s">
        <v>8884</v>
      </c>
    </row>
    <row r="117" spans="5:6" s="166" customFormat="1" x14ac:dyDescent="0.25">
      <c r="E117" s="158" t="s">
        <v>7373</v>
      </c>
      <c r="F117" s="181" t="s">
        <v>8884</v>
      </c>
    </row>
    <row r="118" spans="5:6" s="166" customFormat="1" x14ac:dyDescent="0.25">
      <c r="E118" s="158" t="s">
        <v>8883</v>
      </c>
      <c r="F118" s="181" t="s">
        <v>8882</v>
      </c>
    </row>
    <row r="119" spans="5:6" s="166" customFormat="1" x14ac:dyDescent="0.25">
      <c r="E119" s="158" t="s">
        <v>8881</v>
      </c>
      <c r="F119" s="181" t="s">
        <v>8880</v>
      </c>
    </row>
    <row r="120" spans="5:6" s="166" customFormat="1" x14ac:dyDescent="0.25">
      <c r="E120" s="158" t="s">
        <v>3171</v>
      </c>
      <c r="F120" s="181" t="s">
        <v>7720</v>
      </c>
    </row>
    <row r="121" spans="5:6" s="166" customFormat="1" x14ac:dyDescent="0.25">
      <c r="E121" s="158" t="s">
        <v>8879</v>
      </c>
      <c r="F121" s="181" t="s">
        <v>8878</v>
      </c>
    </row>
    <row r="122" spans="5:6" s="166" customFormat="1" x14ac:dyDescent="0.25">
      <c r="E122" s="158" t="s">
        <v>8877</v>
      </c>
      <c r="F122" s="181" t="s">
        <v>8876</v>
      </c>
    </row>
    <row r="123" spans="5:6" s="166" customFormat="1" x14ac:dyDescent="0.25">
      <c r="E123" s="158" t="s">
        <v>8875</v>
      </c>
      <c r="F123" s="181" t="s">
        <v>8874</v>
      </c>
    </row>
    <row r="124" spans="5:6" s="166" customFormat="1" x14ac:dyDescent="0.25">
      <c r="E124" s="158" t="s">
        <v>8873</v>
      </c>
      <c r="F124" s="181" t="s">
        <v>8872</v>
      </c>
    </row>
    <row r="125" spans="5:6" s="166" customFormat="1" x14ac:dyDescent="0.25">
      <c r="E125" s="158" t="s">
        <v>8871</v>
      </c>
      <c r="F125" s="181" t="s">
        <v>8870</v>
      </c>
    </row>
    <row r="126" spans="5:6" s="166" customFormat="1" x14ac:dyDescent="0.25">
      <c r="E126" s="158" t="s">
        <v>8869</v>
      </c>
      <c r="F126" s="181" t="s">
        <v>8868</v>
      </c>
    </row>
    <row r="127" spans="5:6" s="166" customFormat="1" x14ac:dyDescent="0.25">
      <c r="E127" s="158" t="s">
        <v>8867</v>
      </c>
      <c r="F127" s="181" t="s">
        <v>8866</v>
      </c>
    </row>
    <row r="128" spans="5:6" s="166" customFormat="1" x14ac:dyDescent="0.25">
      <c r="E128" s="158" t="s">
        <v>8865</v>
      </c>
      <c r="F128" s="181" t="s">
        <v>8864</v>
      </c>
    </row>
    <row r="129" spans="5:6" s="166" customFormat="1" x14ac:dyDescent="0.25">
      <c r="E129" s="158" t="s">
        <v>8863</v>
      </c>
      <c r="F129" s="181" t="s">
        <v>7637</v>
      </c>
    </row>
    <row r="130" spans="5:6" s="166" customFormat="1" x14ac:dyDescent="0.25">
      <c r="E130" s="158" t="s">
        <v>922</v>
      </c>
      <c r="F130" s="181" t="s">
        <v>8862</v>
      </c>
    </row>
    <row r="131" spans="5:6" s="166" customFormat="1" x14ac:dyDescent="0.25">
      <c r="E131" s="158" t="s">
        <v>8861</v>
      </c>
      <c r="F131" s="181" t="s">
        <v>8860</v>
      </c>
    </row>
    <row r="132" spans="5:6" s="166" customFormat="1" x14ac:dyDescent="0.25">
      <c r="E132" s="158" t="s">
        <v>8859</v>
      </c>
      <c r="F132" s="181" t="s">
        <v>8858</v>
      </c>
    </row>
    <row r="133" spans="5:6" s="166" customFormat="1" x14ac:dyDescent="0.25">
      <c r="E133" s="158" t="s">
        <v>8857</v>
      </c>
      <c r="F133" s="181" t="s">
        <v>8856</v>
      </c>
    </row>
    <row r="134" spans="5:6" s="166" customFormat="1" x14ac:dyDescent="0.25">
      <c r="E134" s="158" t="s">
        <v>8855</v>
      </c>
      <c r="F134" s="181" t="s">
        <v>8854</v>
      </c>
    </row>
    <row r="135" spans="5:6" s="166" customFormat="1" x14ac:dyDescent="0.25">
      <c r="E135" s="158" t="s">
        <v>8853</v>
      </c>
      <c r="F135" s="181" t="s">
        <v>8852</v>
      </c>
    </row>
    <row r="136" spans="5:6" s="166" customFormat="1" x14ac:dyDescent="0.25">
      <c r="E136" s="158" t="s">
        <v>8851</v>
      </c>
      <c r="F136" s="181" t="s">
        <v>8850</v>
      </c>
    </row>
    <row r="137" spans="5:6" s="166" customFormat="1" x14ac:dyDescent="0.25">
      <c r="E137" s="158" t="s">
        <v>8849</v>
      </c>
      <c r="F137" s="181" t="s">
        <v>8848</v>
      </c>
    </row>
    <row r="138" spans="5:6" s="166" customFormat="1" x14ac:dyDescent="0.25">
      <c r="E138" s="158" t="s">
        <v>8847</v>
      </c>
      <c r="F138" s="181" t="s">
        <v>8846</v>
      </c>
    </row>
    <row r="139" spans="5:6" s="166" customFormat="1" x14ac:dyDescent="0.25">
      <c r="E139" s="158" t="s">
        <v>8845</v>
      </c>
      <c r="F139" s="181" t="s">
        <v>8844</v>
      </c>
    </row>
    <row r="140" spans="5:6" s="166" customFormat="1" x14ac:dyDescent="0.25">
      <c r="E140" s="158" t="s">
        <v>8843</v>
      </c>
      <c r="F140" s="181" t="s">
        <v>8842</v>
      </c>
    </row>
    <row r="141" spans="5:6" s="166" customFormat="1" x14ac:dyDescent="0.25">
      <c r="E141" s="158" t="s">
        <v>8841</v>
      </c>
      <c r="F141" s="181" t="s">
        <v>8840</v>
      </c>
    </row>
    <row r="142" spans="5:6" s="166" customFormat="1" x14ac:dyDescent="0.25">
      <c r="E142" s="158" t="s">
        <v>8839</v>
      </c>
      <c r="F142" s="181" t="s">
        <v>8838</v>
      </c>
    </row>
    <row r="143" spans="5:6" s="166" customFormat="1" x14ac:dyDescent="0.25">
      <c r="E143" s="158" t="s">
        <v>8837</v>
      </c>
      <c r="F143" s="181" t="s">
        <v>8836</v>
      </c>
    </row>
  </sheetData>
  <mergeCells count="4">
    <mergeCell ref="A1:B1"/>
    <mergeCell ref="C1:D1"/>
    <mergeCell ref="E1:F1"/>
    <mergeCell ref="G1:H1"/>
  </mergeCells>
  <dataValidations count="1">
    <dataValidation type="list" allowBlank="1" showInputMessage="1" showErrorMessage="1" sqref="C2">
      <formula1>CORP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P1103"/>
  <sheetViews>
    <sheetView topLeftCell="U1" workbookViewId="0">
      <selection activeCell="Y18" sqref="Y18"/>
    </sheetView>
  </sheetViews>
  <sheetFormatPr defaultRowHeight="15" x14ac:dyDescent="0.25"/>
  <cols>
    <col min="2" max="2" width="28.5703125" customWidth="1"/>
    <col min="3" max="3" width="11.85546875" customWidth="1"/>
    <col min="6" max="6" width="13.7109375" bestFit="1" customWidth="1"/>
    <col min="7" max="7" width="9.140625" customWidth="1"/>
    <col min="8" max="8" width="16" customWidth="1"/>
    <col min="9" max="9" width="46" bestFit="1" customWidth="1"/>
    <col min="10" max="10" width="15.140625" bestFit="1" customWidth="1"/>
    <col min="12" max="12" width="37.7109375" bestFit="1" customWidth="1"/>
    <col min="13" max="13" width="6.85546875" bestFit="1" customWidth="1"/>
    <col min="15" max="15" width="39" bestFit="1" customWidth="1"/>
    <col min="16" max="16" width="7.140625" bestFit="1" customWidth="1"/>
    <col min="18" max="18" width="32.85546875" bestFit="1" customWidth="1"/>
    <col min="19" max="19" width="7.85546875" bestFit="1" customWidth="1"/>
    <col min="21" max="21" width="50.140625" bestFit="1" customWidth="1"/>
    <col min="22" max="22" width="32.85546875" bestFit="1" customWidth="1"/>
    <col min="24" max="24" width="64.140625" customWidth="1"/>
    <col min="25" max="25" width="32.85546875" bestFit="1" customWidth="1"/>
    <col min="26" max="26" width="16.140625" customWidth="1"/>
    <col min="27" max="27" width="54.140625" customWidth="1"/>
    <col min="28" max="28" width="32.85546875" bestFit="1" customWidth="1"/>
    <col min="31" max="31" width="74.28515625" bestFit="1" customWidth="1"/>
    <col min="32" max="32" width="9.140625" bestFit="1" customWidth="1"/>
    <col min="34" max="34" width="28.42578125" customWidth="1"/>
    <col min="35" max="35" width="27.85546875" customWidth="1"/>
    <col min="37" max="37" width="45.85546875" bestFit="1" customWidth="1"/>
    <col min="38" max="38" width="7.42578125" bestFit="1" customWidth="1"/>
    <col min="40" max="40" width="56" customWidth="1"/>
    <col min="41" max="41" width="5.42578125" bestFit="1" customWidth="1"/>
    <col min="43" max="43" width="43.5703125" bestFit="1" customWidth="1"/>
    <col min="44" max="44" width="6" bestFit="1" customWidth="1"/>
    <col min="46" max="46" width="77.85546875" customWidth="1"/>
    <col min="47" max="47" width="5.42578125" bestFit="1" customWidth="1"/>
    <col min="49" max="49" width="41.42578125" customWidth="1"/>
    <col min="52" max="52" width="32.42578125" customWidth="1"/>
    <col min="53" max="53" width="6.7109375" bestFit="1" customWidth="1"/>
    <col min="55" max="55" width="33" customWidth="1"/>
    <col min="56" max="56" width="15.28515625" customWidth="1"/>
    <col min="59" max="59" width="40.85546875" bestFit="1" customWidth="1"/>
    <col min="60" max="60" width="24.85546875" bestFit="1" customWidth="1"/>
    <col min="62" max="62" width="67.140625" bestFit="1" customWidth="1"/>
    <col min="63" max="63" width="22.5703125" customWidth="1"/>
    <col min="65" max="65" width="51.42578125" customWidth="1"/>
    <col min="66" max="66" width="22.42578125" bestFit="1" customWidth="1"/>
    <col min="67" max="67" width="22.28515625" customWidth="1"/>
    <col min="68" max="68" width="34.85546875" customWidth="1"/>
    <col min="69" max="69" width="23" bestFit="1" customWidth="1"/>
    <col min="70" max="70" width="21.28515625" customWidth="1"/>
    <col min="71" max="72" width="6" customWidth="1"/>
    <col min="73" max="73" width="3.85546875" customWidth="1"/>
    <col min="74" max="74" width="4.7109375" customWidth="1"/>
    <col min="75" max="75" width="4.85546875" customWidth="1"/>
    <col min="76" max="76" width="5.5703125" customWidth="1"/>
    <col min="77" max="77" width="4.5703125" customWidth="1"/>
    <col min="78" max="78" width="4.140625" customWidth="1"/>
    <col min="79" max="79" width="24.42578125" customWidth="1"/>
    <col min="80" max="80" width="31.28515625" customWidth="1"/>
    <col min="82" max="82" width="21.7109375" customWidth="1"/>
    <col min="83" max="83" width="25" customWidth="1"/>
    <col min="84" max="84" width="9.28515625" customWidth="1"/>
    <col min="85" max="85" width="35.85546875" customWidth="1"/>
    <col min="88" max="88" width="21" customWidth="1"/>
    <col min="89" max="89" width="25.28515625" customWidth="1"/>
    <col min="93" max="93" width="20.42578125" bestFit="1" customWidth="1"/>
    <col min="94" max="94" width="47.5703125" bestFit="1" customWidth="1"/>
  </cols>
  <sheetData>
    <row r="1" spans="2:94" ht="15.75" thickBot="1" x14ac:dyDescent="0.3">
      <c r="C1" s="122" t="s">
        <v>4649</v>
      </c>
      <c r="J1" s="139" t="s">
        <v>5126</v>
      </c>
      <c r="P1" s="113" t="s">
        <v>4494</v>
      </c>
      <c r="T1" s="113" t="s">
        <v>4501</v>
      </c>
      <c r="V1" s="113" t="s">
        <v>4512</v>
      </c>
      <c r="Y1" s="113" t="s">
        <v>4510</v>
      </c>
      <c r="AB1" s="113" t="s">
        <v>4511</v>
      </c>
      <c r="AF1" s="122" t="s">
        <v>4556</v>
      </c>
      <c r="AI1" s="122" t="s">
        <v>4620</v>
      </c>
      <c r="AL1" s="122" t="s">
        <v>6771</v>
      </c>
      <c r="AO1" s="122" t="s">
        <v>6783</v>
      </c>
      <c r="AR1" s="167" t="s">
        <v>7810</v>
      </c>
      <c r="BH1" s="122" t="s">
        <v>7211</v>
      </c>
      <c r="BK1" s="122" t="s">
        <v>7273</v>
      </c>
      <c r="BN1" s="122" t="s">
        <v>7621</v>
      </c>
      <c r="BQ1" s="122" t="s">
        <v>7622</v>
      </c>
      <c r="CB1" s="122" t="s">
        <v>7691</v>
      </c>
      <c r="CE1" s="122" t="s">
        <v>7784</v>
      </c>
      <c r="CH1" s="122" t="s">
        <v>7807</v>
      </c>
      <c r="CK1" s="122"/>
      <c r="CO1" s="166"/>
      <c r="CP1" s="122"/>
    </row>
    <row r="2" spans="2:94" x14ac:dyDescent="0.25">
      <c r="B2" s="287" t="s">
        <v>0</v>
      </c>
      <c r="C2" s="288"/>
      <c r="F2" s="104" t="s">
        <v>3280</v>
      </c>
      <c r="G2" s="107"/>
      <c r="I2" s="287" t="s">
        <v>3289</v>
      </c>
      <c r="J2" s="288"/>
      <c r="L2" s="287" t="s">
        <v>4301</v>
      </c>
      <c r="M2" s="288" t="s">
        <v>286</v>
      </c>
      <c r="N2" s="110"/>
      <c r="O2" s="287" t="s">
        <v>4329</v>
      </c>
      <c r="P2" s="288"/>
      <c r="R2" s="287" t="s">
        <v>4329</v>
      </c>
      <c r="S2" s="288"/>
      <c r="U2" s="287" t="s">
        <v>4505</v>
      </c>
      <c r="V2" s="288"/>
      <c r="X2" s="287" t="s">
        <v>4508</v>
      </c>
      <c r="Y2" s="288"/>
      <c r="AA2" s="287" t="s">
        <v>4509</v>
      </c>
      <c r="AB2" s="288"/>
      <c r="AE2" s="287" t="s">
        <v>4555</v>
      </c>
      <c r="AF2" s="288"/>
      <c r="AH2" s="287" t="s">
        <v>4621</v>
      </c>
      <c r="AI2" s="288"/>
      <c r="AK2" s="287" t="s">
        <v>6770</v>
      </c>
      <c r="AL2" s="288"/>
      <c r="AN2" s="287" t="s">
        <v>6777</v>
      </c>
      <c r="AO2" s="288"/>
      <c r="AQ2" s="287" t="s">
        <v>6900</v>
      </c>
      <c r="AR2" s="288"/>
      <c r="AT2" s="287" t="s">
        <v>6901</v>
      </c>
      <c r="AU2" s="288"/>
      <c r="AW2" s="287" t="s">
        <v>6986</v>
      </c>
      <c r="AX2" s="288"/>
      <c r="AZ2" s="287" t="s">
        <v>7155</v>
      </c>
      <c r="BA2" s="288"/>
      <c r="BC2" s="287" t="s">
        <v>7160</v>
      </c>
      <c r="BD2" s="288"/>
      <c r="BG2" s="287" t="s">
        <v>7210</v>
      </c>
      <c r="BH2" s="288"/>
      <c r="BJ2" s="287" t="s">
        <v>7272</v>
      </c>
      <c r="BK2" s="288"/>
      <c r="BM2" s="287" t="s">
        <v>7368</v>
      </c>
      <c r="BN2" s="288"/>
      <c r="BP2" s="287" t="s">
        <v>7369</v>
      </c>
      <c r="BQ2" s="288"/>
      <c r="CA2" s="287" t="s">
        <v>7603</v>
      </c>
      <c r="CB2" s="288"/>
      <c r="CD2" s="287" t="s">
        <v>7618</v>
      </c>
      <c r="CE2" s="288"/>
      <c r="CG2" s="287" t="s">
        <v>7619</v>
      </c>
      <c r="CH2" s="288"/>
      <c r="CJ2" s="287"/>
      <c r="CK2" s="288"/>
      <c r="CO2" s="287"/>
      <c r="CP2" s="288"/>
    </row>
    <row r="3" spans="2:94" x14ac:dyDescent="0.25">
      <c r="B3" s="1" t="s">
        <v>4527</v>
      </c>
      <c r="C3" s="1" t="s">
        <v>2</v>
      </c>
      <c r="F3" s="46" t="s">
        <v>3282</v>
      </c>
      <c r="G3" s="107"/>
      <c r="I3" s="109" t="s">
        <v>5127</v>
      </c>
      <c r="J3" s="109" t="s">
        <v>3290</v>
      </c>
      <c r="L3" s="110" t="s">
        <v>6142</v>
      </c>
      <c r="M3" s="110" t="s">
        <v>4302</v>
      </c>
      <c r="N3" s="110"/>
      <c r="O3" s="114" t="s">
        <v>4335</v>
      </c>
      <c r="P3" s="114" t="s">
        <v>4334</v>
      </c>
      <c r="R3" s="114" t="s">
        <v>4496</v>
      </c>
      <c r="S3" s="114" t="s">
        <v>4495</v>
      </c>
      <c r="U3" s="134" t="s">
        <v>6149</v>
      </c>
      <c r="V3" s="114" t="s">
        <v>4502</v>
      </c>
      <c r="W3" s="115" t="s">
        <v>4513</v>
      </c>
      <c r="X3" s="134" t="s">
        <v>6152</v>
      </c>
      <c r="Y3" s="114" t="s">
        <v>4502</v>
      </c>
      <c r="Z3" s="115" t="s">
        <v>4513</v>
      </c>
      <c r="AA3" s="134" t="s">
        <v>6155</v>
      </c>
      <c r="AB3" s="114" t="s">
        <v>4502</v>
      </c>
      <c r="AC3" s="115" t="s">
        <v>4513</v>
      </c>
      <c r="AE3" s="120" t="s">
        <v>4653</v>
      </c>
      <c r="AF3" s="120" t="s">
        <v>45</v>
      </c>
      <c r="AG3" s="120"/>
      <c r="AH3" s="123" t="s">
        <v>6158</v>
      </c>
      <c r="AI3" s="123">
        <v>64</v>
      </c>
      <c r="AK3" s="139" t="s">
        <v>6724</v>
      </c>
      <c r="AL3" s="139" t="s">
        <v>120</v>
      </c>
      <c r="AN3" t="s">
        <v>6778</v>
      </c>
      <c r="AO3" s="139" t="s">
        <v>6772</v>
      </c>
      <c r="AQ3" s="148" t="s">
        <v>6802</v>
      </c>
      <c r="AR3" s="148" t="s">
        <v>6784</v>
      </c>
      <c r="AT3" s="150" t="s">
        <v>6902</v>
      </c>
      <c r="AU3" s="148" t="s">
        <v>1</v>
      </c>
      <c r="AW3" s="151" t="s">
        <v>6902</v>
      </c>
      <c r="AX3" s="152" t="s">
        <v>1</v>
      </c>
      <c r="AZ3" s="153" t="s">
        <v>6987</v>
      </c>
      <c r="BA3" s="154" t="s">
        <v>7070</v>
      </c>
      <c r="BC3" s="154" t="s">
        <v>6953</v>
      </c>
      <c r="BD3" s="154" t="s">
        <v>7161</v>
      </c>
      <c r="BG3" s="154" t="s">
        <v>7212</v>
      </c>
      <c r="BH3" s="154" t="s">
        <v>7162</v>
      </c>
      <c r="BI3" s="154"/>
      <c r="BJ3" s="155" t="s">
        <v>7261</v>
      </c>
      <c r="BK3" s="155" t="s">
        <v>1</v>
      </c>
      <c r="BM3" s="155" t="s">
        <v>7274</v>
      </c>
      <c r="BN3" s="155" t="s">
        <v>7275</v>
      </c>
      <c r="BO3" s="155" t="s">
        <v>1</v>
      </c>
      <c r="BP3" s="155" t="s">
        <v>7370</v>
      </c>
      <c r="BQ3" s="155" t="s">
        <v>7371</v>
      </c>
      <c r="BR3" s="155" t="s">
        <v>3240</v>
      </c>
      <c r="CA3" s="161" t="s">
        <v>7653</v>
      </c>
      <c r="CB3" s="160" t="s">
        <v>7623</v>
      </c>
      <c r="CD3" s="162" t="s">
        <v>7730</v>
      </c>
      <c r="CE3" s="162" t="s">
        <v>7692</v>
      </c>
      <c r="CG3" s="164" t="s">
        <v>7789</v>
      </c>
      <c r="CH3" s="163" t="s">
        <v>7785</v>
      </c>
      <c r="CJ3" s="165"/>
      <c r="CK3" s="166"/>
      <c r="CO3" s="166"/>
      <c r="CP3" s="166"/>
    </row>
    <row r="4" spans="2:94" ht="15.75" thickBot="1" x14ac:dyDescent="0.3">
      <c r="B4" s="1" t="s">
        <v>4</v>
      </c>
      <c r="C4" s="1" t="s">
        <v>4</v>
      </c>
      <c r="F4" s="47" t="s">
        <v>113</v>
      </c>
      <c r="G4" s="107"/>
      <c r="H4" s="139"/>
      <c r="I4" s="109" t="s">
        <v>5128</v>
      </c>
      <c r="J4" s="109" t="s">
        <v>3291</v>
      </c>
      <c r="L4" s="110" t="s">
        <v>6143</v>
      </c>
      <c r="M4" s="110" t="s">
        <v>4303</v>
      </c>
      <c r="N4" s="110"/>
      <c r="O4" s="114" t="s">
        <v>1677</v>
      </c>
      <c r="P4" s="114" t="s">
        <v>1676</v>
      </c>
      <c r="R4" s="114" t="s">
        <v>4498</v>
      </c>
      <c r="S4" s="114" t="s">
        <v>4497</v>
      </c>
      <c r="U4" s="134" t="s">
        <v>6150</v>
      </c>
      <c r="V4" s="114" t="s">
        <v>4503</v>
      </c>
      <c r="W4" s="115" t="s">
        <v>4514</v>
      </c>
      <c r="X4" s="134" t="s">
        <v>6153</v>
      </c>
      <c r="Y4" s="114" t="s">
        <v>4503</v>
      </c>
      <c r="Z4" s="115" t="s">
        <v>4514</v>
      </c>
      <c r="AA4" s="134" t="s">
        <v>6156</v>
      </c>
      <c r="AB4" s="114" t="s">
        <v>4503</v>
      </c>
      <c r="AC4" s="115" t="s">
        <v>4514</v>
      </c>
      <c r="AE4" s="120" t="s">
        <v>4654</v>
      </c>
      <c r="AF4" s="120" t="s">
        <v>43</v>
      </c>
      <c r="AH4" s="123" t="s">
        <v>6159</v>
      </c>
      <c r="AI4" s="123">
        <v>65</v>
      </c>
      <c r="AJ4" s="139"/>
      <c r="AK4" s="139" t="s">
        <v>6725</v>
      </c>
      <c r="AL4" s="139" t="s">
        <v>79</v>
      </c>
      <c r="AN4" s="139" t="s">
        <v>6779</v>
      </c>
      <c r="AO4" s="139" t="s">
        <v>6773</v>
      </c>
      <c r="AQ4" s="148" t="s">
        <v>6803</v>
      </c>
      <c r="AR4" s="148" t="s">
        <v>6785</v>
      </c>
      <c r="AT4" s="150" t="s">
        <v>6903</v>
      </c>
      <c r="AU4" s="148" t="s">
        <v>6823</v>
      </c>
      <c r="AW4" s="151" t="s">
        <v>6903</v>
      </c>
      <c r="AX4" s="152" t="s">
        <v>6823</v>
      </c>
      <c r="AZ4" s="153" t="s">
        <v>6988</v>
      </c>
      <c r="BA4" s="154" t="s">
        <v>7071</v>
      </c>
      <c r="BG4" s="154" t="s">
        <v>7213</v>
      </c>
      <c r="BH4" s="154" t="s">
        <v>7163</v>
      </c>
      <c r="BI4" s="154"/>
      <c r="BJ4" s="155" t="s">
        <v>7262</v>
      </c>
      <c r="BK4" s="155" t="s">
        <v>6</v>
      </c>
      <c r="BM4" s="155" t="s">
        <v>7276</v>
      </c>
      <c r="BN4" s="155" t="s">
        <v>15</v>
      </c>
      <c r="BO4" s="155" t="s">
        <v>1</v>
      </c>
      <c r="BP4" s="155" t="s">
        <v>7372</v>
      </c>
      <c r="BQ4" s="155" t="s">
        <v>7373</v>
      </c>
      <c r="BR4" s="155" t="s">
        <v>3240</v>
      </c>
      <c r="CA4" s="161" t="s">
        <v>7654</v>
      </c>
      <c r="CB4" s="160" t="s">
        <v>7624</v>
      </c>
      <c r="CD4" s="162" t="s">
        <v>7731</v>
      </c>
      <c r="CE4" s="162" t="s">
        <v>7693</v>
      </c>
      <c r="CG4" s="164" t="s">
        <v>7790</v>
      </c>
      <c r="CH4" s="163" t="s">
        <v>7786</v>
      </c>
      <c r="CJ4" s="165"/>
      <c r="CK4" s="166"/>
      <c r="CO4" s="166"/>
      <c r="CP4" s="166"/>
    </row>
    <row r="5" spans="2:94" ht="15.75" thickBot="1" x14ac:dyDescent="0.3">
      <c r="B5" s="1" t="s">
        <v>4528</v>
      </c>
      <c r="C5" s="1" t="s">
        <v>5</v>
      </c>
      <c r="G5" s="107"/>
      <c r="H5" s="139"/>
      <c r="I5" s="109" t="s">
        <v>5129</v>
      </c>
      <c r="J5" s="109" t="s">
        <v>3292</v>
      </c>
      <c r="L5" s="110" t="s">
        <v>6144</v>
      </c>
      <c r="M5" s="110" t="s">
        <v>4304</v>
      </c>
      <c r="N5" s="110"/>
      <c r="O5" s="114" t="s">
        <v>4337</v>
      </c>
      <c r="P5" s="114" t="s">
        <v>4336</v>
      </c>
      <c r="R5" s="114" t="s">
        <v>4500</v>
      </c>
      <c r="S5" s="114" t="s">
        <v>4499</v>
      </c>
      <c r="U5" s="134" t="s">
        <v>6151</v>
      </c>
      <c r="V5" s="114" t="s">
        <v>4504</v>
      </c>
      <c r="W5" s="115" t="s">
        <v>4513</v>
      </c>
      <c r="X5" s="134" t="s">
        <v>6154</v>
      </c>
      <c r="Y5" s="114" t="s">
        <v>4504</v>
      </c>
      <c r="Z5" s="115" t="s">
        <v>4515</v>
      </c>
      <c r="AA5" s="134" t="s">
        <v>6157</v>
      </c>
      <c r="AB5" s="114" t="s">
        <v>4504</v>
      </c>
      <c r="AC5" s="115" t="s">
        <v>4517</v>
      </c>
      <c r="AE5" s="120" t="s">
        <v>4655</v>
      </c>
      <c r="AF5" s="120" t="s">
        <v>47</v>
      </c>
      <c r="AH5" s="123" t="s">
        <v>4669</v>
      </c>
      <c r="AI5" s="123">
        <v>1111</v>
      </c>
      <c r="AJ5" s="139"/>
      <c r="AK5" s="139" t="s">
        <v>6726</v>
      </c>
      <c r="AL5" s="139" t="s">
        <v>62</v>
      </c>
      <c r="AN5" s="139" t="s">
        <v>6780</v>
      </c>
      <c r="AO5" s="139" t="s">
        <v>6774</v>
      </c>
      <c r="AQ5" s="148" t="s">
        <v>6804</v>
      </c>
      <c r="AR5" s="148" t="s">
        <v>6786</v>
      </c>
      <c r="AT5" s="150" t="s">
        <v>6904</v>
      </c>
      <c r="AU5" s="148" t="s">
        <v>6824</v>
      </c>
      <c r="AW5" s="151" t="s">
        <v>6904</v>
      </c>
      <c r="AX5" s="152" t="s">
        <v>6824</v>
      </c>
      <c r="AZ5" s="153" t="s">
        <v>6989</v>
      </c>
      <c r="BA5" s="154" t="s">
        <v>7072</v>
      </c>
      <c r="BG5" s="154" t="s">
        <v>7214</v>
      </c>
      <c r="BH5" s="154" t="s">
        <v>7164</v>
      </c>
      <c r="BI5" s="154"/>
      <c r="BJ5" s="155" t="s">
        <v>7263</v>
      </c>
      <c r="BK5" s="155" t="s">
        <v>8</v>
      </c>
      <c r="BM5" s="155" t="s">
        <v>7277</v>
      </c>
      <c r="BN5" s="155" t="s">
        <v>1500</v>
      </c>
      <c r="BO5" t="s">
        <v>6</v>
      </c>
      <c r="BP5" s="155" t="s">
        <v>7374</v>
      </c>
      <c r="BQ5" s="155" t="s">
        <v>179</v>
      </c>
      <c r="BR5" s="155" t="s">
        <v>7275</v>
      </c>
      <c r="CA5" s="161" t="s">
        <v>7655</v>
      </c>
      <c r="CB5" s="160" t="s">
        <v>7625</v>
      </c>
      <c r="CD5" s="162" t="s">
        <v>7732</v>
      </c>
      <c r="CE5" s="162" t="s">
        <v>7694</v>
      </c>
      <c r="CG5" s="164" t="s">
        <v>7789</v>
      </c>
      <c r="CH5" s="163" t="s">
        <v>7785</v>
      </c>
      <c r="CJ5" s="165"/>
      <c r="CK5" s="166"/>
      <c r="CO5" s="166"/>
      <c r="CP5" s="166"/>
    </row>
    <row r="6" spans="2:94" x14ac:dyDescent="0.25">
      <c r="B6" s="1" t="s">
        <v>4529</v>
      </c>
      <c r="C6" s="1" t="s">
        <v>6</v>
      </c>
      <c r="F6" s="104" t="s">
        <v>4315</v>
      </c>
      <c r="G6" s="107"/>
      <c r="H6" s="139"/>
      <c r="I6" s="109" t="s">
        <v>5130</v>
      </c>
      <c r="J6" s="109" t="s">
        <v>3293</v>
      </c>
      <c r="L6" s="110" t="s">
        <v>6145</v>
      </c>
      <c r="M6" s="110" t="s">
        <v>4305</v>
      </c>
      <c r="N6" s="110"/>
      <c r="O6" s="114" t="s">
        <v>4338</v>
      </c>
      <c r="P6" s="114" t="s">
        <v>922</v>
      </c>
      <c r="U6" s="134"/>
      <c r="V6" s="114"/>
      <c r="W6" s="115" t="s">
        <v>4514</v>
      </c>
      <c r="AE6" s="120" t="s">
        <v>4656</v>
      </c>
      <c r="AF6" s="120" t="s">
        <v>41</v>
      </c>
      <c r="AH6" s="123" t="s">
        <v>4670</v>
      </c>
      <c r="AI6" s="122" t="s">
        <v>7605</v>
      </c>
      <c r="AJ6" s="139"/>
      <c r="AK6" s="139" t="s">
        <v>6727</v>
      </c>
      <c r="AL6" s="139" t="s">
        <v>57</v>
      </c>
      <c r="AN6" s="139" t="s">
        <v>6781</v>
      </c>
      <c r="AO6" s="139" t="s">
        <v>6775</v>
      </c>
      <c r="AQ6" s="148" t="s">
        <v>6805</v>
      </c>
      <c r="AR6" s="148" t="s">
        <v>6787</v>
      </c>
      <c r="AT6" s="150" t="s">
        <v>6905</v>
      </c>
      <c r="AU6" s="148" t="s">
        <v>315</v>
      </c>
      <c r="AW6" s="151" t="s">
        <v>6905</v>
      </c>
      <c r="AX6" s="152" t="s">
        <v>315</v>
      </c>
      <c r="AZ6" s="153" t="s">
        <v>6990</v>
      </c>
      <c r="BA6" s="154" t="s">
        <v>7073</v>
      </c>
      <c r="BG6" s="154" t="s">
        <v>7215</v>
      </c>
      <c r="BH6" s="154" t="s">
        <v>7165</v>
      </c>
      <c r="BI6" s="154"/>
      <c r="BJ6" s="155" t="s">
        <v>7264</v>
      </c>
      <c r="BK6" s="155" t="s">
        <v>10</v>
      </c>
      <c r="BM6" s="155" t="s">
        <v>7278</v>
      </c>
      <c r="BN6" s="155" t="s">
        <v>7279</v>
      </c>
      <c r="BO6" s="155" t="s">
        <v>6</v>
      </c>
      <c r="BP6" s="155" t="s">
        <v>7375</v>
      </c>
      <c r="BQ6" s="155" t="s">
        <v>205</v>
      </c>
      <c r="BR6" s="155" t="s">
        <v>7275</v>
      </c>
      <c r="CA6" s="161" t="s">
        <v>7653</v>
      </c>
      <c r="CB6" s="160" t="s">
        <v>7623</v>
      </c>
      <c r="CD6" s="162" t="s">
        <v>7733</v>
      </c>
      <c r="CE6" s="162" t="s">
        <v>7695</v>
      </c>
      <c r="CG6" s="164" t="s">
        <v>7790</v>
      </c>
      <c r="CH6" s="163" t="s">
        <v>7786</v>
      </c>
      <c r="CJ6" s="165"/>
      <c r="CK6" s="166"/>
      <c r="CO6" s="166"/>
      <c r="CP6" s="166"/>
    </row>
    <row r="7" spans="2:94" x14ac:dyDescent="0.25">
      <c r="B7" s="1" t="s">
        <v>4530</v>
      </c>
      <c r="C7" s="1" t="s">
        <v>7</v>
      </c>
      <c r="F7" s="46" t="s">
        <v>4317</v>
      </c>
      <c r="G7" s="107"/>
      <c r="H7" s="139"/>
      <c r="I7" s="109" t="s">
        <v>5131</v>
      </c>
      <c r="J7" s="109" t="s">
        <v>3294</v>
      </c>
      <c r="L7" s="110" t="s">
        <v>6146</v>
      </c>
      <c r="M7" s="110" t="s">
        <v>4306</v>
      </c>
      <c r="N7" s="110"/>
      <c r="O7" s="114" t="s">
        <v>4340</v>
      </c>
      <c r="P7" s="114" t="s">
        <v>4339</v>
      </c>
      <c r="R7" s="114"/>
      <c r="S7" s="114"/>
      <c r="U7" s="134"/>
      <c r="V7" s="114"/>
      <c r="W7" s="116" t="s">
        <v>4515</v>
      </c>
      <c r="X7" s="134"/>
      <c r="Y7" s="114"/>
      <c r="Z7" s="116"/>
      <c r="AA7" s="134"/>
      <c r="AB7" s="114"/>
      <c r="AC7" s="115"/>
      <c r="AE7" s="120" t="s">
        <v>4657</v>
      </c>
      <c r="AF7" s="120" t="s">
        <v>35</v>
      </c>
      <c r="AH7" s="123" t="s">
        <v>4671</v>
      </c>
      <c r="AI7" s="123">
        <v>1</v>
      </c>
      <c r="AJ7" s="139"/>
      <c r="AK7" s="139" t="s">
        <v>6728</v>
      </c>
      <c r="AL7" s="139" t="s">
        <v>60</v>
      </c>
      <c r="AN7" s="139" t="s">
        <v>6782</v>
      </c>
      <c r="AO7" s="139" t="s">
        <v>6776</v>
      </c>
      <c r="AQ7" s="148" t="s">
        <v>6806</v>
      </c>
      <c r="AR7" s="148" t="s">
        <v>6788</v>
      </c>
      <c r="AT7" s="150" t="s">
        <v>6906</v>
      </c>
      <c r="AU7" s="148" t="s">
        <v>6825</v>
      </c>
      <c r="AW7" s="151" t="s">
        <v>6906</v>
      </c>
      <c r="AX7" s="152" t="s">
        <v>6825</v>
      </c>
      <c r="AZ7" s="153" t="s">
        <v>6991</v>
      </c>
      <c r="BA7" s="154" t="s">
        <v>7074</v>
      </c>
      <c r="BG7" s="154" t="s">
        <v>7216</v>
      </c>
      <c r="BH7" s="154" t="s">
        <v>7166</v>
      </c>
      <c r="BI7" s="154"/>
      <c r="BJ7" s="155" t="s">
        <v>7265</v>
      </c>
      <c r="BK7" s="155" t="s">
        <v>11</v>
      </c>
      <c r="BM7" s="155" t="s">
        <v>7280</v>
      </c>
      <c r="BN7" s="155" t="s">
        <v>255</v>
      </c>
      <c r="BO7" s="155" t="s">
        <v>6</v>
      </c>
      <c r="BP7" s="155" t="s">
        <v>7376</v>
      </c>
      <c r="BQ7" s="155" t="s">
        <v>216</v>
      </c>
      <c r="BR7" s="155" t="s">
        <v>7275</v>
      </c>
      <c r="CA7" s="161" t="s">
        <v>7655</v>
      </c>
      <c r="CB7" s="160" t="s">
        <v>7625</v>
      </c>
      <c r="CD7" s="162" t="s">
        <v>7734</v>
      </c>
      <c r="CE7" s="162" t="s">
        <v>13</v>
      </c>
      <c r="CG7" s="164" t="s">
        <v>7789</v>
      </c>
      <c r="CH7" s="163" t="s">
        <v>7785</v>
      </c>
      <c r="CJ7" s="165"/>
      <c r="CK7" s="166"/>
      <c r="CO7" s="166"/>
      <c r="CP7" s="166"/>
    </row>
    <row r="8" spans="2:94" ht="15.75" thickBot="1" x14ac:dyDescent="0.3">
      <c r="B8" s="1" t="s">
        <v>4531</v>
      </c>
      <c r="C8" s="1" t="s">
        <v>8</v>
      </c>
      <c r="F8" s="47" t="s">
        <v>4316</v>
      </c>
      <c r="G8" s="107"/>
      <c r="H8" s="139"/>
      <c r="I8" s="109" t="s">
        <v>5132</v>
      </c>
      <c r="J8" s="109" t="s">
        <v>3295</v>
      </c>
      <c r="L8" s="110" t="s">
        <v>6147</v>
      </c>
      <c r="M8" s="110" t="s">
        <v>4307</v>
      </c>
      <c r="N8" s="110"/>
      <c r="O8" s="114" t="s">
        <v>4342</v>
      </c>
      <c r="P8" s="114" t="s">
        <v>4341</v>
      </c>
      <c r="R8" s="114"/>
      <c r="S8" s="114"/>
      <c r="U8" s="134"/>
      <c r="V8" s="114"/>
      <c r="W8" s="116" t="s">
        <v>4515</v>
      </c>
      <c r="X8" s="134"/>
      <c r="Y8" s="114"/>
      <c r="Z8" s="116"/>
      <c r="AA8" s="134"/>
      <c r="AB8" s="114"/>
      <c r="AC8" s="115"/>
      <c r="AE8" s="120" t="s">
        <v>4658</v>
      </c>
      <c r="AF8" s="120" t="s">
        <v>27</v>
      </c>
      <c r="AH8" s="123" t="s">
        <v>4672</v>
      </c>
      <c r="AI8" s="123">
        <v>2</v>
      </c>
      <c r="AJ8" s="139"/>
      <c r="AK8" s="139" t="s">
        <v>6729</v>
      </c>
      <c r="AL8" s="139" t="s">
        <v>63</v>
      </c>
      <c r="AN8" s="139"/>
      <c r="AQ8" s="148" t="s">
        <v>6807</v>
      </c>
      <c r="AR8" s="148" t="s">
        <v>6789</v>
      </c>
      <c r="AT8" s="150" t="s">
        <v>6907</v>
      </c>
      <c r="AU8" s="148" t="s">
        <v>6826</v>
      </c>
      <c r="AW8" s="151" t="s">
        <v>6907</v>
      </c>
      <c r="AX8" s="152" t="s">
        <v>6826</v>
      </c>
      <c r="AZ8" s="153" t="s">
        <v>6992</v>
      </c>
      <c r="BA8" s="154" t="s">
        <v>7075</v>
      </c>
      <c r="BG8" s="154" t="s">
        <v>7217</v>
      </c>
      <c r="BH8" s="154" t="s">
        <v>7167</v>
      </c>
      <c r="BI8" s="154"/>
      <c r="BJ8" s="155" t="s">
        <v>7266</v>
      </c>
      <c r="BK8" s="155" t="s">
        <v>146</v>
      </c>
      <c r="BM8" s="155" t="s">
        <v>7281</v>
      </c>
      <c r="BN8" s="155" t="s">
        <v>7282</v>
      </c>
      <c r="BO8" s="155" t="s">
        <v>6</v>
      </c>
      <c r="BP8" s="155" t="s">
        <v>7377</v>
      </c>
      <c r="BQ8" s="155" t="s">
        <v>226</v>
      </c>
      <c r="BR8" s="155" t="s">
        <v>7275</v>
      </c>
      <c r="CA8" s="161" t="s">
        <v>7655</v>
      </c>
      <c r="CB8" s="160" t="s">
        <v>7625</v>
      </c>
      <c r="CD8" s="162" t="s">
        <v>7735</v>
      </c>
      <c r="CE8" s="162" t="s">
        <v>7696</v>
      </c>
      <c r="CG8" s="164" t="s">
        <v>7790</v>
      </c>
      <c r="CH8" s="163" t="s">
        <v>7786</v>
      </c>
      <c r="CJ8" s="165"/>
      <c r="CK8" s="166"/>
      <c r="CO8" s="166"/>
      <c r="CP8" s="166"/>
    </row>
    <row r="9" spans="2:94" ht="15.75" thickBot="1" x14ac:dyDescent="0.3">
      <c r="B9" s="1" t="s">
        <v>4532</v>
      </c>
      <c r="C9" s="1" t="s">
        <v>9</v>
      </c>
      <c r="H9" s="139"/>
      <c r="I9" s="109" t="s">
        <v>5133</v>
      </c>
      <c r="J9" s="109" t="s">
        <v>3296</v>
      </c>
      <c r="L9" s="110" t="s">
        <v>6148</v>
      </c>
      <c r="M9" s="110" t="s">
        <v>4308</v>
      </c>
      <c r="N9" s="110"/>
      <c r="O9" s="114" t="s">
        <v>4344</v>
      </c>
      <c r="P9" s="114" t="s">
        <v>4343</v>
      </c>
      <c r="R9" s="114"/>
      <c r="S9" s="114"/>
      <c r="W9" s="116" t="s">
        <v>4516</v>
      </c>
      <c r="X9" s="134"/>
      <c r="Y9" s="114"/>
      <c r="Z9" s="116"/>
      <c r="AA9" s="134"/>
      <c r="AB9" s="114"/>
      <c r="AC9" s="115"/>
      <c r="AE9" s="120" t="s">
        <v>4659</v>
      </c>
      <c r="AF9" s="120" t="s">
        <v>25</v>
      </c>
      <c r="AH9" s="123" t="s">
        <v>4673</v>
      </c>
      <c r="AI9" s="123">
        <v>3</v>
      </c>
      <c r="AJ9" s="139"/>
      <c r="AK9" s="139" t="s">
        <v>6730</v>
      </c>
      <c r="AL9" s="139" t="s">
        <v>67</v>
      </c>
      <c r="AN9" s="139"/>
      <c r="AQ9" s="148" t="s">
        <v>6808</v>
      </c>
      <c r="AR9" s="148" t="s">
        <v>6790</v>
      </c>
      <c r="AT9" s="150" t="s">
        <v>6908</v>
      </c>
      <c r="AU9" s="148" t="s">
        <v>6827</v>
      </c>
      <c r="AW9" s="151" t="s">
        <v>6908</v>
      </c>
      <c r="AX9" s="152" t="s">
        <v>6827</v>
      </c>
      <c r="AZ9" s="153" t="s">
        <v>6993</v>
      </c>
      <c r="BA9" s="154" t="s">
        <v>7076</v>
      </c>
      <c r="BG9" s="154" t="s">
        <v>7218</v>
      </c>
      <c r="BH9" s="154" t="s">
        <v>7168</v>
      </c>
      <c r="BI9" s="154"/>
      <c r="BJ9" s="155" t="s">
        <v>7267</v>
      </c>
      <c r="BK9" s="155" t="s">
        <v>16</v>
      </c>
      <c r="BM9" s="155" t="s">
        <v>7283</v>
      </c>
      <c r="BN9" s="155" t="s">
        <v>150</v>
      </c>
      <c r="BO9" s="155" t="s">
        <v>8</v>
      </c>
      <c r="BP9" s="155" t="s">
        <v>7378</v>
      </c>
      <c r="BQ9" s="155" t="s">
        <v>236</v>
      </c>
      <c r="BR9" s="155" t="s">
        <v>7275</v>
      </c>
      <c r="CA9" s="161" t="s">
        <v>7655</v>
      </c>
      <c r="CB9" s="160" t="s">
        <v>7625</v>
      </c>
      <c r="CD9" s="162" t="s">
        <v>7736</v>
      </c>
      <c r="CE9" s="162" t="s">
        <v>7697</v>
      </c>
      <c r="CG9" s="164" t="s">
        <v>7789</v>
      </c>
      <c r="CH9" s="163" t="s">
        <v>7785</v>
      </c>
      <c r="CJ9" s="165"/>
      <c r="CK9" s="166"/>
      <c r="CO9" s="166"/>
      <c r="CP9" s="166"/>
    </row>
    <row r="10" spans="2:94" x14ac:dyDescent="0.25">
      <c r="B10" s="1" t="s">
        <v>4533</v>
      </c>
      <c r="C10" s="1" t="s">
        <v>10</v>
      </c>
      <c r="F10" s="144" t="s">
        <v>4637</v>
      </c>
      <c r="H10" s="139"/>
      <c r="I10" s="109" t="s">
        <v>5134</v>
      </c>
      <c r="J10" s="109" t="s">
        <v>3297</v>
      </c>
      <c r="O10" s="114" t="s">
        <v>4345</v>
      </c>
      <c r="P10" s="114" t="s">
        <v>23</v>
      </c>
      <c r="U10" s="134"/>
      <c r="V10" s="114"/>
      <c r="W10" s="115" t="s">
        <v>4513</v>
      </c>
      <c r="X10" s="134"/>
      <c r="Y10" s="114"/>
      <c r="Z10" s="115"/>
      <c r="AA10" s="134"/>
      <c r="AB10" s="114"/>
      <c r="AC10" s="115"/>
      <c r="AE10" s="120" t="s">
        <v>4660</v>
      </c>
      <c r="AF10" s="120" t="s">
        <v>29</v>
      </c>
      <c r="AH10" s="123" t="s">
        <v>4674</v>
      </c>
      <c r="AI10" s="123">
        <v>4</v>
      </c>
      <c r="AJ10" s="139"/>
      <c r="AK10" s="139" t="s">
        <v>6731</v>
      </c>
      <c r="AL10" s="139" t="s">
        <v>65</v>
      </c>
      <c r="AN10" s="139"/>
      <c r="AQ10" s="148" t="s">
        <v>6809</v>
      </c>
      <c r="AR10" s="148" t="s">
        <v>6791</v>
      </c>
      <c r="AT10" s="150" t="s">
        <v>6909</v>
      </c>
      <c r="AU10" s="148" t="s">
        <v>6828</v>
      </c>
      <c r="AW10" s="151" t="s">
        <v>6909</v>
      </c>
      <c r="AX10" s="152" t="s">
        <v>6828</v>
      </c>
      <c r="AZ10" s="153" t="s">
        <v>6994</v>
      </c>
      <c r="BA10" s="154" t="s">
        <v>7077</v>
      </c>
      <c r="BG10" s="154" t="s">
        <v>7219</v>
      </c>
      <c r="BH10" s="154" t="s">
        <v>7169</v>
      </c>
      <c r="BI10" s="154"/>
      <c r="BJ10" s="155" t="s">
        <v>7268</v>
      </c>
      <c r="BK10" s="155" t="s">
        <v>17</v>
      </c>
      <c r="BL10" s="166"/>
      <c r="BM10" s="166" t="s">
        <v>7813</v>
      </c>
      <c r="BN10" s="155" t="s">
        <v>166</v>
      </c>
      <c r="BO10" s="155" t="s">
        <v>8</v>
      </c>
      <c r="BP10" s="155" t="s">
        <v>7370</v>
      </c>
      <c r="BQ10" s="155" t="s">
        <v>7371</v>
      </c>
      <c r="BR10" s="155" t="s">
        <v>7275</v>
      </c>
      <c r="CA10" s="161" t="s">
        <v>7653</v>
      </c>
      <c r="CB10" s="160" t="s">
        <v>7623</v>
      </c>
      <c r="CD10" s="162" t="s">
        <v>7737</v>
      </c>
      <c r="CE10" s="162" t="s">
        <v>7698</v>
      </c>
      <c r="CG10" s="164" t="s">
        <v>7790</v>
      </c>
      <c r="CH10" s="163" t="s">
        <v>7786</v>
      </c>
      <c r="CJ10" s="165"/>
      <c r="CK10" s="166"/>
      <c r="CO10" s="166"/>
      <c r="CP10" s="166"/>
    </row>
    <row r="11" spans="2:94" x14ac:dyDescent="0.25">
      <c r="B11" s="1" t="s">
        <v>4534</v>
      </c>
      <c r="C11" s="1" t="s">
        <v>11</v>
      </c>
      <c r="F11" s="140" t="s">
        <v>4636</v>
      </c>
      <c r="H11" s="139"/>
      <c r="I11" s="109" t="s">
        <v>5135</v>
      </c>
      <c r="J11" s="109" t="s">
        <v>3298</v>
      </c>
      <c r="L11" s="139"/>
      <c r="O11" s="114" t="s">
        <v>4347</v>
      </c>
      <c r="P11" s="114" t="s">
        <v>4346</v>
      </c>
      <c r="U11" s="134"/>
      <c r="V11" s="114"/>
      <c r="W11" s="116" t="s">
        <v>4516</v>
      </c>
      <c r="X11" s="134"/>
      <c r="Y11" s="114"/>
      <c r="Z11" s="115"/>
      <c r="AE11" s="120" t="s">
        <v>4661</v>
      </c>
      <c r="AF11" s="120" t="s">
        <v>23</v>
      </c>
      <c r="AH11" s="123" t="s">
        <v>4675</v>
      </c>
      <c r="AI11" s="123">
        <v>5</v>
      </c>
      <c r="AJ11" s="139"/>
      <c r="AK11" s="139" t="s">
        <v>6732</v>
      </c>
      <c r="AL11" s="139" t="s">
        <v>124</v>
      </c>
      <c r="AN11" s="139"/>
      <c r="AQ11" s="148" t="s">
        <v>6810</v>
      </c>
      <c r="AR11" s="148" t="s">
        <v>6792</v>
      </c>
      <c r="AT11" s="150" t="s">
        <v>6910</v>
      </c>
      <c r="AU11" s="148" t="s">
        <v>6829</v>
      </c>
      <c r="AW11" s="151" t="s">
        <v>6910</v>
      </c>
      <c r="AX11" s="152" t="s">
        <v>6829</v>
      </c>
      <c r="AZ11" s="153" t="s">
        <v>6995</v>
      </c>
      <c r="BA11" s="154" t="s">
        <v>7078</v>
      </c>
      <c r="BG11" s="154" t="s">
        <v>7220</v>
      </c>
      <c r="BH11" s="154" t="s">
        <v>7170</v>
      </c>
      <c r="BI11" s="154"/>
      <c r="BJ11" s="155" t="s">
        <v>7269</v>
      </c>
      <c r="BK11" s="155" t="s">
        <v>18</v>
      </c>
      <c r="BM11" s="155" t="s">
        <v>7284</v>
      </c>
      <c r="BN11" s="155" t="s">
        <v>195</v>
      </c>
      <c r="BO11" s="155" t="s">
        <v>8</v>
      </c>
      <c r="BP11" s="155" t="s">
        <v>7379</v>
      </c>
      <c r="BQ11" s="155" t="s">
        <v>3235</v>
      </c>
      <c r="BR11" s="155" t="s">
        <v>7275</v>
      </c>
      <c r="CA11" s="161" t="s">
        <v>7655</v>
      </c>
      <c r="CB11" s="160" t="s">
        <v>7625</v>
      </c>
      <c r="CD11" s="162" t="s">
        <v>7738</v>
      </c>
      <c r="CE11" s="162" t="s">
        <v>7699</v>
      </c>
      <c r="CG11" s="164" t="s">
        <v>7789</v>
      </c>
      <c r="CH11" s="163" t="s">
        <v>7785</v>
      </c>
      <c r="CJ11" s="165"/>
      <c r="CK11" s="166"/>
      <c r="CO11" s="166"/>
      <c r="CP11" s="166"/>
    </row>
    <row r="12" spans="2:94" ht="15.75" thickBot="1" x14ac:dyDescent="0.3">
      <c r="B12" s="1" t="s">
        <v>4535</v>
      </c>
      <c r="C12" s="1" t="s">
        <v>12</v>
      </c>
      <c r="F12" s="141" t="s">
        <v>1061</v>
      </c>
      <c r="H12" s="139"/>
      <c r="I12" s="109" t="s">
        <v>5136</v>
      </c>
      <c r="J12" s="109" t="s">
        <v>3299</v>
      </c>
      <c r="L12" s="139"/>
      <c r="O12" s="114" t="s">
        <v>4349</v>
      </c>
      <c r="P12" s="114" t="s">
        <v>4348</v>
      </c>
      <c r="U12" s="134"/>
      <c r="V12" s="114"/>
      <c r="W12" s="116" t="s">
        <v>4517</v>
      </c>
      <c r="X12" s="134"/>
      <c r="Y12" s="114"/>
      <c r="Z12" s="115"/>
      <c r="AA12" s="134"/>
      <c r="AB12" s="114"/>
      <c r="AC12" s="115"/>
      <c r="AE12" s="120" t="s">
        <v>4662</v>
      </c>
      <c r="AF12" s="120" t="s">
        <v>33</v>
      </c>
      <c r="AH12" s="123" t="s">
        <v>4676</v>
      </c>
      <c r="AI12" s="123">
        <v>6</v>
      </c>
      <c r="AJ12" s="139"/>
      <c r="AK12" s="139" t="s">
        <v>6733</v>
      </c>
      <c r="AL12" s="139" t="s">
        <v>69</v>
      </c>
      <c r="AN12" s="139"/>
      <c r="AQ12" s="148" t="s">
        <v>6811</v>
      </c>
      <c r="AR12" s="148" t="s">
        <v>6793</v>
      </c>
      <c r="AT12" s="150" t="s">
        <v>6911</v>
      </c>
      <c r="AU12" s="148" t="s">
        <v>6830</v>
      </c>
      <c r="AW12" s="151" t="s">
        <v>6911</v>
      </c>
      <c r="AX12" s="152" t="s">
        <v>6830</v>
      </c>
      <c r="AZ12" s="153" t="s">
        <v>6996</v>
      </c>
      <c r="BA12" s="154" t="s">
        <v>7079</v>
      </c>
      <c r="BG12" s="154" t="s">
        <v>7221</v>
      </c>
      <c r="BH12" s="154" t="s">
        <v>7171</v>
      </c>
      <c r="BI12" s="154"/>
      <c r="BJ12" s="155" t="s">
        <v>7270</v>
      </c>
      <c r="BK12" s="155" t="s">
        <v>240</v>
      </c>
      <c r="BM12" s="155" t="s">
        <v>7285</v>
      </c>
      <c r="BN12" s="155" t="s">
        <v>207</v>
      </c>
      <c r="BO12" s="155" t="s">
        <v>8</v>
      </c>
      <c r="BP12" s="155" t="s">
        <v>7380</v>
      </c>
      <c r="BQ12" s="155" t="s">
        <v>7381</v>
      </c>
      <c r="BR12" s="155" t="s">
        <v>7340</v>
      </c>
      <c r="BS12" s="155" t="s">
        <v>7343</v>
      </c>
      <c r="BT12" s="155" t="s">
        <v>7348</v>
      </c>
      <c r="BU12" s="155" t="s">
        <v>7351</v>
      </c>
      <c r="BV12" s="155" t="s">
        <v>7354</v>
      </c>
      <c r="BW12" s="155" t="s">
        <v>7357</v>
      </c>
      <c r="BX12" s="155" t="s">
        <v>7359</v>
      </c>
      <c r="BY12" s="155" t="s">
        <v>7601</v>
      </c>
      <c r="CA12" s="161" t="s">
        <v>7656</v>
      </c>
      <c r="CB12" s="160" t="s">
        <v>7626</v>
      </c>
      <c r="CD12" s="162" t="s">
        <v>7739</v>
      </c>
      <c r="CE12" s="162" t="s">
        <v>7700</v>
      </c>
      <c r="CG12" s="164" t="s">
        <v>7790</v>
      </c>
      <c r="CH12" s="163" t="s">
        <v>7786</v>
      </c>
      <c r="CJ12" s="165"/>
      <c r="CK12" s="166"/>
      <c r="CO12" s="166"/>
      <c r="CP12" s="166"/>
    </row>
    <row r="13" spans="2:94" ht="15.75" thickBot="1" x14ac:dyDescent="0.3">
      <c r="B13" s="1" t="s">
        <v>4536</v>
      </c>
      <c r="C13" s="1" t="s">
        <v>13</v>
      </c>
      <c r="F13" s="139"/>
      <c r="H13" s="139"/>
      <c r="I13" s="109" t="s">
        <v>5137</v>
      </c>
      <c r="J13" s="109" t="s">
        <v>3300</v>
      </c>
      <c r="L13" s="139"/>
      <c r="O13" s="114" t="s">
        <v>4351</v>
      </c>
      <c r="P13" s="114" t="s">
        <v>4350</v>
      </c>
      <c r="R13" s="114"/>
      <c r="S13" s="114"/>
      <c r="U13" s="134"/>
      <c r="V13" s="114"/>
      <c r="W13" s="116" t="s">
        <v>4517</v>
      </c>
      <c r="AA13" s="134"/>
      <c r="AB13" s="114"/>
      <c r="AC13" s="115"/>
      <c r="AE13" s="120" t="s">
        <v>4663</v>
      </c>
      <c r="AF13" s="120" t="s">
        <v>31</v>
      </c>
      <c r="AH13" s="123" t="s">
        <v>4677</v>
      </c>
      <c r="AI13" s="123">
        <v>7</v>
      </c>
      <c r="AJ13" s="139"/>
      <c r="AK13" s="139" t="s">
        <v>6734</v>
      </c>
      <c r="AL13" s="139" t="s">
        <v>71</v>
      </c>
      <c r="AN13" s="139"/>
      <c r="AQ13" s="148" t="s">
        <v>6812</v>
      </c>
      <c r="AR13" s="148" t="s">
        <v>3235</v>
      </c>
      <c r="AT13" s="150" t="s">
        <v>6912</v>
      </c>
      <c r="AU13" s="148" t="s">
        <v>6831</v>
      </c>
      <c r="AW13" s="151" t="s">
        <v>6912</v>
      </c>
      <c r="AX13" s="152" t="s">
        <v>6831</v>
      </c>
      <c r="AZ13" s="153" t="s">
        <v>6997</v>
      </c>
      <c r="BA13" s="154" t="s">
        <v>7080</v>
      </c>
      <c r="BG13" s="154" t="s">
        <v>7222</v>
      </c>
      <c r="BH13" s="154" t="s">
        <v>7172</v>
      </c>
      <c r="BI13" s="154"/>
      <c r="BJ13" s="155" t="s">
        <v>7271</v>
      </c>
      <c r="BK13" s="155" t="s">
        <v>20</v>
      </c>
      <c r="BM13" s="155" t="s">
        <v>7286</v>
      </c>
      <c r="BN13" s="155" t="s">
        <v>228</v>
      </c>
      <c r="BO13" s="155" t="s">
        <v>8</v>
      </c>
      <c r="BP13" s="155" t="s">
        <v>7382</v>
      </c>
      <c r="BQ13" s="155" t="s">
        <v>7383</v>
      </c>
      <c r="BR13" s="155" t="s">
        <v>7340</v>
      </c>
      <c r="BS13" s="155" t="s">
        <v>7343</v>
      </c>
      <c r="BT13" s="155" t="s">
        <v>7348</v>
      </c>
      <c r="BU13" s="155" t="s">
        <v>7351</v>
      </c>
      <c r="BV13" s="155" t="s">
        <v>7354</v>
      </c>
      <c r="BW13" s="155" t="s">
        <v>7357</v>
      </c>
      <c r="BX13" s="155" t="s">
        <v>7359</v>
      </c>
      <c r="BY13" s="155" t="s">
        <v>7601</v>
      </c>
      <c r="CA13" s="161" t="s">
        <v>7657</v>
      </c>
      <c r="CB13" s="160" t="s">
        <v>7627</v>
      </c>
      <c r="CD13" s="162" t="s">
        <v>7740</v>
      </c>
      <c r="CE13" s="162" t="s">
        <v>7701</v>
      </c>
      <c r="CG13" s="164" t="s">
        <v>7789</v>
      </c>
      <c r="CH13" s="163" t="s">
        <v>7785</v>
      </c>
      <c r="CJ13" s="165"/>
      <c r="CK13" s="166"/>
      <c r="CO13" s="166"/>
      <c r="CP13" s="166"/>
    </row>
    <row r="14" spans="2:94" x14ac:dyDescent="0.25">
      <c r="B14" s="1" t="s">
        <v>4537</v>
      </c>
      <c r="C14" s="1" t="s">
        <v>14</v>
      </c>
      <c r="F14" s="144" t="s">
        <v>6162</v>
      </c>
      <c r="H14" s="139"/>
      <c r="I14" s="109" t="s">
        <v>5138</v>
      </c>
      <c r="J14" s="109" t="s">
        <v>3301</v>
      </c>
      <c r="L14" s="139"/>
      <c r="O14" s="114" t="s">
        <v>4353</v>
      </c>
      <c r="P14" s="114" t="s">
        <v>4352</v>
      </c>
      <c r="R14" s="114"/>
      <c r="S14" s="114"/>
      <c r="U14" s="114"/>
      <c r="V14" s="114"/>
      <c r="X14" s="134"/>
      <c r="Y14" s="114"/>
      <c r="Z14" s="115"/>
      <c r="AA14" s="134"/>
      <c r="AB14" s="114"/>
      <c r="AC14" s="115"/>
      <c r="AE14" s="120" t="s">
        <v>4664</v>
      </c>
      <c r="AF14" s="120" t="s">
        <v>49</v>
      </c>
      <c r="AH14" s="123" t="s">
        <v>4678</v>
      </c>
      <c r="AI14" s="123">
        <v>9</v>
      </c>
      <c r="AJ14" s="139"/>
      <c r="AK14" s="139" t="s">
        <v>6735</v>
      </c>
      <c r="AL14" s="139" t="s">
        <v>130</v>
      </c>
      <c r="AN14" s="139"/>
      <c r="AO14" s="139"/>
      <c r="AQ14" s="148" t="s">
        <v>6813</v>
      </c>
      <c r="AR14" s="148" t="s">
        <v>6794</v>
      </c>
      <c r="AT14" s="150" t="s">
        <v>6913</v>
      </c>
      <c r="AU14" s="148" t="s">
        <v>6832</v>
      </c>
      <c r="AW14" s="151" t="s">
        <v>6913</v>
      </c>
      <c r="AX14" s="152" t="s">
        <v>6832</v>
      </c>
      <c r="AZ14" s="153" t="s">
        <v>6998</v>
      </c>
      <c r="BA14" s="154" t="s">
        <v>7081</v>
      </c>
      <c r="BG14" s="154" t="s">
        <v>7223</v>
      </c>
      <c r="BH14" s="154" t="s">
        <v>7173</v>
      </c>
      <c r="BI14" s="154"/>
      <c r="BM14" s="155" t="s">
        <v>7287</v>
      </c>
      <c r="BN14" s="155" t="s">
        <v>238</v>
      </c>
      <c r="BO14" s="155" t="s">
        <v>8</v>
      </c>
      <c r="BP14" s="155" t="s">
        <v>7384</v>
      </c>
      <c r="BQ14" s="155" t="s">
        <v>7385</v>
      </c>
      <c r="BR14" s="155" t="s">
        <v>7340</v>
      </c>
      <c r="BS14" s="155" t="s">
        <v>7343</v>
      </c>
      <c r="BT14" s="155" t="s">
        <v>7348</v>
      </c>
      <c r="BU14" s="155" t="s">
        <v>7351</v>
      </c>
      <c r="BV14" s="155" t="s">
        <v>7354</v>
      </c>
      <c r="BW14" s="155" t="s">
        <v>7357</v>
      </c>
      <c r="BX14" s="155" t="s">
        <v>7359</v>
      </c>
      <c r="BY14" s="155" t="s">
        <v>7601</v>
      </c>
      <c r="CA14" s="161" t="s">
        <v>7658</v>
      </c>
      <c r="CB14" s="160" t="s">
        <v>7628</v>
      </c>
      <c r="CD14" s="162" t="s">
        <v>7741</v>
      </c>
      <c r="CE14" s="162" t="s">
        <v>163</v>
      </c>
      <c r="CG14" s="164" t="s">
        <v>7790</v>
      </c>
      <c r="CH14" s="163" t="s">
        <v>7786</v>
      </c>
      <c r="CJ14" s="165"/>
      <c r="CK14" s="166"/>
      <c r="CO14" s="166"/>
      <c r="CP14" s="166"/>
    </row>
    <row r="15" spans="2:94" ht="15.75" thickBot="1" x14ac:dyDescent="0.3">
      <c r="B15" s="1" t="s">
        <v>4543</v>
      </c>
      <c r="C15" s="1" t="s">
        <v>15</v>
      </c>
      <c r="F15" s="141" t="s">
        <v>6723</v>
      </c>
      <c r="H15" s="139"/>
      <c r="I15" s="109" t="s">
        <v>5139</v>
      </c>
      <c r="J15" s="109" t="s">
        <v>3302</v>
      </c>
      <c r="L15" s="139"/>
      <c r="O15" s="114" t="s">
        <v>4355</v>
      </c>
      <c r="P15" s="114" t="s">
        <v>4354</v>
      </c>
      <c r="R15" s="114"/>
      <c r="S15" s="114"/>
      <c r="U15" s="114"/>
      <c r="V15" s="114"/>
      <c r="X15" s="134"/>
      <c r="Y15" s="114"/>
      <c r="Z15" s="115"/>
      <c r="AA15" s="134"/>
      <c r="AB15" s="114"/>
      <c r="AC15" s="115"/>
      <c r="AE15" s="120" t="s">
        <v>4665</v>
      </c>
      <c r="AF15" s="120" t="s">
        <v>51</v>
      </c>
      <c r="AH15" s="123" t="s">
        <v>4679</v>
      </c>
      <c r="AI15" s="123">
        <v>10</v>
      </c>
      <c r="AJ15" s="139"/>
      <c r="AK15" s="139" t="s">
        <v>6736</v>
      </c>
      <c r="AL15" s="139" t="s">
        <v>132</v>
      </c>
      <c r="AN15" s="139"/>
      <c r="AO15" s="139"/>
      <c r="AQ15" s="148" t="s">
        <v>6814</v>
      </c>
      <c r="AR15" s="148" t="s">
        <v>6795</v>
      </c>
      <c r="AT15" s="150" t="s">
        <v>6914</v>
      </c>
      <c r="AU15" s="148" t="s">
        <v>6833</v>
      </c>
      <c r="AW15" s="151" t="s">
        <v>6914</v>
      </c>
      <c r="AX15" s="152" t="s">
        <v>6833</v>
      </c>
      <c r="AZ15" s="153" t="s">
        <v>6999</v>
      </c>
      <c r="BA15" s="154" t="s">
        <v>7082</v>
      </c>
      <c r="BG15" s="154" t="s">
        <v>7224</v>
      </c>
      <c r="BH15" s="154" t="s">
        <v>7174</v>
      </c>
      <c r="BI15" s="154"/>
      <c r="BM15" s="155" t="s">
        <v>7288</v>
      </c>
      <c r="BN15" s="155" t="s">
        <v>246</v>
      </c>
      <c r="BO15" s="155" t="s">
        <v>8</v>
      </c>
      <c r="BP15" s="155" t="s">
        <v>7386</v>
      </c>
      <c r="BQ15" s="155" t="s">
        <v>7387</v>
      </c>
      <c r="BR15" s="155" t="s">
        <v>7340</v>
      </c>
      <c r="BS15" s="155" t="s">
        <v>7343</v>
      </c>
      <c r="BT15" s="155" t="s">
        <v>7348</v>
      </c>
      <c r="BU15" s="155" t="s">
        <v>7351</v>
      </c>
      <c r="BV15" s="155" t="s">
        <v>7354</v>
      </c>
      <c r="BW15" s="155" t="s">
        <v>7357</v>
      </c>
      <c r="BX15" s="155" t="s">
        <v>7359</v>
      </c>
      <c r="BY15" s="155" t="s">
        <v>7601</v>
      </c>
      <c r="CA15" s="161" t="s">
        <v>7659</v>
      </c>
      <c r="CB15" s="160" t="s">
        <v>148</v>
      </c>
      <c r="CD15" s="162" t="s">
        <v>7742</v>
      </c>
      <c r="CE15" s="162" t="s">
        <v>178</v>
      </c>
      <c r="CG15" s="164" t="s">
        <v>7789</v>
      </c>
      <c r="CH15" s="163" t="s">
        <v>7785</v>
      </c>
      <c r="CJ15" s="165"/>
      <c r="CK15" s="166"/>
      <c r="CO15" s="166"/>
      <c r="CP15" s="166"/>
    </row>
    <row r="16" spans="2:94" x14ac:dyDescent="0.25">
      <c r="B16" s="1" t="s">
        <v>4538</v>
      </c>
      <c r="C16" s="1" t="s">
        <v>16</v>
      </c>
      <c r="H16" s="139"/>
      <c r="I16" s="109" t="s">
        <v>5140</v>
      </c>
      <c r="J16" s="109" t="s">
        <v>3303</v>
      </c>
      <c r="L16" s="139"/>
      <c r="O16" s="114" t="s">
        <v>4357</v>
      </c>
      <c r="P16" s="114" t="s">
        <v>4356</v>
      </c>
      <c r="R16" s="114"/>
      <c r="S16" s="114"/>
      <c r="U16" s="114"/>
      <c r="V16" s="114"/>
      <c r="X16" s="134"/>
      <c r="Y16" s="114"/>
      <c r="Z16" s="115"/>
      <c r="AA16" s="134"/>
      <c r="AB16" s="114"/>
      <c r="AC16" s="115"/>
      <c r="AE16" s="120" t="s">
        <v>4666</v>
      </c>
      <c r="AF16" s="120" t="s">
        <v>39</v>
      </c>
      <c r="AH16" s="123" t="s">
        <v>4680</v>
      </c>
      <c r="AI16" s="123">
        <v>11</v>
      </c>
      <c r="AJ16" s="139"/>
      <c r="AK16" s="139" t="s">
        <v>6737</v>
      </c>
      <c r="AL16" s="139" t="s">
        <v>73</v>
      </c>
      <c r="AN16" s="139"/>
      <c r="AO16" s="139"/>
      <c r="AQ16" s="148" t="s">
        <v>6815</v>
      </c>
      <c r="AR16" s="148" t="s">
        <v>3236</v>
      </c>
      <c r="AT16" s="150" t="s">
        <v>6915</v>
      </c>
      <c r="AU16" s="148" t="s">
        <v>6834</v>
      </c>
      <c r="AW16" s="151" t="s">
        <v>6915</v>
      </c>
      <c r="AX16" s="152" t="s">
        <v>6834</v>
      </c>
      <c r="AZ16" s="153" t="s">
        <v>7000</v>
      </c>
      <c r="BA16" s="154" t="s">
        <v>7083</v>
      </c>
      <c r="BG16" s="154" t="s">
        <v>7225</v>
      </c>
      <c r="BH16" s="154" t="s">
        <v>7175</v>
      </c>
      <c r="BI16" s="154"/>
      <c r="BM16" s="155" t="s">
        <v>7289</v>
      </c>
      <c r="BN16" s="155" t="s">
        <v>265</v>
      </c>
      <c r="BO16" s="155" t="s">
        <v>8</v>
      </c>
      <c r="BP16" s="155" t="s">
        <v>7388</v>
      </c>
      <c r="BQ16" s="155" t="s">
        <v>7389</v>
      </c>
      <c r="BR16" s="155" t="s">
        <v>7340</v>
      </c>
      <c r="BS16" s="155" t="s">
        <v>7343</v>
      </c>
      <c r="BT16" s="155" t="s">
        <v>7348</v>
      </c>
      <c r="BU16" s="155" t="s">
        <v>7351</v>
      </c>
      <c r="BV16" s="155" t="s">
        <v>7354</v>
      </c>
      <c r="BW16" s="155" t="s">
        <v>7357</v>
      </c>
      <c r="BX16" s="155" t="s">
        <v>7359</v>
      </c>
      <c r="BY16" s="155" t="s">
        <v>7601</v>
      </c>
      <c r="CA16" s="161" t="s">
        <v>7660</v>
      </c>
      <c r="CB16" s="160" t="s">
        <v>164</v>
      </c>
      <c r="CD16" s="162" t="s">
        <v>7743</v>
      </c>
      <c r="CE16" s="162" t="s">
        <v>192</v>
      </c>
      <c r="CG16" s="164" t="s">
        <v>7790</v>
      </c>
      <c r="CH16" s="163" t="s">
        <v>7786</v>
      </c>
      <c r="CJ16" s="165"/>
      <c r="CK16" s="166"/>
      <c r="CO16" s="166"/>
      <c r="CP16" s="166"/>
    </row>
    <row r="17" spans="2:94" x14ac:dyDescent="0.25">
      <c r="B17" s="1" t="s">
        <v>4539</v>
      </c>
      <c r="C17" s="1" t="s">
        <v>17</v>
      </c>
      <c r="H17" s="139"/>
      <c r="I17" s="109" t="s">
        <v>5141</v>
      </c>
      <c r="J17" s="109" t="s">
        <v>3304</v>
      </c>
      <c r="L17" s="139"/>
      <c r="O17" s="114" t="s">
        <v>4359</v>
      </c>
      <c r="P17" s="114" t="s">
        <v>4358</v>
      </c>
      <c r="R17" s="114"/>
      <c r="S17" s="114"/>
      <c r="U17" s="114"/>
      <c r="V17" s="114"/>
      <c r="X17" s="134"/>
      <c r="Y17" s="114"/>
      <c r="Z17" s="115"/>
      <c r="AA17" s="134"/>
      <c r="AB17" s="114"/>
      <c r="AC17" s="115"/>
      <c r="AE17" s="120" t="s">
        <v>4667</v>
      </c>
      <c r="AF17" s="120" t="s">
        <v>53</v>
      </c>
      <c r="AH17" s="123" t="s">
        <v>4681</v>
      </c>
      <c r="AI17" s="123">
        <v>12</v>
      </c>
      <c r="AJ17" s="139"/>
      <c r="AK17" s="139" t="s">
        <v>6738</v>
      </c>
      <c r="AL17" s="139" t="s">
        <v>122</v>
      </c>
      <c r="AN17" s="139"/>
      <c r="AO17" s="139"/>
      <c r="AQ17" s="148" t="s">
        <v>6816</v>
      </c>
      <c r="AR17" s="148" t="s">
        <v>147</v>
      </c>
      <c r="AT17" s="150" t="s">
        <v>6916</v>
      </c>
      <c r="AU17" s="148" t="s">
        <v>6835</v>
      </c>
      <c r="AW17" s="151" t="s">
        <v>6916</v>
      </c>
      <c r="AX17" s="152" t="s">
        <v>6835</v>
      </c>
      <c r="AZ17" s="153" t="s">
        <v>7001</v>
      </c>
      <c r="BA17" s="154" t="s">
        <v>7084</v>
      </c>
      <c r="BG17" s="154" t="s">
        <v>7226</v>
      </c>
      <c r="BH17" s="154" t="s">
        <v>7176</v>
      </c>
      <c r="BI17" s="154"/>
      <c r="BM17" s="155" t="s">
        <v>7290</v>
      </c>
      <c r="BN17" s="155" t="s">
        <v>270</v>
      </c>
      <c r="BO17" s="155" t="s">
        <v>8</v>
      </c>
      <c r="BP17" s="155" t="s">
        <v>7390</v>
      </c>
      <c r="BQ17" s="155" t="s">
        <v>7391</v>
      </c>
      <c r="BR17" s="155" t="s">
        <v>7340</v>
      </c>
      <c r="BS17" s="155" t="s">
        <v>7343</v>
      </c>
      <c r="BT17" s="155" t="s">
        <v>7348</v>
      </c>
      <c r="BU17" s="155" t="s">
        <v>7351</v>
      </c>
      <c r="BV17" s="155" t="s">
        <v>7354</v>
      </c>
      <c r="BW17" s="155" t="s">
        <v>7357</v>
      </c>
      <c r="BX17" s="155" t="s">
        <v>7359</v>
      </c>
      <c r="BY17" s="155" t="s">
        <v>7601</v>
      </c>
      <c r="CA17" s="161" t="s">
        <v>7661</v>
      </c>
      <c r="CB17" s="160" t="s">
        <v>193</v>
      </c>
      <c r="CD17" s="162" t="s">
        <v>7744</v>
      </c>
      <c r="CE17" s="162" t="s">
        <v>204</v>
      </c>
      <c r="CG17" s="164" t="s">
        <v>7789</v>
      </c>
      <c r="CH17" s="163" t="s">
        <v>7785</v>
      </c>
      <c r="CJ17" s="166" t="s">
        <v>162</v>
      </c>
      <c r="CO17" s="166"/>
      <c r="CP17" s="166"/>
    </row>
    <row r="18" spans="2:94" ht="15.75" thickBot="1" x14ac:dyDescent="0.3">
      <c r="B18" s="1" t="s">
        <v>4540</v>
      </c>
      <c r="C18" s="1" t="s">
        <v>18</v>
      </c>
      <c r="H18" s="139"/>
      <c r="I18" s="109" t="s">
        <v>5142</v>
      </c>
      <c r="J18" s="109" t="s">
        <v>3305</v>
      </c>
      <c r="L18" s="139"/>
      <c r="O18" s="114" t="s">
        <v>4361</v>
      </c>
      <c r="P18" s="114" t="s">
        <v>4360</v>
      </c>
      <c r="R18" s="114"/>
      <c r="S18" s="114"/>
      <c r="U18" s="114"/>
      <c r="V18" s="114"/>
      <c r="X18" s="134"/>
      <c r="Y18" s="114"/>
      <c r="Z18" s="115"/>
      <c r="AE18" s="120" t="s">
        <v>4668</v>
      </c>
      <c r="AF18" s="120" t="s">
        <v>37</v>
      </c>
      <c r="AH18" s="123" t="s">
        <v>4682</v>
      </c>
      <c r="AI18" s="123">
        <v>13</v>
      </c>
      <c r="AJ18" s="139"/>
      <c r="AK18" s="139" t="s">
        <v>6739</v>
      </c>
      <c r="AL18" s="139" t="s">
        <v>75</v>
      </c>
      <c r="AN18" s="139"/>
      <c r="AO18" s="139"/>
      <c r="AQ18" s="148" t="s">
        <v>6817</v>
      </c>
      <c r="AR18" s="148" t="s">
        <v>6796</v>
      </c>
      <c r="AT18" s="150" t="s">
        <v>6917</v>
      </c>
      <c r="AU18" s="148" t="s">
        <v>6836</v>
      </c>
      <c r="AW18" s="151" t="s">
        <v>6917</v>
      </c>
      <c r="AX18" s="152" t="s">
        <v>6836</v>
      </c>
      <c r="AZ18" s="153" t="s">
        <v>7002</v>
      </c>
      <c r="BA18" s="154" t="s">
        <v>7085</v>
      </c>
      <c r="BG18" s="154" t="s">
        <v>7227</v>
      </c>
      <c r="BH18" s="154" t="s">
        <v>7177</v>
      </c>
      <c r="BI18" s="154"/>
      <c r="BK18" s="167" t="s">
        <v>7808</v>
      </c>
      <c r="BM18" s="155" t="s">
        <v>7291</v>
      </c>
      <c r="BN18" s="155" t="s">
        <v>275</v>
      </c>
      <c r="BO18" s="155" t="s">
        <v>8</v>
      </c>
      <c r="BP18" s="155" t="s">
        <v>7392</v>
      </c>
      <c r="BQ18" s="155" t="s">
        <v>7393</v>
      </c>
      <c r="BR18" s="155" t="s">
        <v>7340</v>
      </c>
      <c r="BS18" s="155" t="s">
        <v>7343</v>
      </c>
      <c r="BT18" s="155" t="s">
        <v>7348</v>
      </c>
      <c r="BU18" s="155" t="s">
        <v>7351</v>
      </c>
      <c r="BV18" s="155" t="s">
        <v>7354</v>
      </c>
      <c r="BW18" s="155" t="s">
        <v>7357</v>
      </c>
      <c r="BX18" s="155" t="s">
        <v>7359</v>
      </c>
      <c r="BY18" s="155" t="s">
        <v>7601</v>
      </c>
      <c r="CA18" s="161" t="s">
        <v>7662</v>
      </c>
      <c r="CB18" s="160" t="s">
        <v>7629</v>
      </c>
      <c r="CD18" s="162" t="s">
        <v>7745</v>
      </c>
      <c r="CE18" s="162" t="s">
        <v>215</v>
      </c>
      <c r="CG18" s="164" t="s">
        <v>7789</v>
      </c>
      <c r="CH18" s="163" t="s">
        <v>7785</v>
      </c>
    </row>
    <row r="19" spans="2:94" x14ac:dyDescent="0.25">
      <c r="B19" s="1" t="s">
        <v>4541</v>
      </c>
      <c r="C19" s="1" t="s">
        <v>19</v>
      </c>
      <c r="H19" s="139"/>
      <c r="I19" s="109" t="s">
        <v>5143</v>
      </c>
      <c r="J19" s="109" t="s">
        <v>3306</v>
      </c>
      <c r="L19" s="139"/>
      <c r="O19" s="114" t="s">
        <v>4363</v>
      </c>
      <c r="P19" s="114" t="s">
        <v>4362</v>
      </c>
      <c r="R19" s="114"/>
      <c r="S19" s="114"/>
      <c r="U19" s="139"/>
      <c r="V19" s="114"/>
      <c r="X19" s="134"/>
      <c r="Y19" s="114"/>
      <c r="Z19" s="115"/>
      <c r="AH19" s="123" t="s">
        <v>4683</v>
      </c>
      <c r="AI19" s="123">
        <v>14</v>
      </c>
      <c r="AJ19" s="139"/>
      <c r="AK19" s="139" t="s">
        <v>6740</v>
      </c>
      <c r="AL19" s="139" t="s">
        <v>77</v>
      </c>
      <c r="AN19" s="139"/>
      <c r="AO19" s="139"/>
      <c r="AQ19" s="148" t="s">
        <v>6818</v>
      </c>
      <c r="AR19" s="148" t="s">
        <v>6797</v>
      </c>
      <c r="AT19" s="150" t="s">
        <v>6918</v>
      </c>
      <c r="AU19" s="148" t="s">
        <v>6837</v>
      </c>
      <c r="AW19" s="151" t="s">
        <v>6918</v>
      </c>
      <c r="AX19" s="152" t="s">
        <v>6837</v>
      </c>
      <c r="AZ19" s="153" t="s">
        <v>7003</v>
      </c>
      <c r="BA19" s="154" t="s">
        <v>7086</v>
      </c>
      <c r="BG19" s="154" t="s">
        <v>7228</v>
      </c>
      <c r="BH19" s="154" t="s">
        <v>7178</v>
      </c>
      <c r="BI19" s="154"/>
      <c r="BJ19" s="287" t="s">
        <v>7620</v>
      </c>
      <c r="BK19" s="288"/>
      <c r="BM19" s="155" t="s">
        <v>7292</v>
      </c>
      <c r="BN19" s="155" t="s">
        <v>151</v>
      </c>
      <c r="BO19" s="155" t="s">
        <v>10</v>
      </c>
      <c r="BP19" s="155" t="s">
        <v>7394</v>
      </c>
      <c r="BQ19" s="155" t="s">
        <v>7395</v>
      </c>
      <c r="BR19" s="155" t="s">
        <v>7340</v>
      </c>
      <c r="BS19" s="155" t="s">
        <v>7343</v>
      </c>
      <c r="BT19" s="155" t="s">
        <v>7348</v>
      </c>
      <c r="BU19" s="155" t="s">
        <v>7351</v>
      </c>
      <c r="BV19" s="155" t="s">
        <v>7354</v>
      </c>
      <c r="BW19" s="155" t="s">
        <v>7357</v>
      </c>
      <c r="BX19" s="155" t="s">
        <v>7359</v>
      </c>
      <c r="BY19" s="155" t="s">
        <v>7601</v>
      </c>
      <c r="CA19" s="161" t="s">
        <v>7663</v>
      </c>
      <c r="CB19" s="160" t="s">
        <v>7630</v>
      </c>
      <c r="CD19" s="162" t="s">
        <v>7746</v>
      </c>
      <c r="CE19" s="162" t="s">
        <v>225</v>
      </c>
      <c r="CG19" s="164" t="s">
        <v>7790</v>
      </c>
      <c r="CH19" s="163" t="s">
        <v>7786</v>
      </c>
    </row>
    <row r="20" spans="2:94" ht="15.75" thickBot="1" x14ac:dyDescent="0.3">
      <c r="B20" s="2" t="s">
        <v>4542</v>
      </c>
      <c r="C20" s="2" t="s">
        <v>20</v>
      </c>
      <c r="H20" s="139"/>
      <c r="I20" s="109" t="s">
        <v>5144</v>
      </c>
      <c r="J20" s="109" t="s">
        <v>3307</v>
      </c>
      <c r="L20" s="139"/>
      <c r="O20" s="114" t="s">
        <v>4365</v>
      </c>
      <c r="P20" s="114" t="s">
        <v>4364</v>
      </c>
      <c r="R20" s="114"/>
      <c r="S20" s="114"/>
      <c r="U20" s="139"/>
      <c r="V20" s="114"/>
      <c r="X20" s="134"/>
      <c r="Y20" s="114"/>
      <c r="Z20" s="115"/>
      <c r="AH20" s="123" t="s">
        <v>4684</v>
      </c>
      <c r="AI20" s="123">
        <v>15</v>
      </c>
      <c r="AJ20" s="139"/>
      <c r="AK20" s="139" t="s">
        <v>6741</v>
      </c>
      <c r="AL20" s="139" t="s">
        <v>126</v>
      </c>
      <c r="AN20" s="139"/>
      <c r="AO20" s="139"/>
      <c r="AQ20" s="148" t="s">
        <v>6819</v>
      </c>
      <c r="AR20" s="148" t="s">
        <v>6798</v>
      </c>
      <c r="AT20" s="150" t="s">
        <v>6919</v>
      </c>
      <c r="AU20" s="148" t="s">
        <v>6838</v>
      </c>
      <c r="AW20" s="151" t="s">
        <v>6919</v>
      </c>
      <c r="AX20" s="152" t="s">
        <v>6838</v>
      </c>
      <c r="AZ20" s="153" t="s">
        <v>7004</v>
      </c>
      <c r="BA20" s="154" t="s">
        <v>7087</v>
      </c>
      <c r="BG20" s="154" t="s">
        <v>7229</v>
      </c>
      <c r="BH20" s="154" t="s">
        <v>7179</v>
      </c>
      <c r="BI20" s="154"/>
      <c r="BJ20" t="s">
        <v>7800</v>
      </c>
      <c r="BK20" t="s">
        <v>7793</v>
      </c>
      <c r="BM20" s="155" t="s">
        <v>7293</v>
      </c>
      <c r="BN20" s="155" t="s">
        <v>167</v>
      </c>
      <c r="BO20" s="155" t="s">
        <v>10</v>
      </c>
      <c r="BP20" s="155" t="s">
        <v>7396</v>
      </c>
      <c r="BQ20" s="155" t="s">
        <v>7397</v>
      </c>
      <c r="BR20" s="155" t="s">
        <v>7340</v>
      </c>
      <c r="BS20" s="155" t="s">
        <v>7343</v>
      </c>
      <c r="BT20" s="155" t="s">
        <v>7348</v>
      </c>
      <c r="BU20" s="155" t="s">
        <v>7351</v>
      </c>
      <c r="BV20" s="155" t="s">
        <v>7354</v>
      </c>
      <c r="BW20" s="155" t="s">
        <v>7357</v>
      </c>
      <c r="BX20" s="155" t="s">
        <v>7359</v>
      </c>
      <c r="BY20" s="155" t="s">
        <v>7601</v>
      </c>
      <c r="CA20" s="161" t="s">
        <v>7664</v>
      </c>
      <c r="CB20" s="160" t="s">
        <v>7631</v>
      </c>
      <c r="CD20" s="162" t="s">
        <v>7747</v>
      </c>
      <c r="CE20" s="162" t="s">
        <v>7154</v>
      </c>
      <c r="CG20" s="164" t="s">
        <v>7791</v>
      </c>
      <c r="CH20" s="163" t="s">
        <v>7787</v>
      </c>
    </row>
    <row r="21" spans="2:94" x14ac:dyDescent="0.25">
      <c r="H21" s="139"/>
      <c r="I21" s="109" t="s">
        <v>5145</v>
      </c>
      <c r="J21" s="109" t="s">
        <v>3308</v>
      </c>
      <c r="L21" s="139"/>
      <c r="O21" s="114" t="s">
        <v>4367</v>
      </c>
      <c r="P21" s="114" t="s">
        <v>4366</v>
      </c>
      <c r="R21" s="114"/>
      <c r="S21" s="114"/>
      <c r="U21" s="139"/>
      <c r="V21" s="114"/>
      <c r="X21" s="134"/>
      <c r="Y21" s="114"/>
      <c r="Z21" s="115"/>
      <c r="AH21" s="123" t="s">
        <v>4685</v>
      </c>
      <c r="AI21" s="123">
        <v>16</v>
      </c>
      <c r="AJ21" s="139"/>
      <c r="AK21" s="139" t="s">
        <v>6742</v>
      </c>
      <c r="AL21" s="139" t="s">
        <v>81</v>
      </c>
      <c r="AN21" s="139"/>
      <c r="AO21" s="139"/>
      <c r="AQ21" s="148" t="s">
        <v>6820</v>
      </c>
      <c r="AR21" s="148" t="s">
        <v>6799</v>
      </c>
      <c r="AT21" s="150" t="s">
        <v>6920</v>
      </c>
      <c r="AU21" s="148" t="s">
        <v>6839</v>
      </c>
      <c r="AW21" s="151" t="s">
        <v>6920</v>
      </c>
      <c r="AX21" s="152" t="s">
        <v>6839</v>
      </c>
      <c r="AZ21" s="153" t="s">
        <v>7005</v>
      </c>
      <c r="BA21" s="154" t="s">
        <v>7088</v>
      </c>
      <c r="BG21" s="154" t="s">
        <v>7230</v>
      </c>
      <c r="BH21" s="154" t="s">
        <v>7180</v>
      </c>
      <c r="BI21" s="154"/>
      <c r="BJ21" t="s">
        <v>7801</v>
      </c>
      <c r="BK21" t="s">
        <v>7794</v>
      </c>
      <c r="BM21" s="155" t="s">
        <v>7294</v>
      </c>
      <c r="BN21" s="155" t="s">
        <v>182</v>
      </c>
      <c r="BO21" s="155" t="s">
        <v>10</v>
      </c>
      <c r="BP21" s="155" t="s">
        <v>7398</v>
      </c>
      <c r="BQ21" s="155" t="s">
        <v>7399</v>
      </c>
      <c r="BR21" s="155" t="s">
        <v>7340</v>
      </c>
      <c r="BS21" s="155" t="s">
        <v>7343</v>
      </c>
      <c r="BT21" s="155" t="s">
        <v>7348</v>
      </c>
      <c r="BU21" s="155" t="s">
        <v>7351</v>
      </c>
      <c r="BV21" s="155" t="s">
        <v>7354</v>
      </c>
      <c r="BW21" s="155" t="s">
        <v>7357</v>
      </c>
      <c r="BX21" s="155" t="s">
        <v>7359</v>
      </c>
      <c r="BY21" s="155" t="s">
        <v>7601</v>
      </c>
      <c r="CA21" s="161" t="s">
        <v>7665</v>
      </c>
      <c r="CB21" s="160" t="s">
        <v>7632</v>
      </c>
      <c r="CD21" s="162" t="s">
        <v>7748</v>
      </c>
      <c r="CE21" s="162" t="s">
        <v>171</v>
      </c>
      <c r="CG21" s="164" t="s">
        <v>7792</v>
      </c>
      <c r="CH21" s="163" t="s">
        <v>7788</v>
      </c>
    </row>
    <row r="22" spans="2:94" x14ac:dyDescent="0.25">
      <c r="H22" s="139"/>
      <c r="I22" s="109" t="s">
        <v>5146</v>
      </c>
      <c r="J22" s="109" t="s">
        <v>3309</v>
      </c>
      <c r="L22" s="139"/>
      <c r="O22" s="114" t="s">
        <v>4369</v>
      </c>
      <c r="P22" s="114" t="s">
        <v>4368</v>
      </c>
      <c r="R22" s="114"/>
      <c r="S22" s="114"/>
      <c r="U22" s="139"/>
      <c r="V22" s="114"/>
      <c r="X22" s="134"/>
      <c r="Y22" s="114"/>
      <c r="Z22" s="115"/>
      <c r="AH22" s="123" t="s">
        <v>4686</v>
      </c>
      <c r="AI22" s="123">
        <v>17</v>
      </c>
      <c r="AJ22" s="139"/>
      <c r="AK22" s="139" t="s">
        <v>6743</v>
      </c>
      <c r="AL22" s="139" t="s">
        <v>85</v>
      </c>
      <c r="AN22" s="139"/>
      <c r="AO22" s="139"/>
      <c r="AQ22" s="148" t="s">
        <v>6821</v>
      </c>
      <c r="AR22" s="148" t="s">
        <v>6800</v>
      </c>
      <c r="AT22" s="150" t="s">
        <v>6921</v>
      </c>
      <c r="AU22" s="148" t="s">
        <v>6840</v>
      </c>
      <c r="AW22" s="151" t="s">
        <v>6921</v>
      </c>
      <c r="AX22" s="152" t="s">
        <v>6840</v>
      </c>
      <c r="AZ22" s="153" t="s">
        <v>7006</v>
      </c>
      <c r="BA22" s="154" t="s">
        <v>7089</v>
      </c>
      <c r="BG22" s="154" t="s">
        <v>7231</v>
      </c>
      <c r="BH22" s="154" t="s">
        <v>7181</v>
      </c>
      <c r="BI22" s="154"/>
      <c r="BJ22" t="s">
        <v>7802</v>
      </c>
      <c r="BK22" t="s">
        <v>7795</v>
      </c>
      <c r="BM22" s="155" t="s">
        <v>7295</v>
      </c>
      <c r="BN22" s="155" t="s">
        <v>196</v>
      </c>
      <c r="BO22" s="155" t="s">
        <v>10</v>
      </c>
      <c r="BP22" s="155" t="s">
        <v>7400</v>
      </c>
      <c r="BQ22" s="155" t="s">
        <v>7401</v>
      </c>
      <c r="BR22" s="155" t="s">
        <v>7340</v>
      </c>
      <c r="BS22" s="155" t="s">
        <v>7343</v>
      </c>
      <c r="BT22" s="155" t="s">
        <v>7348</v>
      </c>
      <c r="BU22" s="155" t="s">
        <v>7351</v>
      </c>
      <c r="BV22" s="155" t="s">
        <v>7354</v>
      </c>
      <c r="BW22" s="155" t="s">
        <v>7357</v>
      </c>
      <c r="BX22" s="155" t="s">
        <v>7359</v>
      </c>
      <c r="BY22" s="155" t="s">
        <v>7601</v>
      </c>
      <c r="CA22" s="161" t="s">
        <v>7666</v>
      </c>
      <c r="CB22" s="160" t="s">
        <v>7633</v>
      </c>
      <c r="CD22" s="162" t="s">
        <v>7749</v>
      </c>
      <c r="CE22" s="162" t="s">
        <v>186</v>
      </c>
      <c r="CG22" s="164" t="s">
        <v>7791</v>
      </c>
      <c r="CH22" s="163" t="s">
        <v>7787</v>
      </c>
    </row>
    <row r="23" spans="2:94" ht="15.75" thickBot="1" x14ac:dyDescent="0.3">
      <c r="H23" s="139"/>
      <c r="I23" s="109" t="s">
        <v>5147</v>
      </c>
      <c r="J23" s="109" t="s">
        <v>3310</v>
      </c>
      <c r="L23" s="139"/>
      <c r="O23" s="114" t="s">
        <v>4370</v>
      </c>
      <c r="P23" s="114" t="s">
        <v>758</v>
      </c>
      <c r="R23" s="114"/>
      <c r="S23" s="114"/>
      <c r="U23" s="139"/>
      <c r="V23" s="114"/>
      <c r="X23" s="134"/>
      <c r="Y23" s="114"/>
      <c r="Z23" s="115"/>
      <c r="AE23" s="139"/>
      <c r="AH23" s="123" t="s">
        <v>4687</v>
      </c>
      <c r="AI23" s="123">
        <v>18</v>
      </c>
      <c r="AJ23" s="139"/>
      <c r="AK23" s="139" t="s">
        <v>6744</v>
      </c>
      <c r="AL23" s="139" t="s">
        <v>92</v>
      </c>
      <c r="AN23" s="139"/>
      <c r="AO23" s="139"/>
      <c r="AQ23" s="148" t="s">
        <v>6822</v>
      </c>
      <c r="AR23" s="148" t="s">
        <v>6801</v>
      </c>
      <c r="AT23" s="150" t="s">
        <v>6922</v>
      </c>
      <c r="AU23" s="148" t="s">
        <v>6841</v>
      </c>
      <c r="AW23" s="151" t="s">
        <v>6922</v>
      </c>
      <c r="AX23" s="152" t="s">
        <v>6841</v>
      </c>
      <c r="AZ23" s="153" t="s">
        <v>7007</v>
      </c>
      <c r="BA23" s="154" t="s">
        <v>7090</v>
      </c>
      <c r="BG23" s="154" t="s">
        <v>7232</v>
      </c>
      <c r="BH23" s="154" t="s">
        <v>7182</v>
      </c>
      <c r="BI23" s="154"/>
      <c r="BJ23" t="s">
        <v>7803</v>
      </c>
      <c r="BK23" t="s">
        <v>7796</v>
      </c>
      <c r="BM23" s="155" t="s">
        <v>7296</v>
      </c>
      <c r="BN23" s="155" t="s">
        <v>208</v>
      </c>
      <c r="BO23" s="155" t="s">
        <v>10</v>
      </c>
      <c r="BP23" s="155" t="s">
        <v>7402</v>
      </c>
      <c r="BQ23" s="155" t="s">
        <v>7403</v>
      </c>
      <c r="BR23" s="155" t="s">
        <v>7340</v>
      </c>
      <c r="BS23" s="155" t="s">
        <v>7343</v>
      </c>
      <c r="BT23" s="155" t="s">
        <v>7348</v>
      </c>
      <c r="BU23" s="155" t="s">
        <v>7351</v>
      </c>
      <c r="BV23" s="155" t="s">
        <v>7354</v>
      </c>
      <c r="BW23" s="155" t="s">
        <v>7357</v>
      </c>
      <c r="BX23" s="155" t="s">
        <v>7359</v>
      </c>
      <c r="BY23" s="155" t="s">
        <v>7601</v>
      </c>
      <c r="CA23" s="161" t="s">
        <v>7667</v>
      </c>
      <c r="CB23" s="160" t="s">
        <v>7634</v>
      </c>
      <c r="CD23" s="162" t="s">
        <v>7750</v>
      </c>
      <c r="CE23" s="162" t="s">
        <v>7702</v>
      </c>
      <c r="CG23" s="164" t="s">
        <v>7792</v>
      </c>
      <c r="CH23" s="163" t="s">
        <v>7788</v>
      </c>
    </row>
    <row r="24" spans="2:94" ht="16.5" thickBot="1" x14ac:dyDescent="0.3">
      <c r="B24" s="15" t="s">
        <v>21</v>
      </c>
      <c r="C24" s="16"/>
      <c r="H24" s="139"/>
      <c r="I24" s="109" t="s">
        <v>5148</v>
      </c>
      <c r="J24" s="109" t="s">
        <v>3311</v>
      </c>
      <c r="L24" s="139"/>
      <c r="O24" s="114" t="s">
        <v>4371</v>
      </c>
      <c r="P24" s="114" t="s">
        <v>1596</v>
      </c>
      <c r="R24" s="114"/>
      <c r="S24" s="114"/>
      <c r="U24" s="139"/>
      <c r="V24" s="114"/>
      <c r="X24" s="134"/>
      <c r="Y24" s="114"/>
      <c r="Z24" s="115"/>
      <c r="AE24" s="139"/>
      <c r="AH24" s="123" t="s">
        <v>4688</v>
      </c>
      <c r="AI24" s="123">
        <v>24</v>
      </c>
      <c r="AJ24" s="139"/>
      <c r="AK24" s="139" t="s">
        <v>6745</v>
      </c>
      <c r="AL24" s="139" t="s">
        <v>88</v>
      </c>
      <c r="AN24" s="139"/>
      <c r="AO24" s="139"/>
      <c r="AQ24" t="s">
        <v>6902</v>
      </c>
      <c r="AR24" t="s">
        <v>1</v>
      </c>
      <c r="AT24" s="150" t="s">
        <v>6923</v>
      </c>
      <c r="AU24" s="148" t="s">
        <v>6842</v>
      </c>
      <c r="AW24" s="151" t="s">
        <v>6923</v>
      </c>
      <c r="AX24" s="152" t="s">
        <v>6842</v>
      </c>
      <c r="AZ24" s="153" t="s">
        <v>7008</v>
      </c>
      <c r="BA24" s="154" t="s">
        <v>7091</v>
      </c>
      <c r="BG24" s="154" t="s">
        <v>7233</v>
      </c>
      <c r="BH24" s="154" t="s">
        <v>7183</v>
      </c>
      <c r="BI24" s="154"/>
      <c r="BJ24" t="s">
        <v>7804</v>
      </c>
      <c r="BK24" t="s">
        <v>7797</v>
      </c>
      <c r="BM24" s="155" t="s">
        <v>7297</v>
      </c>
      <c r="BN24" s="155" t="s">
        <v>219</v>
      </c>
      <c r="BO24" s="155" t="s">
        <v>10</v>
      </c>
      <c r="BP24" s="155" t="s">
        <v>7404</v>
      </c>
      <c r="BQ24" s="155" t="s">
        <v>7405</v>
      </c>
      <c r="BR24" s="155" t="s">
        <v>7340</v>
      </c>
      <c r="BS24" s="155" t="s">
        <v>7343</v>
      </c>
      <c r="BT24" s="155" t="s">
        <v>7348</v>
      </c>
      <c r="BU24" s="155" t="s">
        <v>7351</v>
      </c>
      <c r="BV24" s="155" t="s">
        <v>7354</v>
      </c>
      <c r="BW24" s="155" t="s">
        <v>7357</v>
      </c>
      <c r="BX24" s="155" t="s">
        <v>7359</v>
      </c>
      <c r="BY24" s="155" t="s">
        <v>7601</v>
      </c>
      <c r="CA24" s="161" t="s">
        <v>7668</v>
      </c>
      <c r="CB24" s="160" t="s">
        <v>7635</v>
      </c>
      <c r="CD24" s="162" t="s">
        <v>7751</v>
      </c>
      <c r="CE24" s="162" t="s">
        <v>7703</v>
      </c>
      <c r="CG24" s="164" t="s">
        <v>7791</v>
      </c>
      <c r="CH24" s="163" t="s">
        <v>7787</v>
      </c>
    </row>
    <row r="25" spans="2:94" ht="36" x14ac:dyDescent="0.25">
      <c r="B25" s="6" t="s">
        <v>22</v>
      </c>
      <c r="C25" s="3" t="s">
        <v>23</v>
      </c>
      <c r="H25" s="139"/>
      <c r="I25" s="109" t="s">
        <v>5149</v>
      </c>
      <c r="J25" s="109" t="s">
        <v>3312</v>
      </c>
      <c r="L25" s="139"/>
      <c r="O25" s="114" t="s">
        <v>4373</v>
      </c>
      <c r="P25" s="114" t="s">
        <v>4372</v>
      </c>
      <c r="R25" s="114"/>
      <c r="U25" s="139"/>
      <c r="V25" s="114"/>
      <c r="X25" s="134"/>
      <c r="Y25" s="114"/>
      <c r="Z25" s="115"/>
      <c r="AA25" s="139"/>
      <c r="AE25" s="139"/>
      <c r="AH25" s="123" t="s">
        <v>4689</v>
      </c>
      <c r="AI25" s="123">
        <v>20</v>
      </c>
      <c r="AJ25" s="139"/>
      <c r="AK25" s="139" t="s">
        <v>6746</v>
      </c>
      <c r="AL25" s="139" t="s">
        <v>90</v>
      </c>
      <c r="AN25" s="139"/>
      <c r="AO25" s="139"/>
      <c r="AQ25" t="s">
        <v>6903</v>
      </c>
      <c r="AR25" t="s">
        <v>6823</v>
      </c>
      <c r="AT25" s="150" t="s">
        <v>6924</v>
      </c>
      <c r="AU25" s="148" t="s">
        <v>6843</v>
      </c>
      <c r="AW25" s="151" t="s">
        <v>6924</v>
      </c>
      <c r="AX25" s="152" t="s">
        <v>6843</v>
      </c>
      <c r="AZ25" s="153" t="s">
        <v>7009</v>
      </c>
      <c r="BA25" s="154" t="s">
        <v>7092</v>
      </c>
      <c r="BG25" s="154" t="s">
        <v>7234</v>
      </c>
      <c r="BH25" s="154" t="s">
        <v>7184</v>
      </c>
      <c r="BI25" s="154"/>
      <c r="BJ25" t="s">
        <v>7805</v>
      </c>
      <c r="BK25" t="s">
        <v>7798</v>
      </c>
      <c r="BM25" s="155" t="s">
        <v>7298</v>
      </c>
      <c r="BN25" s="155" t="s">
        <v>229</v>
      </c>
      <c r="BO25" s="155" t="s">
        <v>10</v>
      </c>
      <c r="BP25" s="155" t="s">
        <v>7406</v>
      </c>
      <c r="BQ25" s="155" t="s">
        <v>7407</v>
      </c>
      <c r="BR25" s="155" t="s">
        <v>7340</v>
      </c>
      <c r="BS25" s="155" t="s">
        <v>7343</v>
      </c>
      <c r="BT25" s="155" t="s">
        <v>7348</v>
      </c>
      <c r="BU25" s="155" t="s">
        <v>7351</v>
      </c>
      <c r="BV25" s="155" t="s">
        <v>7354</v>
      </c>
      <c r="BW25" s="155" t="s">
        <v>7357</v>
      </c>
      <c r="BX25" s="155" t="s">
        <v>7359</v>
      </c>
      <c r="BY25" s="155" t="s">
        <v>7601</v>
      </c>
      <c r="CA25" s="161" t="s">
        <v>7669</v>
      </c>
      <c r="CB25" s="160" t="s">
        <v>7636</v>
      </c>
      <c r="CD25" s="162" t="s">
        <v>7752</v>
      </c>
      <c r="CE25" s="162" t="s">
        <v>7704</v>
      </c>
      <c r="CG25" s="164" t="s">
        <v>7792</v>
      </c>
      <c r="CH25" s="163" t="s">
        <v>7788</v>
      </c>
    </row>
    <row r="26" spans="2:94" x14ac:dyDescent="0.25">
      <c r="B26" s="7" t="s">
        <v>24</v>
      </c>
      <c r="C26" s="4" t="s">
        <v>25</v>
      </c>
      <c r="H26" s="139"/>
      <c r="I26" s="109" t="s">
        <v>5150</v>
      </c>
      <c r="J26" s="109" t="s">
        <v>3313</v>
      </c>
      <c r="L26" s="139"/>
      <c r="O26" s="114" t="s">
        <v>4375</v>
      </c>
      <c r="P26" s="114" t="s">
        <v>4374</v>
      </c>
      <c r="R26" s="114"/>
      <c r="U26" s="139"/>
      <c r="V26" s="114"/>
      <c r="AA26" s="139"/>
      <c r="AE26" s="139"/>
      <c r="AH26" s="123" t="s">
        <v>4690</v>
      </c>
      <c r="AI26" s="123">
        <v>21</v>
      </c>
      <c r="AJ26" s="139"/>
      <c r="AK26" s="139" t="s">
        <v>6747</v>
      </c>
      <c r="AL26" s="139" t="s">
        <v>94</v>
      </c>
      <c r="AN26" s="139"/>
      <c r="AO26" s="139"/>
      <c r="AQ26" t="s">
        <v>6904</v>
      </c>
      <c r="AR26" t="s">
        <v>6824</v>
      </c>
      <c r="AT26" s="150" t="s">
        <v>6925</v>
      </c>
      <c r="AU26" s="148" t="s">
        <v>6844</v>
      </c>
      <c r="AW26" s="151" t="s">
        <v>6925</v>
      </c>
      <c r="AX26" s="152" t="s">
        <v>6844</v>
      </c>
      <c r="AZ26" s="153" t="s">
        <v>7010</v>
      </c>
      <c r="BA26" s="154" t="s">
        <v>7093</v>
      </c>
      <c r="BG26" s="154" t="s">
        <v>7235</v>
      </c>
      <c r="BH26" s="154" t="s">
        <v>7185</v>
      </c>
      <c r="BI26" s="154"/>
      <c r="BJ26" t="s">
        <v>7806</v>
      </c>
      <c r="BK26" t="s">
        <v>7799</v>
      </c>
      <c r="BM26" s="155" t="s">
        <v>7277</v>
      </c>
      <c r="BN26" s="155" t="s">
        <v>1500</v>
      </c>
      <c r="BO26" s="155" t="s">
        <v>11</v>
      </c>
      <c r="BP26" s="155" t="s">
        <v>7408</v>
      </c>
      <c r="BQ26" s="155" t="s">
        <v>7409</v>
      </c>
      <c r="BR26" s="155" t="s">
        <v>7340</v>
      </c>
      <c r="BS26" s="155" t="s">
        <v>7343</v>
      </c>
      <c r="BT26" s="155" t="s">
        <v>7348</v>
      </c>
      <c r="BU26" s="155" t="s">
        <v>7351</v>
      </c>
      <c r="BV26" s="155" t="s">
        <v>7354</v>
      </c>
      <c r="BW26" s="155" t="s">
        <v>7357</v>
      </c>
      <c r="BX26" s="155" t="s">
        <v>7359</v>
      </c>
      <c r="BY26" s="155" t="s">
        <v>7601</v>
      </c>
      <c r="CA26" s="161" t="s">
        <v>7670</v>
      </c>
      <c r="CB26" s="160" t="s">
        <v>7203</v>
      </c>
      <c r="CD26" s="162" t="s">
        <v>7753</v>
      </c>
      <c r="CE26" s="162" t="s">
        <v>7705</v>
      </c>
      <c r="CG26" s="164" t="s">
        <v>7791</v>
      </c>
      <c r="CH26" s="163" t="s">
        <v>7787</v>
      </c>
    </row>
    <row r="27" spans="2:94" ht="24" x14ac:dyDescent="0.25">
      <c r="B27" s="7" t="s">
        <v>26</v>
      </c>
      <c r="C27" s="4" t="s">
        <v>27</v>
      </c>
      <c r="H27" s="139"/>
      <c r="I27" s="109" t="s">
        <v>5151</v>
      </c>
      <c r="J27" s="109" t="s">
        <v>3314</v>
      </c>
      <c r="L27" s="139"/>
      <c r="O27" s="114" t="s">
        <v>4377</v>
      </c>
      <c r="P27" s="114" t="s">
        <v>4376</v>
      </c>
      <c r="R27" s="114"/>
      <c r="U27" s="139"/>
      <c r="V27" s="114"/>
      <c r="AA27" s="139"/>
      <c r="AE27" s="139"/>
      <c r="AH27" s="123" t="s">
        <v>4691</v>
      </c>
      <c r="AI27" s="123">
        <v>28</v>
      </c>
      <c r="AJ27" s="139"/>
      <c r="AK27" s="139" t="s">
        <v>6748</v>
      </c>
      <c r="AL27" s="139" t="s">
        <v>98</v>
      </c>
      <c r="AN27" s="139"/>
      <c r="AO27" s="139"/>
      <c r="AQ27" t="s">
        <v>6905</v>
      </c>
      <c r="AR27" t="s">
        <v>315</v>
      </c>
      <c r="AT27" s="150" t="s">
        <v>6926</v>
      </c>
      <c r="AU27" s="148" t="s">
        <v>6845</v>
      </c>
      <c r="AW27" s="151" t="s">
        <v>6926</v>
      </c>
      <c r="AX27" s="152" t="s">
        <v>6845</v>
      </c>
      <c r="AZ27" s="153" t="s">
        <v>7011</v>
      </c>
      <c r="BA27" s="154" t="s">
        <v>7094</v>
      </c>
      <c r="BG27" s="154" t="s">
        <v>7236</v>
      </c>
      <c r="BH27" s="154" t="s">
        <v>7186</v>
      </c>
      <c r="BI27" s="154"/>
      <c r="BJ27" t="s">
        <v>7800</v>
      </c>
      <c r="BK27" t="s">
        <v>7793</v>
      </c>
      <c r="BM27" s="155" t="s">
        <v>7299</v>
      </c>
      <c r="BN27" s="155" t="s">
        <v>7300</v>
      </c>
      <c r="BO27" s="155" t="s">
        <v>11</v>
      </c>
      <c r="BP27" s="155" t="s">
        <v>7410</v>
      </c>
      <c r="BQ27" s="155" t="s">
        <v>7411</v>
      </c>
      <c r="BR27" s="155" t="s">
        <v>7340</v>
      </c>
      <c r="BS27" s="155" t="s">
        <v>7343</v>
      </c>
      <c r="BT27" s="155" t="s">
        <v>7348</v>
      </c>
      <c r="BU27" s="155" t="s">
        <v>7351</v>
      </c>
      <c r="BV27" s="155" t="s">
        <v>7354</v>
      </c>
      <c r="BW27" s="155" t="s">
        <v>7357</v>
      </c>
      <c r="BX27" s="155" t="s">
        <v>7359</v>
      </c>
      <c r="BY27" s="155" t="s">
        <v>7601</v>
      </c>
      <c r="CA27" s="161" t="s">
        <v>7671</v>
      </c>
      <c r="CB27" s="160" t="s">
        <v>7637</v>
      </c>
      <c r="CD27" s="162" t="s">
        <v>7739</v>
      </c>
      <c r="CE27" s="162" t="s">
        <v>7700</v>
      </c>
      <c r="CG27" s="164" t="s">
        <v>7792</v>
      </c>
      <c r="CH27" s="163" t="s">
        <v>7788</v>
      </c>
    </row>
    <row r="28" spans="2:94" ht="36" x14ac:dyDescent="0.25">
      <c r="B28" s="7" t="s">
        <v>28</v>
      </c>
      <c r="C28" s="4" t="s">
        <v>29</v>
      </c>
      <c r="H28" s="139"/>
      <c r="I28" s="109" t="s">
        <v>5152</v>
      </c>
      <c r="J28" s="109" t="s">
        <v>3315</v>
      </c>
      <c r="L28" s="139"/>
      <c r="O28" s="114" t="s">
        <v>4378</v>
      </c>
      <c r="P28" s="114" t="s">
        <v>43</v>
      </c>
      <c r="R28" s="114"/>
      <c r="U28" s="139"/>
      <c r="V28" s="114"/>
      <c r="AA28" s="139"/>
      <c r="AE28" s="139"/>
      <c r="AH28" s="123" t="s">
        <v>4692</v>
      </c>
      <c r="AI28" s="123">
        <v>30</v>
      </c>
      <c r="AJ28" s="139"/>
      <c r="AK28" s="139" t="s">
        <v>6749</v>
      </c>
      <c r="AL28" s="139" t="s">
        <v>102</v>
      </c>
      <c r="AN28" s="139"/>
      <c r="AO28" s="139"/>
      <c r="AQ28" t="s">
        <v>6906</v>
      </c>
      <c r="AR28" t="s">
        <v>6825</v>
      </c>
      <c r="AT28" s="150" t="s">
        <v>6927</v>
      </c>
      <c r="AU28" s="148" t="s">
        <v>6846</v>
      </c>
      <c r="AW28" s="151" t="s">
        <v>6927</v>
      </c>
      <c r="AX28" s="152" t="s">
        <v>6846</v>
      </c>
      <c r="AZ28" s="153" t="s">
        <v>7012</v>
      </c>
      <c r="BA28" s="154" t="s">
        <v>7095</v>
      </c>
      <c r="BG28" s="154" t="s">
        <v>7237</v>
      </c>
      <c r="BH28" s="154" t="s">
        <v>7187</v>
      </c>
      <c r="BI28" s="154"/>
      <c r="BJ28" t="s">
        <v>7801</v>
      </c>
      <c r="BK28" t="s">
        <v>7794</v>
      </c>
      <c r="BM28" s="155" t="s">
        <v>7278</v>
      </c>
      <c r="BN28" s="155" t="s">
        <v>7279</v>
      </c>
      <c r="BO28" s="155" t="s">
        <v>11</v>
      </c>
      <c r="BP28" s="155" t="s">
        <v>7412</v>
      </c>
      <c r="BQ28" s="155" t="s">
        <v>7413</v>
      </c>
      <c r="BR28" s="155" t="s">
        <v>7340</v>
      </c>
      <c r="BS28" s="155" t="s">
        <v>7343</v>
      </c>
      <c r="BT28" s="155" t="s">
        <v>7348</v>
      </c>
      <c r="BU28" s="155" t="s">
        <v>7351</v>
      </c>
      <c r="BV28" s="155" t="s">
        <v>7354</v>
      </c>
      <c r="BW28" s="155" t="s">
        <v>7357</v>
      </c>
      <c r="BX28" s="155" t="s">
        <v>7359</v>
      </c>
      <c r="BY28" s="155" t="s">
        <v>7601</v>
      </c>
      <c r="CA28" s="161" t="s">
        <v>7672</v>
      </c>
      <c r="CB28" s="160" t="s">
        <v>7638</v>
      </c>
      <c r="CD28" s="162" t="s">
        <v>7754</v>
      </c>
      <c r="CE28" s="162" t="s">
        <v>7706</v>
      </c>
      <c r="CG28" s="164" t="s">
        <v>7791</v>
      </c>
      <c r="CH28" s="163" t="s">
        <v>7787</v>
      </c>
    </row>
    <row r="29" spans="2:94" ht="36" x14ac:dyDescent="0.25">
      <c r="B29" s="7" t="s">
        <v>30</v>
      </c>
      <c r="C29" s="4" t="s">
        <v>31</v>
      </c>
      <c r="H29" s="139"/>
      <c r="I29" s="109" t="s">
        <v>5153</v>
      </c>
      <c r="J29" s="109" t="s">
        <v>3316</v>
      </c>
      <c r="O29" s="114" t="s">
        <v>4380</v>
      </c>
      <c r="P29" s="114" t="s">
        <v>4379</v>
      </c>
      <c r="R29" s="114"/>
      <c r="U29" s="139"/>
      <c r="V29" s="114"/>
      <c r="X29" s="139"/>
      <c r="AA29" s="139"/>
      <c r="AE29" s="139"/>
      <c r="AH29" s="123" t="s">
        <v>4693</v>
      </c>
      <c r="AI29" s="123">
        <v>35</v>
      </c>
      <c r="AJ29" s="139"/>
      <c r="AK29" s="139" t="s">
        <v>6750</v>
      </c>
      <c r="AL29" s="139" t="s">
        <v>104</v>
      </c>
      <c r="AN29" s="139"/>
      <c r="AO29" s="139"/>
      <c r="AQ29" t="s">
        <v>6907</v>
      </c>
      <c r="AR29" t="s">
        <v>6826</v>
      </c>
      <c r="AT29" s="150" t="s">
        <v>6928</v>
      </c>
      <c r="AU29" s="148" t="s">
        <v>6847</v>
      </c>
      <c r="AW29" s="151" t="s">
        <v>6928</v>
      </c>
      <c r="AX29" s="152" t="s">
        <v>6847</v>
      </c>
      <c r="AZ29" s="153" t="s">
        <v>7013</v>
      </c>
      <c r="BA29" s="154" t="s">
        <v>7096</v>
      </c>
      <c r="BG29" s="154" t="s">
        <v>7238</v>
      </c>
      <c r="BH29" s="154" t="s">
        <v>7188</v>
      </c>
      <c r="BI29" s="154"/>
      <c r="BJ29" t="s">
        <v>7802</v>
      </c>
      <c r="BK29" t="s">
        <v>7795</v>
      </c>
      <c r="BM29" s="155" t="s">
        <v>7280</v>
      </c>
      <c r="BN29" s="155" t="s">
        <v>255</v>
      </c>
      <c r="BO29" s="155" t="s">
        <v>11</v>
      </c>
      <c r="BP29" s="155" t="s">
        <v>7414</v>
      </c>
      <c r="BQ29" s="155" t="s">
        <v>7415</v>
      </c>
      <c r="BR29" s="155" t="s">
        <v>1500</v>
      </c>
      <c r="BS29" s="155"/>
      <c r="CA29" s="161" t="s">
        <v>7673</v>
      </c>
      <c r="CB29" s="160" t="s">
        <v>7639</v>
      </c>
      <c r="CD29" s="162" t="s">
        <v>7755</v>
      </c>
      <c r="CE29" s="162" t="s">
        <v>7707</v>
      </c>
      <c r="CG29" s="164" t="s">
        <v>7792</v>
      </c>
      <c r="CH29" s="163" t="s">
        <v>7788</v>
      </c>
    </row>
    <row r="30" spans="2:94" x14ac:dyDescent="0.25">
      <c r="B30" s="7" t="s">
        <v>32</v>
      </c>
      <c r="C30" s="4" t="s">
        <v>33</v>
      </c>
      <c r="H30" s="139"/>
      <c r="I30" s="109" t="s">
        <v>5154</v>
      </c>
      <c r="J30" s="109" t="s">
        <v>3317</v>
      </c>
      <c r="O30" s="114" t="s">
        <v>4381</v>
      </c>
      <c r="P30" s="114" t="s">
        <v>4381</v>
      </c>
      <c r="R30" s="114"/>
      <c r="U30" s="139"/>
      <c r="V30" s="114"/>
      <c r="X30" s="139"/>
      <c r="AA30" s="139"/>
      <c r="AE30" s="139"/>
      <c r="AH30" s="123" t="s">
        <v>4694</v>
      </c>
      <c r="AI30" s="123">
        <v>49</v>
      </c>
      <c r="AJ30" s="139"/>
      <c r="AK30" s="139" t="s">
        <v>6751</v>
      </c>
      <c r="AL30" s="139" t="s">
        <v>106</v>
      </c>
      <c r="AN30" s="139"/>
      <c r="AO30" s="139"/>
      <c r="AQ30" t="s">
        <v>6908</v>
      </c>
      <c r="AR30" t="s">
        <v>6827</v>
      </c>
      <c r="AT30" s="150" t="s">
        <v>6929</v>
      </c>
      <c r="AU30" s="148" t="s">
        <v>6848</v>
      </c>
      <c r="AW30" s="151" t="s">
        <v>6929</v>
      </c>
      <c r="AX30" s="152" t="s">
        <v>6848</v>
      </c>
      <c r="AZ30" s="153" t="s">
        <v>7014</v>
      </c>
      <c r="BA30" s="154" t="s">
        <v>7097</v>
      </c>
      <c r="BG30" s="154" t="s">
        <v>7239</v>
      </c>
      <c r="BH30" s="154" t="s">
        <v>7189</v>
      </c>
      <c r="BI30" s="154"/>
      <c r="BJ30" t="s">
        <v>7803</v>
      </c>
      <c r="BK30" t="s">
        <v>7796</v>
      </c>
      <c r="BM30" s="155" t="s">
        <v>7281</v>
      </c>
      <c r="BN30" s="155" t="s">
        <v>7282</v>
      </c>
      <c r="BO30" s="155" t="s">
        <v>11</v>
      </c>
      <c r="BP30" s="155" t="s">
        <v>7416</v>
      </c>
      <c r="BQ30" s="155" t="s">
        <v>7417</v>
      </c>
      <c r="BR30" s="155" t="s">
        <v>1500</v>
      </c>
      <c r="CA30" s="161" t="s">
        <v>7674</v>
      </c>
      <c r="CB30" s="160" t="s">
        <v>7640</v>
      </c>
      <c r="CD30" s="162" t="s">
        <v>7756</v>
      </c>
      <c r="CE30" s="162" t="s">
        <v>7708</v>
      </c>
      <c r="CG30" s="164" t="s">
        <v>7791</v>
      </c>
      <c r="CH30" s="163" t="s">
        <v>7787</v>
      </c>
    </row>
    <row r="31" spans="2:94" ht="24" x14ac:dyDescent="0.25">
      <c r="B31" s="7" t="s">
        <v>34</v>
      </c>
      <c r="C31" s="4" t="s">
        <v>35</v>
      </c>
      <c r="H31" s="139"/>
      <c r="I31" s="109" t="s">
        <v>5155</v>
      </c>
      <c r="J31" s="109" t="s">
        <v>3318</v>
      </c>
      <c r="O31" s="114" t="s">
        <v>4383</v>
      </c>
      <c r="P31" s="114" t="s">
        <v>4382</v>
      </c>
      <c r="R31" s="114"/>
      <c r="U31" s="139"/>
      <c r="V31" s="114"/>
      <c r="X31" s="139"/>
      <c r="AA31" s="139"/>
      <c r="AE31" s="139"/>
      <c r="AH31" s="123" t="s">
        <v>4695</v>
      </c>
      <c r="AI31" s="123">
        <v>52</v>
      </c>
      <c r="AJ31" s="139"/>
      <c r="AK31" s="139" t="s">
        <v>6752</v>
      </c>
      <c r="AL31" s="139" t="s">
        <v>108</v>
      </c>
      <c r="AN31" s="139"/>
      <c r="AO31" s="139"/>
      <c r="AQ31" t="s">
        <v>6909</v>
      </c>
      <c r="AR31" t="s">
        <v>6828</v>
      </c>
      <c r="AT31" s="150" t="s">
        <v>6930</v>
      </c>
      <c r="AU31" s="148" t="s">
        <v>6849</v>
      </c>
      <c r="AW31" s="151" t="s">
        <v>6930</v>
      </c>
      <c r="AX31" s="152" t="s">
        <v>6849</v>
      </c>
      <c r="AZ31" s="153" t="s">
        <v>7015</v>
      </c>
      <c r="BA31" s="154" t="s">
        <v>7098</v>
      </c>
      <c r="BG31" s="154" t="s">
        <v>7240</v>
      </c>
      <c r="BH31" s="154" t="s">
        <v>7190</v>
      </c>
      <c r="BI31" s="154"/>
      <c r="BJ31" t="s">
        <v>7804</v>
      </c>
      <c r="BK31" t="s">
        <v>7797</v>
      </c>
      <c r="BM31" s="155" t="s">
        <v>7301</v>
      </c>
      <c r="BN31" s="155" t="s">
        <v>7302</v>
      </c>
      <c r="BO31" s="155" t="s">
        <v>11</v>
      </c>
      <c r="BP31" s="155" t="s">
        <v>7418</v>
      </c>
      <c r="BQ31" s="155" t="s">
        <v>7419</v>
      </c>
      <c r="BR31" s="155" t="s">
        <v>1500</v>
      </c>
      <c r="CA31" s="161" t="s">
        <v>7675</v>
      </c>
      <c r="CB31" s="160" t="s">
        <v>7641</v>
      </c>
      <c r="CD31" s="162" t="s">
        <v>7757</v>
      </c>
      <c r="CE31" s="162" t="s">
        <v>7709</v>
      </c>
      <c r="CG31" s="164" t="s">
        <v>7792</v>
      </c>
      <c r="CH31" s="163" t="s">
        <v>7788</v>
      </c>
    </row>
    <row r="32" spans="2:94" x14ac:dyDescent="0.25">
      <c r="B32" s="7" t="s">
        <v>36</v>
      </c>
      <c r="C32" s="4" t="s">
        <v>37</v>
      </c>
      <c r="H32" s="139"/>
      <c r="I32" s="109" t="s">
        <v>5156</v>
      </c>
      <c r="J32" s="109" t="s">
        <v>3319</v>
      </c>
      <c r="O32" s="114" t="s">
        <v>4385</v>
      </c>
      <c r="P32" s="114" t="s">
        <v>4384</v>
      </c>
      <c r="R32" s="114"/>
      <c r="U32" s="139"/>
      <c r="V32" s="114"/>
      <c r="X32" s="139"/>
      <c r="AA32" s="139"/>
      <c r="AE32" s="139"/>
      <c r="AH32" s="123" t="s">
        <v>4696</v>
      </c>
      <c r="AI32" s="123">
        <v>84</v>
      </c>
      <c r="AJ32" s="139"/>
      <c r="AK32" s="139" t="s">
        <v>6753</v>
      </c>
      <c r="AL32" s="139" t="s">
        <v>110</v>
      </c>
      <c r="AN32" s="139"/>
      <c r="AO32" s="139"/>
      <c r="AQ32" t="s">
        <v>6910</v>
      </c>
      <c r="AR32" t="s">
        <v>6829</v>
      </c>
      <c r="AT32" s="150" t="s">
        <v>6931</v>
      </c>
      <c r="AU32" s="148" t="s">
        <v>6850</v>
      </c>
      <c r="AW32" s="151" t="s">
        <v>6931</v>
      </c>
      <c r="AX32" s="152" t="s">
        <v>6850</v>
      </c>
      <c r="AZ32" s="153" t="s">
        <v>7016</v>
      </c>
      <c r="BA32" s="154" t="s">
        <v>7099</v>
      </c>
      <c r="BG32" s="154" t="s">
        <v>7241</v>
      </c>
      <c r="BH32" s="154" t="s">
        <v>7191</v>
      </c>
      <c r="BI32" s="154"/>
      <c r="BJ32" t="s">
        <v>7805</v>
      </c>
      <c r="BK32" t="s">
        <v>7798</v>
      </c>
      <c r="BM32" s="155" t="s">
        <v>7303</v>
      </c>
      <c r="BN32" s="155" t="s">
        <v>7304</v>
      </c>
      <c r="BO32" s="155" t="s">
        <v>11</v>
      </c>
      <c r="BP32" s="155" t="s">
        <v>7420</v>
      </c>
      <c r="BQ32" s="155" t="s">
        <v>7421</v>
      </c>
      <c r="BR32" s="155" t="s">
        <v>1500</v>
      </c>
      <c r="CA32" s="161" t="s">
        <v>7676</v>
      </c>
      <c r="CB32" s="160" t="s">
        <v>7642</v>
      </c>
      <c r="CD32" s="162" t="s">
        <v>7758</v>
      </c>
      <c r="CE32" s="162" t="s">
        <v>7710</v>
      </c>
      <c r="CG32" s="164" t="s">
        <v>7791</v>
      </c>
      <c r="CH32" s="163" t="s">
        <v>7787</v>
      </c>
    </row>
    <row r="33" spans="2:86" ht="36" x14ac:dyDescent="0.25">
      <c r="B33" s="7" t="s">
        <v>38</v>
      </c>
      <c r="C33" s="4" t="s">
        <v>39</v>
      </c>
      <c r="H33" s="139"/>
      <c r="I33" s="109" t="s">
        <v>5157</v>
      </c>
      <c r="J33" s="109" t="s">
        <v>3320</v>
      </c>
      <c r="O33" s="114" t="s">
        <v>4387</v>
      </c>
      <c r="P33" s="114" t="s">
        <v>4386</v>
      </c>
      <c r="R33" s="114"/>
      <c r="U33" s="139"/>
      <c r="V33" s="114"/>
      <c r="X33" s="139"/>
      <c r="AA33" s="139"/>
      <c r="AE33" s="139"/>
      <c r="AH33" s="123" t="s">
        <v>4697</v>
      </c>
      <c r="AI33" s="123">
        <v>90</v>
      </c>
      <c r="AJ33" s="139"/>
      <c r="AK33" s="139" t="s">
        <v>6754</v>
      </c>
      <c r="AL33" s="139" t="s">
        <v>112</v>
      </c>
      <c r="AN33" s="139"/>
      <c r="AO33" s="139"/>
      <c r="AQ33" t="s">
        <v>6911</v>
      </c>
      <c r="AR33" t="s">
        <v>6830</v>
      </c>
      <c r="AT33" s="150" t="s">
        <v>6932</v>
      </c>
      <c r="AU33" s="148" t="s">
        <v>6851</v>
      </c>
      <c r="AW33" s="151" t="s">
        <v>6932</v>
      </c>
      <c r="AX33" s="152" t="s">
        <v>6851</v>
      </c>
      <c r="AZ33" s="153" t="s">
        <v>7017</v>
      </c>
      <c r="BA33" s="154" t="s">
        <v>7100</v>
      </c>
      <c r="BG33" s="154" t="s">
        <v>7242</v>
      </c>
      <c r="BH33" s="154" t="s">
        <v>7192</v>
      </c>
      <c r="BI33" s="154"/>
      <c r="BJ33" t="s">
        <v>7806</v>
      </c>
      <c r="BK33" t="s">
        <v>7799</v>
      </c>
      <c r="BM33" s="155" t="s">
        <v>7305</v>
      </c>
      <c r="BN33" s="155" t="s">
        <v>281</v>
      </c>
      <c r="BO33" s="155" t="s">
        <v>11</v>
      </c>
      <c r="BP33" s="155" t="s">
        <v>7422</v>
      </c>
      <c r="BQ33" s="155" t="s">
        <v>7423</v>
      </c>
      <c r="BR33" s="155" t="s">
        <v>1500</v>
      </c>
      <c r="CA33" s="161" t="s">
        <v>7668</v>
      </c>
      <c r="CB33" s="160" t="s">
        <v>7635</v>
      </c>
      <c r="CD33" s="162" t="s">
        <v>7759</v>
      </c>
      <c r="CE33" s="162" t="s">
        <v>7711</v>
      </c>
      <c r="CG33" s="164" t="s">
        <v>7792</v>
      </c>
      <c r="CH33" s="163" t="s">
        <v>7788</v>
      </c>
    </row>
    <row r="34" spans="2:86" ht="24" x14ac:dyDescent="0.25">
      <c r="B34" s="7" t="s">
        <v>40</v>
      </c>
      <c r="C34" s="4" t="s">
        <v>41</v>
      </c>
      <c r="H34" s="139"/>
      <c r="I34" s="109" t="s">
        <v>5158</v>
      </c>
      <c r="J34" s="109" t="s">
        <v>3321</v>
      </c>
      <c r="O34" s="114" t="s">
        <v>4388</v>
      </c>
      <c r="P34" s="114" t="s">
        <v>4388</v>
      </c>
      <c r="R34" s="114"/>
      <c r="U34" s="114"/>
      <c r="V34" s="114"/>
      <c r="X34" s="139"/>
      <c r="AA34" s="139"/>
      <c r="AE34" s="139"/>
      <c r="AH34" s="123" t="s">
        <v>4698</v>
      </c>
      <c r="AI34" s="123">
        <v>91</v>
      </c>
      <c r="AJ34" s="139"/>
      <c r="AK34" s="139" t="s">
        <v>6755</v>
      </c>
      <c r="AL34" s="139" t="s">
        <v>114</v>
      </c>
      <c r="AN34" s="139"/>
      <c r="AO34" s="139"/>
      <c r="AQ34" t="s">
        <v>6912</v>
      </c>
      <c r="AR34" t="s">
        <v>6831</v>
      </c>
      <c r="AT34" s="150" t="s">
        <v>6933</v>
      </c>
      <c r="AU34" s="148" t="s">
        <v>6852</v>
      </c>
      <c r="AW34" s="151" t="s">
        <v>6933</v>
      </c>
      <c r="AX34" s="152" t="s">
        <v>6852</v>
      </c>
      <c r="AZ34" s="153" t="s">
        <v>7018</v>
      </c>
      <c r="BA34" s="154" t="s">
        <v>7101</v>
      </c>
      <c r="BG34" s="154" t="s">
        <v>7243</v>
      </c>
      <c r="BH34" s="154" t="s">
        <v>7193</v>
      </c>
      <c r="BI34" s="154"/>
      <c r="BJ34" t="s">
        <v>162</v>
      </c>
      <c r="BM34" s="155" t="s">
        <v>7306</v>
      </c>
      <c r="BN34" s="155" t="s">
        <v>7307</v>
      </c>
      <c r="BO34" s="155" t="s">
        <v>11</v>
      </c>
      <c r="BP34" s="155" t="s">
        <v>7424</v>
      </c>
      <c r="BQ34" s="155" t="s">
        <v>7425</v>
      </c>
      <c r="BR34" s="155" t="s">
        <v>1500</v>
      </c>
      <c r="CA34" s="161" t="s">
        <v>7677</v>
      </c>
      <c r="CB34" s="160" t="s">
        <v>7643</v>
      </c>
      <c r="CD34" s="162" t="s">
        <v>7760</v>
      </c>
      <c r="CE34" s="162" t="s">
        <v>7712</v>
      </c>
      <c r="CG34" t="s">
        <v>162</v>
      </c>
    </row>
    <row r="35" spans="2:86" ht="24" x14ac:dyDescent="0.25">
      <c r="B35" s="7" t="s">
        <v>42</v>
      </c>
      <c r="C35" s="4" t="s">
        <v>43</v>
      </c>
      <c r="H35" s="139"/>
      <c r="I35" s="109" t="s">
        <v>5159</v>
      </c>
      <c r="J35" s="109" t="s">
        <v>3322</v>
      </c>
      <c r="O35" s="114" t="s">
        <v>4390</v>
      </c>
      <c r="P35" s="114" t="s">
        <v>4389</v>
      </c>
      <c r="R35" s="114"/>
      <c r="U35" s="114"/>
      <c r="V35" s="114"/>
      <c r="X35" s="139"/>
      <c r="AA35" s="139"/>
      <c r="AE35" s="139"/>
      <c r="AH35" s="123" t="s">
        <v>4699</v>
      </c>
      <c r="AI35" s="123">
        <v>120</v>
      </c>
      <c r="AJ35" s="139"/>
      <c r="AK35" s="139" t="s">
        <v>6756</v>
      </c>
      <c r="AL35" s="139" t="s">
        <v>116</v>
      </c>
      <c r="AN35" s="139"/>
      <c r="AO35" s="139"/>
      <c r="AQ35" t="s">
        <v>6913</v>
      </c>
      <c r="AR35" t="s">
        <v>6832</v>
      </c>
      <c r="AT35" s="150" t="s">
        <v>6934</v>
      </c>
      <c r="AU35" s="148" t="s">
        <v>6853</v>
      </c>
      <c r="AW35" s="151" t="s">
        <v>6934</v>
      </c>
      <c r="AX35" s="152" t="s">
        <v>6853</v>
      </c>
      <c r="AZ35" s="153" t="s">
        <v>7019</v>
      </c>
      <c r="BA35" s="154" t="s">
        <v>7102</v>
      </c>
      <c r="BG35" s="154" t="s">
        <v>7244</v>
      </c>
      <c r="BH35" s="154" t="s">
        <v>7194</v>
      </c>
      <c r="BI35" s="154"/>
      <c r="BM35" s="155" t="s">
        <v>7308</v>
      </c>
      <c r="BN35" s="155" t="s">
        <v>156</v>
      </c>
      <c r="BO35" s="155" t="s">
        <v>146</v>
      </c>
      <c r="BP35" s="155" t="s">
        <v>7426</v>
      </c>
      <c r="BQ35" s="155" t="s">
        <v>7427</v>
      </c>
      <c r="BR35" s="155" t="s">
        <v>1500</v>
      </c>
      <c r="CA35" s="161" t="s">
        <v>7674</v>
      </c>
      <c r="CB35" s="160" t="s">
        <v>7640</v>
      </c>
      <c r="CD35" s="162" t="s">
        <v>7761</v>
      </c>
      <c r="CE35" s="162" t="s">
        <v>7713</v>
      </c>
    </row>
    <row r="36" spans="2:86" x14ac:dyDescent="0.25">
      <c r="B36" s="7" t="s">
        <v>44</v>
      </c>
      <c r="C36" s="4" t="s">
        <v>45</v>
      </c>
      <c r="H36" s="139"/>
      <c r="I36" s="109" t="s">
        <v>5160</v>
      </c>
      <c r="J36" s="109" t="s">
        <v>3323</v>
      </c>
      <c r="O36" s="114" t="s">
        <v>4392</v>
      </c>
      <c r="P36" s="114" t="s">
        <v>4391</v>
      </c>
      <c r="R36" s="114"/>
      <c r="U36" s="114"/>
      <c r="V36" s="114"/>
      <c r="X36" s="139"/>
      <c r="AA36" s="139"/>
      <c r="AE36" s="139"/>
      <c r="AH36" s="123" t="s">
        <v>4700</v>
      </c>
      <c r="AI36" s="123">
        <v>150</v>
      </c>
      <c r="AJ36" s="139"/>
      <c r="AK36" s="139" t="s">
        <v>6757</v>
      </c>
      <c r="AL36" s="139" t="s">
        <v>118</v>
      </c>
      <c r="AN36" s="139"/>
      <c r="AO36" s="139"/>
      <c r="AQ36" t="s">
        <v>6914</v>
      </c>
      <c r="AR36" t="s">
        <v>6833</v>
      </c>
      <c r="AT36" s="150" t="s">
        <v>6935</v>
      </c>
      <c r="AU36" s="148" t="s">
        <v>6854</v>
      </c>
      <c r="AW36" s="151" t="s">
        <v>6935</v>
      </c>
      <c r="AX36" s="152" t="s">
        <v>6854</v>
      </c>
      <c r="AZ36" s="153" t="s">
        <v>7020</v>
      </c>
      <c r="BA36" s="154" t="s">
        <v>7103</v>
      </c>
      <c r="BG36" s="154" t="s">
        <v>7245</v>
      </c>
      <c r="BH36" s="154" t="s">
        <v>7195</v>
      </c>
      <c r="BI36" s="154"/>
      <c r="BM36" s="155" t="s">
        <v>7309</v>
      </c>
      <c r="BN36" s="155" t="s">
        <v>172</v>
      </c>
      <c r="BO36" s="155" t="s">
        <v>146</v>
      </c>
      <c r="BP36" s="155" t="s">
        <v>7428</v>
      </c>
      <c r="BQ36" s="155" t="s">
        <v>7429</v>
      </c>
      <c r="BR36" s="155" t="s">
        <v>1500</v>
      </c>
      <c r="CA36" s="161" t="s">
        <v>7675</v>
      </c>
      <c r="CB36" s="160" t="s">
        <v>7641</v>
      </c>
      <c r="CD36" s="162" t="s">
        <v>7762</v>
      </c>
      <c r="CE36" s="162" t="s">
        <v>7714</v>
      </c>
    </row>
    <row r="37" spans="2:86" ht="24" x14ac:dyDescent="0.25">
      <c r="B37" s="7" t="s">
        <v>46</v>
      </c>
      <c r="C37" s="4" t="s">
        <v>47</v>
      </c>
      <c r="H37" s="139"/>
      <c r="I37" s="109" t="s">
        <v>5161</v>
      </c>
      <c r="J37" s="109" t="s">
        <v>3324</v>
      </c>
      <c r="O37" s="114" t="s">
        <v>4394</v>
      </c>
      <c r="P37" s="114" t="s">
        <v>4393</v>
      </c>
      <c r="R37" s="114"/>
      <c r="U37" s="114"/>
      <c r="V37" s="114"/>
      <c r="X37" s="139"/>
      <c r="AA37" s="139"/>
      <c r="AE37" s="139"/>
      <c r="AH37" s="123" t="s">
        <v>4701</v>
      </c>
      <c r="AI37" s="123">
        <v>180</v>
      </c>
      <c r="AJ37" s="139"/>
      <c r="AK37" s="139" t="s">
        <v>6758</v>
      </c>
      <c r="AL37" s="139" t="s">
        <v>134</v>
      </c>
      <c r="AN37" s="139"/>
      <c r="AO37" s="139"/>
      <c r="AQ37" t="s">
        <v>6915</v>
      </c>
      <c r="AR37" t="s">
        <v>6834</v>
      </c>
      <c r="AT37" s="150" t="s">
        <v>6936</v>
      </c>
      <c r="AU37" s="148" t="s">
        <v>6855</v>
      </c>
      <c r="AW37" s="151" t="s">
        <v>6936</v>
      </c>
      <c r="AX37" s="152" t="s">
        <v>6855</v>
      </c>
      <c r="AZ37" s="153" t="s">
        <v>7021</v>
      </c>
      <c r="BA37" s="154" t="s">
        <v>7104</v>
      </c>
      <c r="BG37" s="154" t="s">
        <v>7246</v>
      </c>
      <c r="BH37" s="154" t="s">
        <v>7196</v>
      </c>
      <c r="BI37" s="154"/>
      <c r="BM37" s="155" t="s">
        <v>7310</v>
      </c>
      <c r="BN37" s="155" t="s">
        <v>187</v>
      </c>
      <c r="BO37" s="155" t="s">
        <v>146</v>
      </c>
      <c r="BP37" s="155" t="s">
        <v>7430</v>
      </c>
      <c r="BQ37" s="155" t="s">
        <v>37</v>
      </c>
      <c r="BR37" s="155" t="s">
        <v>1500</v>
      </c>
      <c r="CA37" s="161" t="s">
        <v>7676</v>
      </c>
      <c r="CB37" s="160" t="s">
        <v>7642</v>
      </c>
      <c r="CD37" s="162" t="s">
        <v>7763</v>
      </c>
      <c r="CE37" s="162" t="s">
        <v>7715</v>
      </c>
    </row>
    <row r="38" spans="2:86" ht="36" x14ac:dyDescent="0.25">
      <c r="B38" s="7" t="s">
        <v>48</v>
      </c>
      <c r="C38" s="4" t="s">
        <v>49</v>
      </c>
      <c r="H38" s="139"/>
      <c r="I38" s="109" t="s">
        <v>5162</v>
      </c>
      <c r="J38" s="109" t="s">
        <v>3325</v>
      </c>
      <c r="O38" s="114" t="s">
        <v>4395</v>
      </c>
      <c r="P38" s="114" t="s">
        <v>291</v>
      </c>
      <c r="R38" s="114"/>
      <c r="U38" s="114"/>
      <c r="V38" s="114"/>
      <c r="X38" s="139"/>
      <c r="AA38" s="139"/>
      <c r="AE38" s="139"/>
      <c r="AH38" s="123" t="s">
        <v>4702</v>
      </c>
      <c r="AI38" s="123">
        <v>182</v>
      </c>
      <c r="AJ38" s="139"/>
      <c r="AK38" s="139" t="s">
        <v>6759</v>
      </c>
      <c r="AL38" s="139" t="s">
        <v>136</v>
      </c>
      <c r="AN38" s="139"/>
      <c r="AO38" s="139"/>
      <c r="AQ38" t="s">
        <v>6916</v>
      </c>
      <c r="AR38" t="s">
        <v>6835</v>
      </c>
      <c r="AT38" s="150" t="s">
        <v>6937</v>
      </c>
      <c r="AU38" s="148" t="s">
        <v>6856</v>
      </c>
      <c r="AW38" s="151" t="s">
        <v>6937</v>
      </c>
      <c r="AX38" s="152" t="s">
        <v>6856</v>
      </c>
      <c r="AZ38" s="153" t="s">
        <v>7022</v>
      </c>
      <c r="BA38" s="154" t="s">
        <v>7105</v>
      </c>
      <c r="BG38" s="154" t="s">
        <v>7247</v>
      </c>
      <c r="BH38" s="154" t="s">
        <v>7197</v>
      </c>
      <c r="BI38" s="154"/>
      <c r="BM38" s="155" t="s">
        <v>7311</v>
      </c>
      <c r="BN38" s="155" t="s">
        <v>200</v>
      </c>
      <c r="BO38" s="155" t="s">
        <v>146</v>
      </c>
      <c r="BP38" s="155" t="s">
        <v>7431</v>
      </c>
      <c r="BQ38" s="155" t="s">
        <v>7432</v>
      </c>
      <c r="BR38" s="155" t="s">
        <v>1500</v>
      </c>
      <c r="CA38" s="161" t="s">
        <v>7668</v>
      </c>
      <c r="CB38" s="160" t="s">
        <v>7635</v>
      </c>
      <c r="CD38" s="162" t="s">
        <v>7764</v>
      </c>
      <c r="CE38" s="162" t="s">
        <v>7716</v>
      </c>
    </row>
    <row r="39" spans="2:86" ht="24" x14ac:dyDescent="0.25">
      <c r="B39" s="7" t="s">
        <v>50</v>
      </c>
      <c r="C39" s="4" t="s">
        <v>51</v>
      </c>
      <c r="H39" s="139"/>
      <c r="I39" s="109" t="s">
        <v>5163</v>
      </c>
      <c r="J39" s="109" t="s">
        <v>3326</v>
      </c>
      <c r="O39" s="114" t="s">
        <v>4397</v>
      </c>
      <c r="P39" s="114" t="s">
        <v>4396</v>
      </c>
      <c r="R39" s="114"/>
      <c r="U39" s="114"/>
      <c r="V39" s="114"/>
      <c r="X39" s="139"/>
      <c r="AA39" s="139"/>
      <c r="AE39" s="139"/>
      <c r="AH39" s="123" t="s">
        <v>4703</v>
      </c>
      <c r="AI39" s="123">
        <v>210</v>
      </c>
      <c r="AJ39" s="139"/>
      <c r="AK39" s="139" t="s">
        <v>6760</v>
      </c>
      <c r="AL39" s="139" t="s">
        <v>138</v>
      </c>
      <c r="AN39" s="139"/>
      <c r="AO39" s="139"/>
      <c r="AQ39" t="s">
        <v>6917</v>
      </c>
      <c r="AR39" t="s">
        <v>6836</v>
      </c>
      <c r="AT39" s="150" t="s">
        <v>6938</v>
      </c>
      <c r="AU39" s="148" t="s">
        <v>6857</v>
      </c>
      <c r="AW39" s="151" t="s">
        <v>6938</v>
      </c>
      <c r="AX39" s="152" t="s">
        <v>6857</v>
      </c>
      <c r="AZ39" s="153" t="s">
        <v>7023</v>
      </c>
      <c r="BA39" s="154" t="s">
        <v>7106</v>
      </c>
      <c r="BG39" s="154" t="s">
        <v>7248</v>
      </c>
      <c r="BH39" s="154" t="s">
        <v>7198</v>
      </c>
      <c r="BI39" s="154"/>
      <c r="BM39" s="155" t="s">
        <v>7312</v>
      </c>
      <c r="BN39" s="155" t="s">
        <v>211</v>
      </c>
      <c r="BO39" s="155" t="s">
        <v>146</v>
      </c>
      <c r="BP39" s="155" t="s">
        <v>7433</v>
      </c>
      <c r="BQ39" s="155" t="s">
        <v>7434</v>
      </c>
      <c r="BR39" s="155" t="s">
        <v>7300</v>
      </c>
      <c r="CA39" s="161" t="s">
        <v>7677</v>
      </c>
      <c r="CB39" s="160" t="s">
        <v>7643</v>
      </c>
      <c r="CD39" s="162" t="s">
        <v>7765</v>
      </c>
      <c r="CE39" s="162" t="s">
        <v>7717</v>
      </c>
    </row>
    <row r="40" spans="2:86" ht="36.75" thickBot="1" x14ac:dyDescent="0.3">
      <c r="B40" s="8" t="s">
        <v>52</v>
      </c>
      <c r="C40" s="5" t="s">
        <v>53</v>
      </c>
      <c r="H40" s="139"/>
      <c r="I40" s="109" t="s">
        <v>5164</v>
      </c>
      <c r="J40" s="109" t="s">
        <v>3327</v>
      </c>
      <c r="O40" s="114" t="s">
        <v>4399</v>
      </c>
      <c r="P40" s="114" t="s">
        <v>4398</v>
      </c>
      <c r="R40" s="114"/>
      <c r="U40" s="114"/>
      <c r="V40" s="114"/>
      <c r="X40" s="139"/>
      <c r="AA40" s="139"/>
      <c r="AE40" s="139"/>
      <c r="AH40" s="123" t="s">
        <v>4704</v>
      </c>
      <c r="AI40" s="123">
        <v>240</v>
      </c>
      <c r="AJ40" s="139"/>
      <c r="AK40" s="139" t="s">
        <v>6761</v>
      </c>
      <c r="AL40" s="139" t="s">
        <v>143</v>
      </c>
      <c r="AN40" s="139"/>
      <c r="AO40" s="139"/>
      <c r="AQ40" t="s">
        <v>6918</v>
      </c>
      <c r="AR40" t="s">
        <v>6837</v>
      </c>
      <c r="AT40" s="150" t="s">
        <v>6939</v>
      </c>
      <c r="AU40" s="148" t="s">
        <v>6858</v>
      </c>
      <c r="AW40" s="151" t="s">
        <v>6939</v>
      </c>
      <c r="AX40" s="152" t="s">
        <v>6858</v>
      </c>
      <c r="AZ40" s="153" t="s">
        <v>7024</v>
      </c>
      <c r="BA40" s="154" t="s">
        <v>7107</v>
      </c>
      <c r="BG40" s="154" t="s">
        <v>7249</v>
      </c>
      <c r="BH40" s="154" t="s">
        <v>7199</v>
      </c>
      <c r="BI40" s="154"/>
      <c r="BM40" s="155" t="s">
        <v>7313</v>
      </c>
      <c r="BN40" s="155" t="s">
        <v>222</v>
      </c>
      <c r="BO40" s="155" t="s">
        <v>146</v>
      </c>
      <c r="BP40" s="155" t="s">
        <v>7435</v>
      </c>
      <c r="BQ40" s="155" t="s">
        <v>7436</v>
      </c>
      <c r="BR40" s="155" t="s">
        <v>7300</v>
      </c>
      <c r="CA40" s="161" t="s">
        <v>7655</v>
      </c>
      <c r="CB40" s="160" t="s">
        <v>7625</v>
      </c>
      <c r="CD40" s="162" t="s">
        <v>7766</v>
      </c>
      <c r="CE40" s="162" t="s">
        <v>7718</v>
      </c>
    </row>
    <row r="41" spans="2:86" ht="15.75" thickBot="1" x14ac:dyDescent="0.3">
      <c r="H41" s="139"/>
      <c r="I41" s="109" t="s">
        <v>5165</v>
      </c>
      <c r="J41" s="109" t="s">
        <v>3328</v>
      </c>
      <c r="O41" s="114" t="s">
        <v>4400</v>
      </c>
      <c r="P41" s="114" t="s">
        <v>4400</v>
      </c>
      <c r="R41" s="114"/>
      <c r="U41" s="114"/>
      <c r="V41" s="114"/>
      <c r="X41" s="139"/>
      <c r="AA41" s="139"/>
      <c r="AE41" s="139"/>
      <c r="AH41" s="123" t="s">
        <v>4705</v>
      </c>
      <c r="AI41" s="123">
        <v>270</v>
      </c>
      <c r="AJ41" s="139"/>
      <c r="AK41" s="139" t="s">
        <v>6762</v>
      </c>
      <c r="AL41" s="139" t="s">
        <v>128</v>
      </c>
      <c r="AN41" s="139"/>
      <c r="AO41" s="139"/>
      <c r="AQ41" t="s">
        <v>6919</v>
      </c>
      <c r="AR41" t="s">
        <v>6838</v>
      </c>
      <c r="AT41" s="150" t="s">
        <v>6940</v>
      </c>
      <c r="AU41" s="148" t="s">
        <v>6859</v>
      </c>
      <c r="AW41" s="151" t="s">
        <v>6940</v>
      </c>
      <c r="AX41" s="152" t="s">
        <v>6859</v>
      </c>
      <c r="AZ41" s="153" t="s">
        <v>7025</v>
      </c>
      <c r="BA41" s="154" t="s">
        <v>7108</v>
      </c>
      <c r="BG41" s="154" t="s">
        <v>7250</v>
      </c>
      <c r="BH41" s="154" t="s">
        <v>7200</v>
      </c>
      <c r="BI41" s="154"/>
      <c r="BM41" s="155" t="s">
        <v>7314</v>
      </c>
      <c r="BN41" s="155" t="s">
        <v>232</v>
      </c>
      <c r="BO41" s="155" t="s">
        <v>146</v>
      </c>
      <c r="BP41" s="155" t="s">
        <v>7428</v>
      </c>
      <c r="BQ41" s="155" t="s">
        <v>7429</v>
      </c>
      <c r="BR41" s="155" t="s">
        <v>7300</v>
      </c>
      <c r="CA41" s="161" t="s">
        <v>7678</v>
      </c>
      <c r="CB41" s="160" t="s">
        <v>7644</v>
      </c>
      <c r="CD41" s="162" t="s">
        <v>7767</v>
      </c>
      <c r="CE41" s="162" t="s">
        <v>7719</v>
      </c>
    </row>
    <row r="42" spans="2:86" ht="16.5" thickBot="1" x14ac:dyDescent="0.3">
      <c r="B42" s="15" t="s">
        <v>54</v>
      </c>
      <c r="C42" s="16"/>
      <c r="H42" s="139"/>
      <c r="I42" s="109" t="s">
        <v>5166</v>
      </c>
      <c r="J42" s="109" t="s">
        <v>3329</v>
      </c>
      <c r="O42" s="114" t="s">
        <v>4402</v>
      </c>
      <c r="P42" s="114" t="s">
        <v>4401</v>
      </c>
      <c r="R42" s="114"/>
      <c r="U42" s="114"/>
      <c r="V42" s="114"/>
      <c r="X42" s="139"/>
      <c r="AA42" s="139"/>
      <c r="AE42" s="139"/>
      <c r="AH42" s="123" t="s">
        <v>4706</v>
      </c>
      <c r="AI42" s="123">
        <v>300</v>
      </c>
      <c r="AJ42" s="139"/>
      <c r="AK42" s="139" t="s">
        <v>6763</v>
      </c>
      <c r="AL42" s="139" t="s">
        <v>86</v>
      </c>
      <c r="AN42" s="139"/>
      <c r="AO42" s="139"/>
      <c r="AQ42" t="s">
        <v>6920</v>
      </c>
      <c r="AR42" t="s">
        <v>6839</v>
      </c>
      <c r="AT42" s="150" t="s">
        <v>6941</v>
      </c>
      <c r="AU42" s="148" t="s">
        <v>6860</v>
      </c>
      <c r="AW42" s="151" t="s">
        <v>6941</v>
      </c>
      <c r="AX42" s="152" t="s">
        <v>6860</v>
      </c>
      <c r="AZ42" s="153" t="s">
        <v>7026</v>
      </c>
      <c r="BA42" s="154" t="s">
        <v>7109</v>
      </c>
      <c r="BG42" s="154" t="s">
        <v>7251</v>
      </c>
      <c r="BH42" s="154" t="s">
        <v>7201</v>
      </c>
      <c r="BI42" s="154"/>
      <c r="BM42" s="155" t="s">
        <v>7315</v>
      </c>
      <c r="BN42" s="155" t="s">
        <v>248</v>
      </c>
      <c r="BO42" s="155" t="s">
        <v>146</v>
      </c>
      <c r="BP42" s="155" t="s">
        <v>7437</v>
      </c>
      <c r="BQ42" s="155" t="s">
        <v>7438</v>
      </c>
      <c r="BR42" s="155" t="s">
        <v>187</v>
      </c>
      <c r="CA42" s="161" t="s">
        <v>7679</v>
      </c>
      <c r="CB42" s="160" t="s">
        <v>3236</v>
      </c>
      <c r="CD42" s="162" t="s">
        <v>7768</v>
      </c>
      <c r="CE42" s="162" t="s">
        <v>7720</v>
      </c>
    </row>
    <row r="43" spans="2:86" x14ac:dyDescent="0.25">
      <c r="B43" s="9" t="s">
        <v>4669</v>
      </c>
      <c r="C43" s="12">
        <v>1111</v>
      </c>
      <c r="H43" s="139"/>
      <c r="I43" s="109" t="s">
        <v>5167</v>
      </c>
      <c r="J43" s="109" t="s">
        <v>3330</v>
      </c>
      <c r="O43" s="114" t="s">
        <v>4404</v>
      </c>
      <c r="P43" s="114" t="s">
        <v>4403</v>
      </c>
      <c r="R43" s="114"/>
      <c r="U43" s="114"/>
      <c r="V43" s="114"/>
      <c r="X43" s="139"/>
      <c r="AA43" s="139"/>
      <c r="AE43" s="139"/>
      <c r="AH43" s="123" t="s">
        <v>4707</v>
      </c>
      <c r="AI43" s="123">
        <v>301</v>
      </c>
      <c r="AJ43" s="139"/>
      <c r="AK43" s="139" t="s">
        <v>6764</v>
      </c>
      <c r="AL43" s="139" t="s">
        <v>141</v>
      </c>
      <c r="AN43" s="139"/>
      <c r="AO43" s="139"/>
      <c r="AQ43" t="s">
        <v>6921</v>
      </c>
      <c r="AR43" t="s">
        <v>6840</v>
      </c>
      <c r="AT43" s="150" t="s">
        <v>6942</v>
      </c>
      <c r="AU43" s="148" t="s">
        <v>6861</v>
      </c>
      <c r="AW43" s="151" t="s">
        <v>6942</v>
      </c>
      <c r="AX43" s="152" t="s">
        <v>6861</v>
      </c>
      <c r="AZ43" s="153" t="s">
        <v>7027</v>
      </c>
      <c r="BA43" s="154" t="s">
        <v>7110</v>
      </c>
      <c r="BG43" s="154" t="s">
        <v>7252</v>
      </c>
      <c r="BH43" s="154" t="s">
        <v>7202</v>
      </c>
      <c r="BI43" s="154"/>
      <c r="BM43" s="155" t="s">
        <v>7280</v>
      </c>
      <c r="BN43" s="155" t="s">
        <v>255</v>
      </c>
      <c r="BO43" s="155" t="s">
        <v>146</v>
      </c>
      <c r="BP43" s="155" t="s">
        <v>7439</v>
      </c>
      <c r="BQ43" s="155" t="s">
        <v>7440</v>
      </c>
      <c r="BR43" s="155" t="s">
        <v>187</v>
      </c>
      <c r="CA43" s="161" t="s">
        <v>7680</v>
      </c>
      <c r="CB43" s="160" t="s">
        <v>7645</v>
      </c>
      <c r="CD43" s="162" t="s">
        <v>7769</v>
      </c>
      <c r="CE43" s="162" t="s">
        <v>7721</v>
      </c>
    </row>
    <row r="44" spans="2:86" x14ac:dyDescent="0.25">
      <c r="B44" s="10" t="s">
        <v>4670</v>
      </c>
      <c r="C44" s="168" t="s">
        <v>7605</v>
      </c>
      <c r="D44" s="139"/>
      <c r="H44" s="139"/>
      <c r="I44" s="109" t="s">
        <v>5168</v>
      </c>
      <c r="J44" s="109" t="s">
        <v>3331</v>
      </c>
      <c r="O44" s="114" t="s">
        <v>4406</v>
      </c>
      <c r="P44" s="114" t="s">
        <v>4405</v>
      </c>
      <c r="R44" s="114"/>
      <c r="U44" s="114"/>
      <c r="V44" s="114"/>
      <c r="X44" s="139"/>
      <c r="AA44" s="139"/>
      <c r="AH44" s="123" t="s">
        <v>4708</v>
      </c>
      <c r="AI44" s="123">
        <v>330</v>
      </c>
      <c r="AJ44" s="139"/>
      <c r="AK44" s="139" t="s">
        <v>6765</v>
      </c>
      <c r="AL44" s="139" t="s">
        <v>139</v>
      </c>
      <c r="AN44" s="139"/>
      <c r="AO44" s="139"/>
      <c r="AQ44" t="s">
        <v>6922</v>
      </c>
      <c r="AR44" t="s">
        <v>6841</v>
      </c>
      <c r="AT44" s="150" t="s">
        <v>6943</v>
      </c>
      <c r="AU44" s="148" t="s">
        <v>6862</v>
      </c>
      <c r="AW44" s="151" t="s">
        <v>6943</v>
      </c>
      <c r="AX44" s="152" t="s">
        <v>6862</v>
      </c>
      <c r="AZ44" s="153" t="s">
        <v>7028</v>
      </c>
      <c r="BA44" s="154" t="s">
        <v>7111</v>
      </c>
      <c r="BG44" s="154" t="s">
        <v>7253</v>
      </c>
      <c r="BH44" s="154" t="s">
        <v>7203</v>
      </c>
      <c r="BI44" s="154"/>
      <c r="BM44" s="155" t="s">
        <v>7316</v>
      </c>
      <c r="BN44" s="155" t="s">
        <v>260</v>
      </c>
      <c r="BO44" s="155" t="s">
        <v>146</v>
      </c>
      <c r="BP44" s="155" t="s">
        <v>7441</v>
      </c>
      <c r="BQ44" s="155" t="s">
        <v>7442</v>
      </c>
      <c r="BR44" s="155" t="s">
        <v>187</v>
      </c>
      <c r="CA44" s="161" t="s">
        <v>7681</v>
      </c>
      <c r="CB44" s="160" t="s">
        <v>7646</v>
      </c>
      <c r="CD44" s="162" t="s">
        <v>7770</v>
      </c>
      <c r="CE44" s="162" t="s">
        <v>7722</v>
      </c>
    </row>
    <row r="45" spans="2:86" x14ac:dyDescent="0.25">
      <c r="B45" s="10" t="s">
        <v>4671</v>
      </c>
      <c r="C45" s="13">
        <v>1</v>
      </c>
      <c r="D45" s="139"/>
      <c r="H45" s="139"/>
      <c r="I45" s="109" t="s">
        <v>5169</v>
      </c>
      <c r="J45" s="109" t="s">
        <v>3332</v>
      </c>
      <c r="O45" s="114" t="s">
        <v>4407</v>
      </c>
      <c r="P45" s="114" t="s">
        <v>4407</v>
      </c>
      <c r="R45" s="114"/>
      <c r="U45" s="114"/>
      <c r="V45" s="114"/>
      <c r="X45" s="139"/>
      <c r="AA45" s="139"/>
      <c r="AH45" s="123" t="s">
        <v>4709</v>
      </c>
      <c r="AI45" s="123">
        <v>360</v>
      </c>
      <c r="AJ45" s="139"/>
      <c r="AK45" s="139" t="s">
        <v>6766</v>
      </c>
      <c r="AL45" s="139" t="s">
        <v>100</v>
      </c>
      <c r="AN45" s="139"/>
      <c r="AO45" s="139"/>
      <c r="AQ45" t="s">
        <v>6923</v>
      </c>
      <c r="AR45" t="s">
        <v>6842</v>
      </c>
      <c r="AT45" s="150" t="s">
        <v>6944</v>
      </c>
      <c r="AU45" s="148" t="s">
        <v>6863</v>
      </c>
      <c r="AW45" s="151" t="s">
        <v>6945</v>
      </c>
      <c r="AX45" s="152" t="s">
        <v>15</v>
      </c>
      <c r="AZ45" s="153" t="s">
        <v>7029</v>
      </c>
      <c r="BA45" s="154" t="s">
        <v>7112</v>
      </c>
      <c r="BG45" s="154" t="s">
        <v>7254</v>
      </c>
      <c r="BH45" s="154" t="s">
        <v>7204</v>
      </c>
      <c r="BI45" s="154"/>
      <c r="BM45" s="155" t="s">
        <v>7288</v>
      </c>
      <c r="BN45" s="155" t="s">
        <v>246</v>
      </c>
      <c r="BO45" s="155" t="s">
        <v>146</v>
      </c>
      <c r="BP45" s="155" t="s">
        <v>7443</v>
      </c>
      <c r="BQ45" s="155" t="s">
        <v>7444</v>
      </c>
      <c r="BR45" s="155" t="s">
        <v>187</v>
      </c>
      <c r="CA45" s="161" t="s">
        <v>7682</v>
      </c>
      <c r="CB45" s="160" t="s">
        <v>7604</v>
      </c>
      <c r="CD45" s="162" t="s">
        <v>7771</v>
      </c>
      <c r="CE45" s="162" t="s">
        <v>7723</v>
      </c>
    </row>
    <row r="46" spans="2:86" x14ac:dyDescent="0.25">
      <c r="B46" s="10" t="s">
        <v>4672</v>
      </c>
      <c r="C46" s="13">
        <v>2</v>
      </c>
      <c r="D46" s="139"/>
      <c r="H46" s="139"/>
      <c r="I46" s="109" t="s">
        <v>5170</v>
      </c>
      <c r="J46" s="109" t="s">
        <v>3333</v>
      </c>
      <c r="O46" s="114" t="s">
        <v>4409</v>
      </c>
      <c r="P46" s="114" t="s">
        <v>4408</v>
      </c>
      <c r="R46" s="114"/>
      <c r="U46" s="114"/>
      <c r="V46" s="114"/>
      <c r="X46" s="139"/>
      <c r="AA46" s="139"/>
      <c r="AH46" s="123" t="s">
        <v>4710</v>
      </c>
      <c r="AI46" s="123">
        <v>365</v>
      </c>
      <c r="AJ46" s="139"/>
      <c r="AK46" s="139" t="s">
        <v>6767</v>
      </c>
      <c r="AL46" s="139" t="s">
        <v>83</v>
      </c>
      <c r="AN46" s="139"/>
      <c r="AO46" s="139"/>
      <c r="AQ46" t="s">
        <v>6924</v>
      </c>
      <c r="AR46" t="s">
        <v>6843</v>
      </c>
      <c r="AT46" s="150" t="s">
        <v>6945</v>
      </c>
      <c r="AU46" s="148" t="s">
        <v>15</v>
      </c>
      <c r="AW46" s="151" t="s">
        <v>6946</v>
      </c>
      <c r="AX46" s="152" t="s">
        <v>6864</v>
      </c>
      <c r="AZ46" s="153" t="s">
        <v>7030</v>
      </c>
      <c r="BA46" s="154" t="s">
        <v>7113</v>
      </c>
      <c r="BG46" s="154" t="s">
        <v>7255</v>
      </c>
      <c r="BH46" s="154" t="s">
        <v>7205</v>
      </c>
      <c r="BI46" s="154"/>
      <c r="BM46" s="155" t="s">
        <v>7317</v>
      </c>
      <c r="BN46" s="155" t="s">
        <v>272</v>
      </c>
      <c r="BO46" s="155" t="s">
        <v>146</v>
      </c>
      <c r="BP46" s="155" t="s">
        <v>7445</v>
      </c>
      <c r="BQ46" s="155" t="s">
        <v>147</v>
      </c>
      <c r="BR46" s="155" t="s">
        <v>3241</v>
      </c>
      <c r="CA46" s="161" t="s">
        <v>7681</v>
      </c>
      <c r="CB46" s="160" t="s">
        <v>7646</v>
      </c>
      <c r="CD46" s="162" t="s">
        <v>7755</v>
      </c>
      <c r="CE46" s="162" t="s">
        <v>7707</v>
      </c>
    </row>
    <row r="47" spans="2:86" x14ac:dyDescent="0.25">
      <c r="B47" s="10" t="s">
        <v>4673</v>
      </c>
      <c r="C47" s="13">
        <v>3</v>
      </c>
      <c r="D47" s="139"/>
      <c r="F47" s="139"/>
      <c r="H47" s="139"/>
      <c r="I47" s="109" t="s">
        <v>5171</v>
      </c>
      <c r="J47" s="109" t="s">
        <v>3334</v>
      </c>
      <c r="O47" s="114" t="s">
        <v>4410</v>
      </c>
      <c r="P47" s="114" t="s">
        <v>2561</v>
      </c>
      <c r="R47" s="114"/>
      <c r="U47" s="114"/>
      <c r="V47" s="114"/>
      <c r="X47" s="139"/>
      <c r="AA47" s="139"/>
      <c r="AH47" s="123" t="s">
        <v>4711</v>
      </c>
      <c r="AI47" s="123">
        <v>400</v>
      </c>
      <c r="AJ47" s="139"/>
      <c r="AK47" s="139" t="s">
        <v>6768</v>
      </c>
      <c r="AL47" s="139" t="s">
        <v>59</v>
      </c>
      <c r="AN47" s="139"/>
      <c r="AO47" s="139"/>
      <c r="AQ47" t="s">
        <v>6925</v>
      </c>
      <c r="AR47" t="s">
        <v>6844</v>
      </c>
      <c r="AT47" s="150" t="s">
        <v>6946</v>
      </c>
      <c r="AU47" s="148" t="s">
        <v>6864</v>
      </c>
      <c r="AW47" s="151" t="s">
        <v>6947</v>
      </c>
      <c r="AX47" s="152" t="s">
        <v>6865</v>
      </c>
      <c r="AZ47" s="153" t="s">
        <v>7031</v>
      </c>
      <c r="BA47" s="154" t="s">
        <v>7114</v>
      </c>
      <c r="BG47" s="154" t="s">
        <v>7256</v>
      </c>
      <c r="BH47" s="154" t="s">
        <v>7206</v>
      </c>
      <c r="BI47" s="154"/>
      <c r="BM47" s="155" t="s">
        <v>7318</v>
      </c>
      <c r="BN47" s="155" t="s">
        <v>280</v>
      </c>
      <c r="BO47" s="155" t="s">
        <v>146</v>
      </c>
      <c r="BP47" s="155" t="s">
        <v>7446</v>
      </c>
      <c r="BQ47" s="155" t="s">
        <v>7447</v>
      </c>
      <c r="BR47" s="155" t="s">
        <v>3241</v>
      </c>
      <c r="CA47" s="161" t="s">
        <v>7674</v>
      </c>
      <c r="CB47" s="160" t="s">
        <v>7640</v>
      </c>
      <c r="CD47" s="162" t="s">
        <v>7772</v>
      </c>
      <c r="CE47" s="162" t="s">
        <v>7724</v>
      </c>
    </row>
    <row r="48" spans="2:86" x14ac:dyDescent="0.25">
      <c r="B48" s="10" t="s">
        <v>4674</v>
      </c>
      <c r="C48" s="13">
        <v>4</v>
      </c>
      <c r="D48" s="139"/>
      <c r="H48" s="139"/>
      <c r="I48" s="109" t="s">
        <v>5172</v>
      </c>
      <c r="J48" s="109" t="s">
        <v>3335</v>
      </c>
      <c r="O48" s="114" t="s">
        <v>4411</v>
      </c>
      <c r="P48" s="114" t="s">
        <v>884</v>
      </c>
      <c r="R48" s="114"/>
      <c r="U48" s="114"/>
      <c r="V48" s="114"/>
      <c r="X48" s="139"/>
      <c r="AA48" s="139"/>
      <c r="AH48" s="123" t="s">
        <v>4712</v>
      </c>
      <c r="AI48" s="123">
        <v>500</v>
      </c>
      <c r="AJ48" s="139"/>
      <c r="AK48" s="139" t="s">
        <v>6769</v>
      </c>
      <c r="AL48" s="139" t="s">
        <v>96</v>
      </c>
      <c r="AN48" s="139"/>
      <c r="AO48" s="139"/>
      <c r="AQ48" t="s">
        <v>6926</v>
      </c>
      <c r="AR48" t="s">
        <v>6845</v>
      </c>
      <c r="AT48" s="150" t="s">
        <v>6947</v>
      </c>
      <c r="AU48" s="148" t="s">
        <v>6865</v>
      </c>
      <c r="AW48" s="151" t="s">
        <v>6948</v>
      </c>
      <c r="AX48" s="152" t="s">
        <v>6866</v>
      </c>
      <c r="AZ48" s="153" t="s">
        <v>7032</v>
      </c>
      <c r="BA48" s="154" t="s">
        <v>7115</v>
      </c>
      <c r="BG48" s="154" t="s">
        <v>7257</v>
      </c>
      <c r="BH48" s="154" t="s">
        <v>7207</v>
      </c>
      <c r="BI48" s="154"/>
      <c r="BM48" s="155" t="s">
        <v>7319</v>
      </c>
      <c r="BN48" s="155" t="s">
        <v>7320</v>
      </c>
      <c r="BO48" s="155" t="s">
        <v>16</v>
      </c>
      <c r="BP48" s="155" t="s">
        <v>7448</v>
      </c>
      <c r="BQ48" s="155" t="s">
        <v>7449</v>
      </c>
      <c r="BR48" s="155" t="s">
        <v>200</v>
      </c>
      <c r="CA48" s="161" t="s">
        <v>7675</v>
      </c>
      <c r="CB48" s="160" t="s">
        <v>7641</v>
      </c>
      <c r="CD48" s="162" t="s">
        <v>7773</v>
      </c>
      <c r="CE48" s="162" t="s">
        <v>7725</v>
      </c>
    </row>
    <row r="49" spans="2:83" x14ac:dyDescent="0.25">
      <c r="B49" s="10" t="s">
        <v>4675</v>
      </c>
      <c r="C49" s="13">
        <v>5</v>
      </c>
      <c r="D49" s="139"/>
      <c r="H49" s="139"/>
      <c r="I49" s="109" t="s">
        <v>5173</v>
      </c>
      <c r="J49" s="109" t="s">
        <v>3336</v>
      </c>
      <c r="O49" s="114" t="s">
        <v>4413</v>
      </c>
      <c r="P49" s="114" t="s">
        <v>4412</v>
      </c>
      <c r="R49" s="114"/>
      <c r="U49" s="114"/>
      <c r="V49" s="114"/>
      <c r="X49" s="139"/>
      <c r="AA49" s="139"/>
      <c r="AH49" s="123" t="s">
        <v>4713</v>
      </c>
      <c r="AI49" s="123">
        <v>501</v>
      </c>
      <c r="AJ49" s="139"/>
      <c r="AQ49" t="s">
        <v>6927</v>
      </c>
      <c r="AR49" t="s">
        <v>6846</v>
      </c>
      <c r="AT49" s="150" t="s">
        <v>6948</v>
      </c>
      <c r="AU49" s="148" t="s">
        <v>6866</v>
      </c>
      <c r="AW49" s="151" t="s">
        <v>6949</v>
      </c>
      <c r="AX49" s="152" t="s">
        <v>6867</v>
      </c>
      <c r="AZ49" s="153" t="s">
        <v>7033</v>
      </c>
      <c r="BA49" s="154" t="s">
        <v>7116</v>
      </c>
      <c r="BG49" s="154" t="s">
        <v>7258</v>
      </c>
      <c r="BH49" s="154" t="s">
        <v>7208</v>
      </c>
      <c r="BI49" s="154"/>
      <c r="BM49" s="155" t="s">
        <v>7321</v>
      </c>
      <c r="BN49" s="155" t="s">
        <v>7322</v>
      </c>
      <c r="BO49" s="155" t="s">
        <v>16</v>
      </c>
      <c r="BP49" s="155" t="s">
        <v>7450</v>
      </c>
      <c r="BQ49" s="155" t="s">
        <v>7451</v>
      </c>
      <c r="BR49" s="155" t="s">
        <v>200</v>
      </c>
      <c r="CA49" s="161" t="s">
        <v>7676</v>
      </c>
      <c r="CB49" s="160" t="s">
        <v>7642</v>
      </c>
      <c r="CD49" s="162" t="s">
        <v>7741</v>
      </c>
      <c r="CE49" s="162" t="s">
        <v>163</v>
      </c>
    </row>
    <row r="50" spans="2:83" x14ac:dyDescent="0.25">
      <c r="B50" s="10" t="s">
        <v>4676</v>
      </c>
      <c r="C50" s="13">
        <v>6</v>
      </c>
      <c r="D50" s="139"/>
      <c r="H50" s="139"/>
      <c r="I50" s="109" t="s">
        <v>5174</v>
      </c>
      <c r="J50" s="109" t="s">
        <v>3337</v>
      </c>
      <c r="O50" s="114" t="s">
        <v>4415</v>
      </c>
      <c r="P50" s="114" t="s">
        <v>4414</v>
      </c>
      <c r="R50" s="114"/>
      <c r="U50" s="114"/>
      <c r="V50" s="114"/>
      <c r="X50" s="139"/>
      <c r="AA50" s="139"/>
      <c r="AH50" s="123" t="s">
        <v>4714</v>
      </c>
      <c r="AI50" s="123">
        <v>700</v>
      </c>
      <c r="AJ50" s="139"/>
      <c r="AQ50" t="s">
        <v>6928</v>
      </c>
      <c r="AR50" t="s">
        <v>6847</v>
      </c>
      <c r="AT50" s="150" t="s">
        <v>6949</v>
      </c>
      <c r="AU50" s="148" t="s">
        <v>6867</v>
      </c>
      <c r="AW50" s="151" t="s">
        <v>6950</v>
      </c>
      <c r="AX50" s="152" t="s">
        <v>6868</v>
      </c>
      <c r="AZ50" s="153" t="s">
        <v>7034</v>
      </c>
      <c r="BA50" s="154" t="s">
        <v>7117</v>
      </c>
      <c r="BG50" s="154" t="s">
        <v>7259</v>
      </c>
      <c r="BH50" s="154" t="s">
        <v>7209</v>
      </c>
      <c r="BI50" s="154"/>
      <c r="BM50" s="155" t="s">
        <v>7323</v>
      </c>
      <c r="BN50" s="155" t="s">
        <v>174</v>
      </c>
      <c r="BO50" s="155" t="s">
        <v>17</v>
      </c>
      <c r="BP50" s="155" t="s">
        <v>7452</v>
      </c>
      <c r="BQ50" s="155" t="s">
        <v>7453</v>
      </c>
      <c r="BR50" s="155" t="s">
        <v>200</v>
      </c>
      <c r="CA50" s="161" t="s">
        <v>7668</v>
      </c>
      <c r="CB50" s="160" t="s">
        <v>7635</v>
      </c>
      <c r="CD50" s="162" t="s">
        <v>7742</v>
      </c>
      <c r="CE50" s="162" t="s">
        <v>178</v>
      </c>
    </row>
    <row r="51" spans="2:83" x14ac:dyDescent="0.25">
      <c r="B51" s="10" t="s">
        <v>4677</v>
      </c>
      <c r="C51" s="13">
        <v>7</v>
      </c>
      <c r="D51" s="139"/>
      <c r="H51" s="139"/>
      <c r="I51" s="109" t="s">
        <v>5175</v>
      </c>
      <c r="J51" s="109" t="s">
        <v>3338</v>
      </c>
      <c r="O51" s="114" t="s">
        <v>4417</v>
      </c>
      <c r="P51" s="114" t="s">
        <v>4416</v>
      </c>
      <c r="R51" s="114"/>
      <c r="U51" s="114"/>
      <c r="V51" s="114"/>
      <c r="X51" s="139"/>
      <c r="AA51" s="139"/>
      <c r="AH51" s="123" t="s">
        <v>4715</v>
      </c>
      <c r="AI51" s="123">
        <v>1001</v>
      </c>
      <c r="AJ51" s="139"/>
      <c r="AQ51" t="s">
        <v>6929</v>
      </c>
      <c r="AR51" t="s">
        <v>6848</v>
      </c>
      <c r="AT51" s="150" t="s">
        <v>6950</v>
      </c>
      <c r="AU51" s="148" t="s">
        <v>6868</v>
      </c>
      <c r="AW51" s="151" t="s">
        <v>6951</v>
      </c>
      <c r="AX51" s="152" t="s">
        <v>6869</v>
      </c>
      <c r="AZ51" s="153" t="s">
        <v>7035</v>
      </c>
      <c r="BA51" s="154" t="s">
        <v>7118</v>
      </c>
      <c r="BM51" s="155" t="s">
        <v>7324</v>
      </c>
      <c r="BN51" s="155" t="s">
        <v>189</v>
      </c>
      <c r="BO51" s="155" t="s">
        <v>17</v>
      </c>
      <c r="BP51" s="155" t="s">
        <v>7454</v>
      </c>
      <c r="BQ51" s="155" t="s">
        <v>7455</v>
      </c>
      <c r="BR51" s="155" t="s">
        <v>200</v>
      </c>
      <c r="CA51" s="161" t="s">
        <v>7677</v>
      </c>
      <c r="CB51" s="160" t="s">
        <v>7643</v>
      </c>
      <c r="CD51" s="162" t="s">
        <v>7743</v>
      </c>
      <c r="CE51" s="162" t="s">
        <v>192</v>
      </c>
    </row>
    <row r="52" spans="2:83" x14ac:dyDescent="0.25">
      <c r="B52" s="10" t="s">
        <v>4678</v>
      </c>
      <c r="C52" s="13">
        <v>9</v>
      </c>
      <c r="D52" s="139"/>
      <c r="H52" s="139"/>
      <c r="I52" s="109" t="s">
        <v>5176</v>
      </c>
      <c r="J52" s="109" t="s">
        <v>3339</v>
      </c>
      <c r="O52" s="114" t="s">
        <v>4419</v>
      </c>
      <c r="P52" s="114" t="s">
        <v>4418</v>
      </c>
      <c r="R52" s="114"/>
      <c r="X52" s="139"/>
      <c r="AA52" s="139"/>
      <c r="AH52" s="123" t="s">
        <v>4716</v>
      </c>
      <c r="AI52" s="123">
        <v>1095</v>
      </c>
      <c r="AJ52" s="139"/>
      <c r="AQ52" t="s">
        <v>6930</v>
      </c>
      <c r="AR52" t="s">
        <v>6849</v>
      </c>
      <c r="AT52" s="150" t="s">
        <v>6951</v>
      </c>
      <c r="AU52" s="148" t="s">
        <v>6869</v>
      </c>
      <c r="AW52" s="151" t="s">
        <v>6952</v>
      </c>
      <c r="AX52" s="152" t="s">
        <v>6870</v>
      </c>
      <c r="AZ52" s="153" t="s">
        <v>7036</v>
      </c>
      <c r="BA52" s="154" t="s">
        <v>7119</v>
      </c>
      <c r="BM52" s="155" t="s">
        <v>7325</v>
      </c>
      <c r="BN52" s="155" t="s">
        <v>202</v>
      </c>
      <c r="BO52" s="155" t="s">
        <v>17</v>
      </c>
      <c r="BP52" s="155" t="s">
        <v>7454</v>
      </c>
      <c r="BQ52" s="155" t="s">
        <v>7455</v>
      </c>
      <c r="BR52" s="155" t="s">
        <v>211</v>
      </c>
      <c r="CA52" s="161" t="s">
        <v>7683</v>
      </c>
      <c r="CB52" s="160" t="s">
        <v>7647</v>
      </c>
      <c r="CD52" s="162" t="s">
        <v>7744</v>
      </c>
      <c r="CE52" s="162" t="s">
        <v>204</v>
      </c>
    </row>
    <row r="53" spans="2:83" x14ac:dyDescent="0.25">
      <c r="B53" s="10" t="s">
        <v>4679</v>
      </c>
      <c r="C53" s="13">
        <v>10</v>
      </c>
      <c r="D53" s="139"/>
      <c r="H53" s="139"/>
      <c r="I53" s="109" t="s">
        <v>5177</v>
      </c>
      <c r="J53" s="109" t="s">
        <v>3340</v>
      </c>
      <c r="O53" s="114" t="s">
        <v>4421</v>
      </c>
      <c r="P53" s="114" t="s">
        <v>4420</v>
      </c>
      <c r="R53" s="114"/>
      <c r="X53" s="139"/>
      <c r="AA53" s="139"/>
      <c r="AH53" s="123" t="s">
        <v>4717</v>
      </c>
      <c r="AI53" s="123">
        <v>1460</v>
      </c>
      <c r="AJ53" s="139"/>
      <c r="AQ53" t="s">
        <v>6931</v>
      </c>
      <c r="AR53" t="s">
        <v>6850</v>
      </c>
      <c r="AT53" s="150" t="s">
        <v>6952</v>
      </c>
      <c r="AU53" s="148" t="s">
        <v>6870</v>
      </c>
      <c r="AW53" s="151" t="s">
        <v>6953</v>
      </c>
      <c r="AX53" s="152" t="s">
        <v>6871</v>
      </c>
      <c r="AZ53" s="153" t="s">
        <v>7037</v>
      </c>
      <c r="BA53" s="154" t="s">
        <v>7120</v>
      </c>
      <c r="BM53" s="155" t="s">
        <v>7326</v>
      </c>
      <c r="BN53" s="155" t="s">
        <v>213</v>
      </c>
      <c r="BO53" s="155" t="s">
        <v>17</v>
      </c>
      <c r="BP53" s="155" t="s">
        <v>7456</v>
      </c>
      <c r="BQ53" s="155" t="s">
        <v>7457</v>
      </c>
      <c r="BR53" s="155" t="s">
        <v>222</v>
      </c>
      <c r="CA53" s="161" t="s">
        <v>7674</v>
      </c>
      <c r="CB53" s="160" t="s">
        <v>7640</v>
      </c>
      <c r="CD53" s="162" t="s">
        <v>7745</v>
      </c>
      <c r="CE53" s="162" t="s">
        <v>215</v>
      </c>
    </row>
    <row r="54" spans="2:83" x14ac:dyDescent="0.25">
      <c r="B54" s="10" t="s">
        <v>4680</v>
      </c>
      <c r="C54" s="13">
        <v>11</v>
      </c>
      <c r="D54" s="139"/>
      <c r="H54" s="139"/>
      <c r="I54" s="109" t="s">
        <v>5178</v>
      </c>
      <c r="J54" s="109" t="s">
        <v>3341</v>
      </c>
      <c r="O54" s="114" t="s">
        <v>4423</v>
      </c>
      <c r="P54" s="114" t="s">
        <v>4422</v>
      </c>
      <c r="R54" s="114"/>
      <c r="X54" s="139"/>
      <c r="AA54" s="139"/>
      <c r="AH54" s="123" t="s">
        <v>4718</v>
      </c>
      <c r="AI54" s="123">
        <v>1825</v>
      </c>
      <c r="AJ54" s="139"/>
      <c r="AQ54" t="s">
        <v>6932</v>
      </c>
      <c r="AR54" t="s">
        <v>6851</v>
      </c>
      <c r="AT54" s="150" t="s">
        <v>6953</v>
      </c>
      <c r="AU54" s="148" t="s">
        <v>6871</v>
      </c>
      <c r="AW54" s="151" t="s">
        <v>6954</v>
      </c>
      <c r="AX54" s="152" t="s">
        <v>6872</v>
      </c>
      <c r="AZ54" s="153" t="s">
        <v>7038</v>
      </c>
      <c r="BA54" s="154" t="s">
        <v>7121</v>
      </c>
      <c r="BM54" s="155" t="s">
        <v>7327</v>
      </c>
      <c r="BN54" s="155" t="s">
        <v>223</v>
      </c>
      <c r="BO54" s="155" t="s">
        <v>17</v>
      </c>
      <c r="BP54" s="155" t="s">
        <v>7458</v>
      </c>
      <c r="BQ54" s="155" t="s">
        <v>7459</v>
      </c>
      <c r="BR54" s="155" t="s">
        <v>222</v>
      </c>
      <c r="CA54" s="161" t="s">
        <v>7675</v>
      </c>
      <c r="CB54" s="160" t="s">
        <v>7641</v>
      </c>
      <c r="CD54" s="162" t="s">
        <v>7746</v>
      </c>
      <c r="CE54" s="162" t="s">
        <v>225</v>
      </c>
    </row>
    <row r="55" spans="2:83" x14ac:dyDescent="0.25">
      <c r="B55" s="10" t="s">
        <v>4681</v>
      </c>
      <c r="C55" s="13">
        <v>12</v>
      </c>
      <c r="D55" s="139"/>
      <c r="H55" s="139"/>
      <c r="I55" s="109" t="s">
        <v>5179</v>
      </c>
      <c r="J55" s="109" t="s">
        <v>3342</v>
      </c>
      <c r="O55" s="114" t="s">
        <v>4425</v>
      </c>
      <c r="P55" s="114" t="s">
        <v>4424</v>
      </c>
      <c r="R55" s="114"/>
      <c r="X55" s="139"/>
      <c r="AA55" s="139"/>
      <c r="AH55" s="123" t="s">
        <v>4719</v>
      </c>
      <c r="AI55" s="123">
        <v>2555</v>
      </c>
      <c r="AJ55" s="139"/>
      <c r="AQ55" t="s">
        <v>6933</v>
      </c>
      <c r="AR55" t="s">
        <v>6852</v>
      </c>
      <c r="AT55" s="150" t="s">
        <v>6954</v>
      </c>
      <c r="AU55" s="148" t="s">
        <v>6872</v>
      </c>
      <c r="AW55" s="151" t="s">
        <v>6955</v>
      </c>
      <c r="AX55" s="152" t="s">
        <v>6873</v>
      </c>
      <c r="AZ55" s="153" t="s">
        <v>7039</v>
      </c>
      <c r="BA55" s="154" t="s">
        <v>7122</v>
      </c>
      <c r="BM55" s="155" t="s">
        <v>7328</v>
      </c>
      <c r="BN55" s="155" t="s">
        <v>233</v>
      </c>
      <c r="BO55" s="155" t="s">
        <v>17</v>
      </c>
      <c r="BP55" s="155" t="s">
        <v>7460</v>
      </c>
      <c r="BQ55" s="155" t="s">
        <v>7461</v>
      </c>
      <c r="BR55" s="155" t="s">
        <v>222</v>
      </c>
      <c r="CA55" s="161" t="s">
        <v>7676</v>
      </c>
      <c r="CB55" s="160" t="s">
        <v>7642</v>
      </c>
      <c r="CD55" s="162" t="s">
        <v>7752</v>
      </c>
      <c r="CE55" s="162" t="s">
        <v>7704</v>
      </c>
    </row>
    <row r="56" spans="2:83" x14ac:dyDescent="0.25">
      <c r="B56" s="10" t="s">
        <v>4682</v>
      </c>
      <c r="C56" s="13">
        <v>13</v>
      </c>
      <c r="D56" s="139"/>
      <c r="H56" s="139"/>
      <c r="I56" s="109" t="s">
        <v>5180</v>
      </c>
      <c r="J56" s="109" t="s">
        <v>3343</v>
      </c>
      <c r="O56" s="114" t="s">
        <v>4427</v>
      </c>
      <c r="P56" s="114" t="s">
        <v>4426</v>
      </c>
      <c r="R56" s="114"/>
      <c r="X56" s="139"/>
      <c r="AA56" s="139"/>
      <c r="AH56" s="123" t="s">
        <v>4720</v>
      </c>
      <c r="AI56" s="123">
        <v>9999</v>
      </c>
      <c r="AJ56" s="139"/>
      <c r="AQ56" t="s">
        <v>6934</v>
      </c>
      <c r="AR56" t="s">
        <v>6853</v>
      </c>
      <c r="AT56" s="150" t="s">
        <v>6955</v>
      </c>
      <c r="AU56" s="148" t="s">
        <v>6873</v>
      </c>
      <c r="AW56" s="151" t="s">
        <v>6956</v>
      </c>
      <c r="AX56" s="152" t="s">
        <v>492</v>
      </c>
      <c r="AZ56" s="153" t="s">
        <v>7040</v>
      </c>
      <c r="BA56" s="154" t="s">
        <v>7123</v>
      </c>
      <c r="BM56" s="155" t="s">
        <v>7329</v>
      </c>
      <c r="BN56" s="155" t="s">
        <v>249</v>
      </c>
      <c r="BO56" s="155" t="s">
        <v>17</v>
      </c>
      <c r="BP56" s="155" t="s">
        <v>7462</v>
      </c>
      <c r="BQ56" s="155" t="s">
        <v>7463</v>
      </c>
      <c r="BR56" s="155" t="s">
        <v>150</v>
      </c>
      <c r="CA56" s="161" t="s">
        <v>7668</v>
      </c>
      <c r="CB56" s="160" t="s">
        <v>7635</v>
      </c>
      <c r="CD56" s="162" t="s">
        <v>7747</v>
      </c>
      <c r="CE56" s="162" t="s">
        <v>7154</v>
      </c>
    </row>
    <row r="57" spans="2:83" x14ac:dyDescent="0.25">
      <c r="B57" s="10" t="s">
        <v>4683</v>
      </c>
      <c r="C57" s="13">
        <v>14</v>
      </c>
      <c r="D57" s="139"/>
      <c r="H57" s="139"/>
      <c r="I57" s="109" t="s">
        <v>5181</v>
      </c>
      <c r="J57" s="109" t="s">
        <v>3344</v>
      </c>
      <c r="O57" s="114" t="s">
        <v>4429</v>
      </c>
      <c r="P57" s="114" t="s">
        <v>4428</v>
      </c>
      <c r="R57" s="114"/>
      <c r="X57" s="139"/>
      <c r="AA57" s="139"/>
      <c r="AH57" s="123" t="s">
        <v>4721</v>
      </c>
      <c r="AI57" s="123">
        <v>201</v>
      </c>
      <c r="AJ57" s="139"/>
      <c r="AQ57" t="s">
        <v>6935</v>
      </c>
      <c r="AR57" t="s">
        <v>6854</v>
      </c>
      <c r="AT57" s="150" t="s">
        <v>6956</v>
      </c>
      <c r="AU57" s="148" t="s">
        <v>492</v>
      </c>
      <c r="AW57" s="151" t="s">
        <v>6957</v>
      </c>
      <c r="AX57" s="152" t="s">
        <v>6874</v>
      </c>
      <c r="AZ57" s="153" t="s">
        <v>7041</v>
      </c>
      <c r="BA57" s="154" t="s">
        <v>7124</v>
      </c>
      <c r="BM57" s="155" t="s">
        <v>7330</v>
      </c>
      <c r="BN57" s="155" t="s">
        <v>159</v>
      </c>
      <c r="BO57" s="155" t="s">
        <v>18</v>
      </c>
      <c r="BP57" s="155" t="s">
        <v>7464</v>
      </c>
      <c r="BQ57" s="155" t="s">
        <v>7465</v>
      </c>
      <c r="BR57" s="155" t="s">
        <v>150</v>
      </c>
      <c r="CA57" s="161" t="s">
        <v>7677</v>
      </c>
      <c r="CB57" s="160" t="s">
        <v>7643</v>
      </c>
      <c r="CD57" s="162" t="s">
        <v>7756</v>
      </c>
      <c r="CE57" s="162" t="s">
        <v>7708</v>
      </c>
    </row>
    <row r="58" spans="2:83" x14ac:dyDescent="0.25">
      <c r="B58" s="10" t="s">
        <v>4684</v>
      </c>
      <c r="C58" s="13">
        <v>15</v>
      </c>
      <c r="D58" s="139"/>
      <c r="H58" s="139"/>
      <c r="I58" s="109" t="s">
        <v>5182</v>
      </c>
      <c r="J58" s="109" t="s">
        <v>3345</v>
      </c>
      <c r="O58" s="114" t="s">
        <v>4431</v>
      </c>
      <c r="P58" s="114" t="s">
        <v>4430</v>
      </c>
      <c r="R58" s="114"/>
      <c r="X58" s="139"/>
      <c r="AA58" s="139"/>
      <c r="AH58" s="123" t="s">
        <v>4722</v>
      </c>
      <c r="AI58" s="123">
        <v>701</v>
      </c>
      <c r="AJ58" s="139"/>
      <c r="AQ58" t="s">
        <v>6936</v>
      </c>
      <c r="AR58" t="s">
        <v>6855</v>
      </c>
      <c r="AT58" s="150" t="s">
        <v>6957</v>
      </c>
      <c r="AU58" s="148" t="s">
        <v>6874</v>
      </c>
      <c r="AW58" s="151" t="s">
        <v>6958</v>
      </c>
      <c r="AX58" s="152" t="s">
        <v>6875</v>
      </c>
      <c r="AZ58" s="153" t="s">
        <v>7042</v>
      </c>
      <c r="BA58" s="154" t="s">
        <v>7125</v>
      </c>
      <c r="BM58" s="155" t="s">
        <v>7331</v>
      </c>
      <c r="BN58" s="155" t="s">
        <v>175</v>
      </c>
      <c r="BO58" s="155" t="s">
        <v>18</v>
      </c>
      <c r="BP58" s="155" t="s">
        <v>7466</v>
      </c>
      <c r="BQ58" s="155" t="s">
        <v>7467</v>
      </c>
      <c r="BR58" s="155" t="s">
        <v>150</v>
      </c>
      <c r="CA58" s="161" t="s">
        <v>7672</v>
      </c>
      <c r="CB58" s="160" t="s">
        <v>7638</v>
      </c>
      <c r="CD58" s="162" t="s">
        <v>7748</v>
      </c>
      <c r="CE58" s="162" t="s">
        <v>171</v>
      </c>
    </row>
    <row r="59" spans="2:83" x14ac:dyDescent="0.25">
      <c r="B59" s="10" t="s">
        <v>4685</v>
      </c>
      <c r="C59" s="13">
        <v>16</v>
      </c>
      <c r="D59" s="139"/>
      <c r="H59" s="139"/>
      <c r="I59" s="109" t="s">
        <v>5183</v>
      </c>
      <c r="J59" s="109" t="s">
        <v>3346</v>
      </c>
      <c r="O59" s="114" t="s">
        <v>4433</v>
      </c>
      <c r="P59" s="114" t="s">
        <v>4432</v>
      </c>
      <c r="R59" s="114"/>
      <c r="X59" s="139"/>
      <c r="AA59" s="139"/>
      <c r="AH59" s="123" t="s">
        <v>4723</v>
      </c>
      <c r="AI59" s="123">
        <v>901</v>
      </c>
      <c r="AJ59" s="139"/>
      <c r="AQ59" t="s">
        <v>6937</v>
      </c>
      <c r="AR59" t="s">
        <v>6856</v>
      </c>
      <c r="AT59" s="150" t="s">
        <v>6958</v>
      </c>
      <c r="AU59" s="148" t="s">
        <v>6875</v>
      </c>
      <c r="AW59" s="151" t="s">
        <v>6959</v>
      </c>
      <c r="AX59" s="152" t="s">
        <v>6876</v>
      </c>
      <c r="AZ59" s="153" t="s">
        <v>7043</v>
      </c>
      <c r="BA59" s="154" t="s">
        <v>7126</v>
      </c>
      <c r="BM59" s="155" t="s">
        <v>7332</v>
      </c>
      <c r="BN59" s="155" t="s">
        <v>7333</v>
      </c>
      <c r="BO59" s="155" t="s">
        <v>18</v>
      </c>
      <c r="BP59" s="155" t="s">
        <v>7468</v>
      </c>
      <c r="BQ59" s="155" t="s">
        <v>7469</v>
      </c>
      <c r="BR59" s="155" t="s">
        <v>150</v>
      </c>
      <c r="CA59" s="161" t="s">
        <v>7673</v>
      </c>
      <c r="CB59" s="160" t="s">
        <v>7639</v>
      </c>
      <c r="CD59" s="162" t="s">
        <v>7749</v>
      </c>
      <c r="CE59" s="162" t="s">
        <v>186</v>
      </c>
    </row>
    <row r="60" spans="2:83" x14ac:dyDescent="0.25">
      <c r="B60" s="10" t="s">
        <v>4686</v>
      </c>
      <c r="C60" s="13">
        <v>17</v>
      </c>
      <c r="D60" s="139"/>
      <c r="H60" s="139"/>
      <c r="I60" s="109" t="s">
        <v>5184</v>
      </c>
      <c r="J60" s="109" t="s">
        <v>3347</v>
      </c>
      <c r="O60" s="114" t="s">
        <v>4435</v>
      </c>
      <c r="P60" s="114" t="s">
        <v>4434</v>
      </c>
      <c r="R60" s="114"/>
      <c r="X60" s="139"/>
      <c r="AA60" s="139"/>
      <c r="AH60" s="123" t="s">
        <v>4724</v>
      </c>
      <c r="AI60" s="123">
        <v>1501</v>
      </c>
      <c r="AJ60" s="139"/>
      <c r="AQ60" t="s">
        <v>6938</v>
      </c>
      <c r="AR60" t="s">
        <v>6857</v>
      </c>
      <c r="AT60" s="150" t="s">
        <v>6959</v>
      </c>
      <c r="AU60" s="148" t="s">
        <v>6876</v>
      </c>
      <c r="AW60" s="151" t="s">
        <v>6960</v>
      </c>
      <c r="AX60" s="152" t="s">
        <v>6877</v>
      </c>
      <c r="AZ60" s="153" t="s">
        <v>7044</v>
      </c>
      <c r="BA60" s="154" t="s">
        <v>7127</v>
      </c>
      <c r="BM60" s="155" t="s">
        <v>7334</v>
      </c>
      <c r="BN60" s="155" t="s">
        <v>3240</v>
      </c>
      <c r="BO60" s="155" t="s">
        <v>240</v>
      </c>
      <c r="BP60" s="155" t="s">
        <v>7470</v>
      </c>
      <c r="BQ60" s="155" t="s">
        <v>7471</v>
      </c>
      <c r="BR60" s="155" t="s">
        <v>150</v>
      </c>
      <c r="CA60" s="161" t="s">
        <v>7674</v>
      </c>
      <c r="CB60" s="160" t="s">
        <v>7640</v>
      </c>
      <c r="CD60" s="162" t="s">
        <v>7774</v>
      </c>
      <c r="CE60" s="162" t="s">
        <v>7726</v>
      </c>
    </row>
    <row r="61" spans="2:83" ht="15.75" customHeight="1" x14ac:dyDescent="0.25">
      <c r="B61" s="10" t="s">
        <v>4687</v>
      </c>
      <c r="C61" s="13">
        <v>18</v>
      </c>
      <c r="D61" s="139"/>
      <c r="H61" s="139"/>
      <c r="I61" s="109" t="s">
        <v>5185</v>
      </c>
      <c r="J61" s="109" t="s">
        <v>3348</v>
      </c>
      <c r="O61" s="114" t="s">
        <v>4437</v>
      </c>
      <c r="P61" s="114" t="s">
        <v>4436</v>
      </c>
      <c r="R61" s="114"/>
      <c r="X61" s="139"/>
      <c r="AA61" s="139"/>
      <c r="AH61" s="123" t="s">
        <v>4725</v>
      </c>
      <c r="AI61" s="123">
        <v>1000</v>
      </c>
      <c r="AJ61" s="139"/>
      <c r="AQ61" t="s">
        <v>6939</v>
      </c>
      <c r="AR61" t="s">
        <v>6858</v>
      </c>
      <c r="AT61" s="150" t="s">
        <v>6960</v>
      </c>
      <c r="AU61" s="148" t="s">
        <v>6877</v>
      </c>
      <c r="AW61" s="151" t="s">
        <v>6961</v>
      </c>
      <c r="AX61" s="152" t="s">
        <v>6878</v>
      </c>
      <c r="AZ61" s="153" t="s">
        <v>7045</v>
      </c>
      <c r="BA61" s="154" t="s">
        <v>7128</v>
      </c>
      <c r="BM61" s="155" t="s">
        <v>7335</v>
      </c>
      <c r="BN61" s="155" t="s">
        <v>3241</v>
      </c>
      <c r="BO61" s="155" t="s">
        <v>240</v>
      </c>
      <c r="BP61" s="155" t="s">
        <v>7472</v>
      </c>
      <c r="BQ61" s="155" t="s">
        <v>7473</v>
      </c>
      <c r="BR61" s="155" t="s">
        <v>150</v>
      </c>
      <c r="CA61" s="161" t="s">
        <v>7675</v>
      </c>
      <c r="CB61" s="160" t="s">
        <v>7641</v>
      </c>
      <c r="CD61" s="162" t="s">
        <v>7775</v>
      </c>
      <c r="CE61" s="162" t="s">
        <v>7727</v>
      </c>
    </row>
    <row r="62" spans="2:83" x14ac:dyDescent="0.25">
      <c r="B62" s="10" t="s">
        <v>4688</v>
      </c>
      <c r="C62" s="13">
        <v>24</v>
      </c>
      <c r="D62" s="139"/>
      <c r="H62" s="139"/>
      <c r="I62" s="109" t="s">
        <v>5186</v>
      </c>
      <c r="J62" s="109" t="s">
        <v>3349</v>
      </c>
      <c r="O62" s="114" t="s">
        <v>4439</v>
      </c>
      <c r="P62" s="114" t="s">
        <v>4438</v>
      </c>
      <c r="R62" s="114"/>
      <c r="X62" s="139"/>
      <c r="AA62" s="139"/>
      <c r="AH62" s="123" t="s">
        <v>4726</v>
      </c>
      <c r="AI62" s="123">
        <v>1800</v>
      </c>
      <c r="AJ62" s="139"/>
      <c r="AQ62" t="s">
        <v>6940</v>
      </c>
      <c r="AR62" t="s">
        <v>6859</v>
      </c>
      <c r="AT62" s="150" t="s">
        <v>6961</v>
      </c>
      <c r="AU62" s="148" t="s">
        <v>6878</v>
      </c>
      <c r="AW62" s="151" t="s">
        <v>6962</v>
      </c>
      <c r="AX62" s="152" t="s">
        <v>513</v>
      </c>
      <c r="AZ62" s="153" t="s">
        <v>7046</v>
      </c>
      <c r="BA62" s="154" t="s">
        <v>7129</v>
      </c>
      <c r="BM62" s="155" t="s">
        <v>7336</v>
      </c>
      <c r="BN62" s="155" t="s">
        <v>3242</v>
      </c>
      <c r="BO62" s="155" t="s">
        <v>240</v>
      </c>
      <c r="BP62" s="155" t="s">
        <v>7474</v>
      </c>
      <c r="BQ62" s="155" t="s">
        <v>3237</v>
      </c>
      <c r="BR62" s="155" t="s">
        <v>150</v>
      </c>
      <c r="CA62" s="161" t="s">
        <v>7676</v>
      </c>
      <c r="CB62" s="160" t="s">
        <v>7642</v>
      </c>
      <c r="CD62" s="162" t="s">
        <v>7776</v>
      </c>
      <c r="CE62" s="162" t="s">
        <v>7728</v>
      </c>
    </row>
    <row r="63" spans="2:83" x14ac:dyDescent="0.25">
      <c r="B63" s="10" t="s">
        <v>4689</v>
      </c>
      <c r="C63" s="13">
        <v>20</v>
      </c>
      <c r="D63" s="139"/>
      <c r="H63" s="139"/>
      <c r="I63" s="109" t="s">
        <v>5187</v>
      </c>
      <c r="J63" s="109" t="s">
        <v>3350</v>
      </c>
      <c r="O63" s="114" t="s">
        <v>4441</v>
      </c>
      <c r="P63" s="114" t="s">
        <v>4440</v>
      </c>
      <c r="R63" s="114"/>
      <c r="X63" s="139"/>
      <c r="AA63" s="139"/>
      <c r="AH63" s="123" t="s">
        <v>4727</v>
      </c>
      <c r="AI63" s="123">
        <v>156</v>
      </c>
      <c r="AJ63" s="139"/>
      <c r="AQ63" t="s">
        <v>6941</v>
      </c>
      <c r="AR63" t="s">
        <v>6860</v>
      </c>
      <c r="AT63" s="150" t="s">
        <v>6962</v>
      </c>
      <c r="AU63" s="148" t="s">
        <v>513</v>
      </c>
      <c r="AW63" s="151" t="s">
        <v>6963</v>
      </c>
      <c r="AX63" s="152" t="s">
        <v>6879</v>
      </c>
      <c r="AZ63" s="153" t="s">
        <v>7047</v>
      </c>
      <c r="BA63" s="154" t="s">
        <v>7130</v>
      </c>
      <c r="BM63" s="155" t="s">
        <v>7337</v>
      </c>
      <c r="BN63" s="155" t="s">
        <v>7338</v>
      </c>
      <c r="BO63" s="155" t="s">
        <v>240</v>
      </c>
      <c r="BP63" s="155" t="s">
        <v>7475</v>
      </c>
      <c r="BQ63" s="155" t="s">
        <v>7476</v>
      </c>
      <c r="BR63" s="155" t="s">
        <v>150</v>
      </c>
      <c r="CA63" s="161" t="s">
        <v>7668</v>
      </c>
      <c r="CB63" s="160" t="s">
        <v>7635</v>
      </c>
      <c r="CD63" s="162" t="s">
        <v>7777</v>
      </c>
      <c r="CE63" s="162" t="s">
        <v>7729</v>
      </c>
    </row>
    <row r="64" spans="2:83" x14ac:dyDescent="0.25">
      <c r="B64" s="10" t="s">
        <v>4690</v>
      </c>
      <c r="C64" s="13">
        <v>21</v>
      </c>
      <c r="D64" s="139"/>
      <c r="H64" s="139"/>
      <c r="I64" s="109" t="s">
        <v>5188</v>
      </c>
      <c r="J64" s="109" t="s">
        <v>3351</v>
      </c>
      <c r="O64" s="114" t="s">
        <v>4443</v>
      </c>
      <c r="P64" s="114" t="s">
        <v>4442</v>
      </c>
      <c r="R64" s="114"/>
      <c r="X64" s="139"/>
      <c r="AA64" s="139"/>
      <c r="AH64" s="123" t="s">
        <v>4728</v>
      </c>
      <c r="AI64" s="123">
        <v>8001</v>
      </c>
      <c r="AJ64" s="139"/>
      <c r="AQ64" t="s">
        <v>6942</v>
      </c>
      <c r="AR64" t="s">
        <v>6861</v>
      </c>
      <c r="AT64" s="150" t="s">
        <v>6963</v>
      </c>
      <c r="AU64" s="148" t="s">
        <v>6879</v>
      </c>
      <c r="AW64" s="151" t="s">
        <v>6964</v>
      </c>
      <c r="AX64" s="152" t="s">
        <v>6880</v>
      </c>
      <c r="AZ64" s="153" t="s">
        <v>7048</v>
      </c>
      <c r="BA64" s="154" t="s">
        <v>7131</v>
      </c>
      <c r="BM64" s="155" t="s">
        <v>7339</v>
      </c>
      <c r="BN64" s="155" t="s">
        <v>7340</v>
      </c>
      <c r="BO64" s="155" t="s">
        <v>20</v>
      </c>
      <c r="BP64" s="155" t="s">
        <v>7477</v>
      </c>
      <c r="BQ64" s="155" t="s">
        <v>7478</v>
      </c>
      <c r="BR64" s="155" t="s">
        <v>150</v>
      </c>
      <c r="CA64" s="161" t="s">
        <v>7677</v>
      </c>
      <c r="CB64" s="160" t="s">
        <v>7643</v>
      </c>
      <c r="CD64" s="162" t="s">
        <v>7778</v>
      </c>
      <c r="CE64" s="162" t="s">
        <v>235</v>
      </c>
    </row>
    <row r="65" spans="2:83" x14ac:dyDescent="0.25">
      <c r="B65" s="10" t="s">
        <v>4691</v>
      </c>
      <c r="C65" s="13">
        <v>28</v>
      </c>
      <c r="D65" s="139"/>
      <c r="H65" s="139"/>
      <c r="I65" s="109" t="s">
        <v>5189</v>
      </c>
      <c r="J65" s="109" t="s">
        <v>3352</v>
      </c>
      <c r="O65" s="114" t="s">
        <v>4445</v>
      </c>
      <c r="P65" s="114" t="s">
        <v>4444</v>
      </c>
      <c r="R65" s="114"/>
      <c r="X65" s="139"/>
      <c r="AA65" s="139"/>
      <c r="AH65" s="123" t="s">
        <v>4729</v>
      </c>
      <c r="AI65" s="123">
        <v>8002</v>
      </c>
      <c r="AJ65" s="139"/>
      <c r="AQ65" t="s">
        <v>6943</v>
      </c>
      <c r="AR65" t="s">
        <v>6862</v>
      </c>
      <c r="AT65" s="150" t="s">
        <v>6964</v>
      </c>
      <c r="AU65" s="148" t="s">
        <v>6880</v>
      </c>
      <c r="AW65" s="151" t="s">
        <v>6965</v>
      </c>
      <c r="AX65" s="152" t="s">
        <v>6881</v>
      </c>
      <c r="AZ65" s="153" t="s">
        <v>7049</v>
      </c>
      <c r="BA65" s="154" t="s">
        <v>7132</v>
      </c>
      <c r="BM65" s="155" t="s">
        <v>7341</v>
      </c>
      <c r="BN65" s="155" t="s">
        <v>161</v>
      </c>
      <c r="BO65" s="155" t="s">
        <v>20</v>
      </c>
      <c r="BP65" s="155" t="s">
        <v>7479</v>
      </c>
      <c r="BQ65" s="155" t="s">
        <v>3234</v>
      </c>
      <c r="BR65" s="155" t="s">
        <v>150</v>
      </c>
      <c r="CA65" s="161" t="s">
        <v>7674</v>
      </c>
      <c r="CB65" s="160" t="s">
        <v>7640</v>
      </c>
      <c r="CD65" s="162" t="s">
        <v>7779</v>
      </c>
      <c r="CE65" s="162" t="s">
        <v>251</v>
      </c>
    </row>
    <row r="66" spans="2:83" x14ac:dyDescent="0.25">
      <c r="B66" s="10" t="s">
        <v>4692</v>
      </c>
      <c r="C66" s="13">
        <v>30</v>
      </c>
      <c r="D66" s="139"/>
      <c r="H66" s="139"/>
      <c r="I66" s="109" t="s">
        <v>5190</v>
      </c>
      <c r="J66" s="109" t="s">
        <v>3353</v>
      </c>
      <c r="O66" s="114" t="s">
        <v>4447</v>
      </c>
      <c r="P66" s="114" t="s">
        <v>4446</v>
      </c>
      <c r="R66" s="114"/>
      <c r="X66" s="139"/>
      <c r="AA66" s="139"/>
      <c r="AH66" s="123" t="s">
        <v>4730</v>
      </c>
      <c r="AI66" s="123">
        <v>8003</v>
      </c>
      <c r="AJ66" s="139"/>
      <c r="AQ66" t="s">
        <v>6944</v>
      </c>
      <c r="AR66" t="s">
        <v>6863</v>
      </c>
      <c r="AT66" s="150" t="s">
        <v>6965</v>
      </c>
      <c r="AU66" s="148" t="s">
        <v>6881</v>
      </c>
      <c r="AW66" s="151" t="s">
        <v>6966</v>
      </c>
      <c r="AX66" s="152" t="s">
        <v>6882</v>
      </c>
      <c r="AZ66" s="153" t="s">
        <v>7050</v>
      </c>
      <c r="BA66" s="154" t="s">
        <v>7133</v>
      </c>
      <c r="BM66" s="155" t="s">
        <v>7342</v>
      </c>
      <c r="BN66" s="155" t="s">
        <v>7343</v>
      </c>
      <c r="BO66" s="155" t="s">
        <v>20</v>
      </c>
      <c r="BP66" s="155" t="s">
        <v>7480</v>
      </c>
      <c r="BQ66" s="155" t="s">
        <v>7481</v>
      </c>
      <c r="BR66" s="155" t="s">
        <v>150</v>
      </c>
      <c r="CA66" s="161" t="s">
        <v>7675</v>
      </c>
      <c r="CB66" s="160" t="s">
        <v>7641</v>
      </c>
      <c r="CD66" s="162" t="s">
        <v>7780</v>
      </c>
      <c r="CE66" s="162" t="s">
        <v>257</v>
      </c>
    </row>
    <row r="67" spans="2:83" x14ac:dyDescent="0.25">
      <c r="B67" s="10" t="s">
        <v>4693</v>
      </c>
      <c r="C67" s="13">
        <v>35</v>
      </c>
      <c r="D67" s="139"/>
      <c r="H67" s="139"/>
      <c r="I67" s="109" t="s">
        <v>5191</v>
      </c>
      <c r="J67" s="109" t="s">
        <v>3354</v>
      </c>
      <c r="O67" s="114" t="s">
        <v>4449</v>
      </c>
      <c r="P67" s="114" t="s">
        <v>4448</v>
      </c>
      <c r="R67" s="114"/>
      <c r="X67" s="139"/>
      <c r="AA67" s="139"/>
      <c r="AH67" s="123" t="s">
        <v>4731</v>
      </c>
      <c r="AI67" s="123">
        <v>8004</v>
      </c>
      <c r="AJ67" s="139"/>
      <c r="AQ67" t="s">
        <v>6945</v>
      </c>
      <c r="AR67" t="s">
        <v>15</v>
      </c>
      <c r="AT67" s="150" t="s">
        <v>6966</v>
      </c>
      <c r="AU67" s="148" t="s">
        <v>6882</v>
      </c>
      <c r="AW67" s="151" t="s">
        <v>6967</v>
      </c>
      <c r="AX67" s="152" t="s">
        <v>6883</v>
      </c>
      <c r="AZ67" s="153" t="s">
        <v>7051</v>
      </c>
      <c r="BA67" s="154" t="s">
        <v>7134</v>
      </c>
      <c r="BM67" s="155" t="s">
        <v>7344</v>
      </c>
      <c r="BN67" s="155" t="s">
        <v>177</v>
      </c>
      <c r="BO67" s="155" t="s">
        <v>20</v>
      </c>
      <c r="BP67" s="155" t="s">
        <v>7482</v>
      </c>
      <c r="BQ67" s="155" t="s">
        <v>7483</v>
      </c>
      <c r="BR67" s="155" t="s">
        <v>150</v>
      </c>
      <c r="CA67" s="161" t="s">
        <v>7676</v>
      </c>
      <c r="CB67" s="160" t="s">
        <v>7642</v>
      </c>
      <c r="CD67" s="162" t="s">
        <v>7777</v>
      </c>
      <c r="CE67" s="162" t="s">
        <v>7729</v>
      </c>
    </row>
    <row r="68" spans="2:83" x14ac:dyDescent="0.25">
      <c r="B68" s="10" t="s">
        <v>4694</v>
      </c>
      <c r="C68" s="13">
        <v>49</v>
      </c>
      <c r="D68" s="139"/>
      <c r="H68" s="139"/>
      <c r="I68" s="109" t="s">
        <v>5192</v>
      </c>
      <c r="J68" s="109" t="s">
        <v>3355</v>
      </c>
      <c r="O68" s="114" t="s">
        <v>4451</v>
      </c>
      <c r="P68" s="114" t="s">
        <v>4450</v>
      </c>
      <c r="R68" s="114"/>
      <c r="X68" s="139"/>
      <c r="AA68" s="139"/>
      <c r="AH68" s="123" t="s">
        <v>4732</v>
      </c>
      <c r="AI68" s="123">
        <v>8005</v>
      </c>
      <c r="AJ68" s="139"/>
      <c r="AQ68" t="s">
        <v>6946</v>
      </c>
      <c r="AR68" t="s">
        <v>6864</v>
      </c>
      <c r="AT68" s="150" t="s">
        <v>6967</v>
      </c>
      <c r="AU68" s="148" t="s">
        <v>6883</v>
      </c>
      <c r="AW68" s="151" t="s">
        <v>6968</v>
      </c>
      <c r="AX68" s="152" t="s">
        <v>6884</v>
      </c>
      <c r="AZ68" s="153" t="s">
        <v>7052</v>
      </c>
      <c r="BA68" s="154" t="s">
        <v>7135</v>
      </c>
      <c r="BM68" s="155" t="s">
        <v>7345</v>
      </c>
      <c r="BN68" s="155" t="s">
        <v>191</v>
      </c>
      <c r="BO68" s="155" t="s">
        <v>20</v>
      </c>
      <c r="BP68" s="155" t="s">
        <v>7484</v>
      </c>
      <c r="BQ68" s="155" t="s">
        <v>7485</v>
      </c>
      <c r="BR68" s="155" t="s">
        <v>150</v>
      </c>
      <c r="CA68" s="161" t="s">
        <v>7668</v>
      </c>
      <c r="CB68" s="160" t="s">
        <v>7635</v>
      </c>
      <c r="CD68" s="162" t="s">
        <v>7778</v>
      </c>
      <c r="CE68" s="162" t="s">
        <v>235</v>
      </c>
    </row>
    <row r="69" spans="2:83" x14ac:dyDescent="0.25">
      <c r="B69" s="10" t="s">
        <v>4695</v>
      </c>
      <c r="C69" s="13">
        <v>52</v>
      </c>
      <c r="D69" s="139"/>
      <c r="H69" s="139"/>
      <c r="I69" s="109" t="s">
        <v>5193</v>
      </c>
      <c r="J69" s="109" t="s">
        <v>3356</v>
      </c>
      <c r="O69" s="114" t="s">
        <v>4453</v>
      </c>
      <c r="P69" s="114" t="s">
        <v>4452</v>
      </c>
      <c r="R69" s="114"/>
      <c r="X69" s="139"/>
      <c r="AA69" s="139"/>
      <c r="AH69" s="123" t="s">
        <v>4733</v>
      </c>
      <c r="AI69" s="123">
        <v>8006</v>
      </c>
      <c r="AJ69" s="139"/>
      <c r="AQ69" t="s">
        <v>6947</v>
      </c>
      <c r="AR69" t="s">
        <v>6865</v>
      </c>
      <c r="AT69" s="150" t="s">
        <v>6968</v>
      </c>
      <c r="AU69" s="148" t="s">
        <v>6884</v>
      </c>
      <c r="AW69" s="151" t="s">
        <v>6969</v>
      </c>
      <c r="AX69" s="152" t="s">
        <v>3193</v>
      </c>
      <c r="AZ69" s="153" t="s">
        <v>7053</v>
      </c>
      <c r="BA69" s="154" t="s">
        <v>7136</v>
      </c>
      <c r="BM69" s="155" t="s">
        <v>7346</v>
      </c>
      <c r="BN69" s="155" t="s">
        <v>203</v>
      </c>
      <c r="BO69" s="155" t="s">
        <v>20</v>
      </c>
      <c r="BP69" s="155" t="s">
        <v>7486</v>
      </c>
      <c r="BQ69" s="155" t="s">
        <v>7487</v>
      </c>
      <c r="BR69" s="155" t="s">
        <v>150</v>
      </c>
      <c r="CA69" s="161" t="s">
        <v>7677</v>
      </c>
      <c r="CB69" s="160" t="s">
        <v>7643</v>
      </c>
      <c r="CD69" s="162" t="s">
        <v>7781</v>
      </c>
      <c r="CE69" s="162" t="s">
        <v>244</v>
      </c>
    </row>
    <row r="70" spans="2:83" x14ac:dyDescent="0.25">
      <c r="B70" s="10" t="s">
        <v>4696</v>
      </c>
      <c r="C70" s="13">
        <v>84</v>
      </c>
      <c r="D70" s="139"/>
      <c r="H70" s="139"/>
      <c r="I70" s="109" t="s">
        <v>5194</v>
      </c>
      <c r="J70" s="109" t="s">
        <v>3357</v>
      </c>
      <c r="O70" s="114" t="s">
        <v>4455</v>
      </c>
      <c r="P70" s="114" t="s">
        <v>4454</v>
      </c>
      <c r="R70" s="114"/>
      <c r="X70" s="139"/>
      <c r="AA70" s="139"/>
      <c r="AH70" s="123" t="s">
        <v>4734</v>
      </c>
      <c r="AI70" s="123">
        <v>8007</v>
      </c>
      <c r="AJ70" s="139"/>
      <c r="AQ70" t="s">
        <v>6948</v>
      </c>
      <c r="AR70" t="s">
        <v>6866</v>
      </c>
      <c r="AT70" s="150" t="s">
        <v>6969</v>
      </c>
      <c r="AU70" s="148" t="s">
        <v>3193</v>
      </c>
      <c r="AW70" s="151" t="s">
        <v>6970</v>
      </c>
      <c r="AX70" s="152" t="s">
        <v>6885</v>
      </c>
      <c r="AZ70" s="153" t="s">
        <v>7054</v>
      </c>
      <c r="BA70" s="154" t="s">
        <v>7137</v>
      </c>
      <c r="BM70" s="155" t="s">
        <v>7347</v>
      </c>
      <c r="BN70" s="155" t="s">
        <v>7348</v>
      </c>
      <c r="BO70" s="155" t="s">
        <v>20</v>
      </c>
      <c r="BP70" s="155" t="s">
        <v>7488</v>
      </c>
      <c r="BQ70" s="155" t="s">
        <v>7489</v>
      </c>
      <c r="BR70" s="155" t="s">
        <v>150</v>
      </c>
      <c r="CA70" s="161" t="s">
        <v>7674</v>
      </c>
      <c r="CB70" s="160" t="s">
        <v>7640</v>
      </c>
      <c r="CD70" s="162" t="s">
        <v>7779</v>
      </c>
      <c r="CE70" s="162" t="s">
        <v>251</v>
      </c>
    </row>
    <row r="71" spans="2:83" ht="15.75" customHeight="1" x14ac:dyDescent="0.25">
      <c r="B71" s="10" t="s">
        <v>4697</v>
      </c>
      <c r="C71" s="13">
        <v>90</v>
      </c>
      <c r="D71" s="139"/>
      <c r="H71" s="139"/>
      <c r="I71" s="109" t="s">
        <v>5195</v>
      </c>
      <c r="J71" s="109" t="s">
        <v>3358</v>
      </c>
      <c r="O71" s="114" t="s">
        <v>4457</v>
      </c>
      <c r="P71" s="114" t="s">
        <v>4456</v>
      </c>
      <c r="R71" s="114"/>
      <c r="X71" s="139"/>
      <c r="AA71" s="139"/>
      <c r="AH71" s="123" t="s">
        <v>4735</v>
      </c>
      <c r="AI71" s="123">
        <v>8008</v>
      </c>
      <c r="AJ71" s="139"/>
      <c r="AQ71" t="s">
        <v>6949</v>
      </c>
      <c r="AR71" t="s">
        <v>6867</v>
      </c>
      <c r="AT71" s="150" t="s">
        <v>6970</v>
      </c>
      <c r="AU71" s="148" t="s">
        <v>6885</v>
      </c>
      <c r="AW71" s="151" t="s">
        <v>6971</v>
      </c>
      <c r="AX71" s="152" t="s">
        <v>6886</v>
      </c>
      <c r="AZ71" s="153" t="s">
        <v>7055</v>
      </c>
      <c r="BA71" s="154" t="s">
        <v>7138</v>
      </c>
      <c r="BM71" s="155" t="s">
        <v>7349</v>
      </c>
      <c r="BN71" s="155" t="s">
        <v>214</v>
      </c>
      <c r="BO71" s="155" t="s">
        <v>20</v>
      </c>
      <c r="BP71" s="155" t="s">
        <v>7490</v>
      </c>
      <c r="BQ71" s="155" t="s">
        <v>7491</v>
      </c>
      <c r="BR71" s="155" t="s">
        <v>150</v>
      </c>
      <c r="CA71" s="161" t="s">
        <v>7675</v>
      </c>
      <c r="CB71" s="160" t="s">
        <v>7641</v>
      </c>
      <c r="CD71" s="162" t="s">
        <v>7780</v>
      </c>
      <c r="CE71" s="162" t="s">
        <v>257</v>
      </c>
    </row>
    <row r="72" spans="2:83" x14ac:dyDescent="0.25">
      <c r="B72" s="10" t="s">
        <v>4698</v>
      </c>
      <c r="C72" s="13">
        <v>91</v>
      </c>
      <c r="D72" s="139"/>
      <c r="H72" s="139"/>
      <c r="I72" s="109" t="s">
        <v>5196</v>
      </c>
      <c r="J72" s="109" t="s">
        <v>3359</v>
      </c>
      <c r="O72" s="114" t="s">
        <v>4459</v>
      </c>
      <c r="P72" s="114" t="s">
        <v>4458</v>
      </c>
      <c r="R72" s="114"/>
      <c r="X72" s="139"/>
      <c r="AA72" s="139"/>
      <c r="AH72" s="123" t="s">
        <v>4736</v>
      </c>
      <c r="AI72" s="123">
        <v>8009</v>
      </c>
      <c r="AJ72" s="139"/>
      <c r="AQ72" t="s">
        <v>6950</v>
      </c>
      <c r="AR72" t="s">
        <v>6868</v>
      </c>
      <c r="AT72" s="150" t="s">
        <v>6971</v>
      </c>
      <c r="AU72" s="148" t="s">
        <v>6886</v>
      </c>
      <c r="AW72" s="151" t="s">
        <v>6972</v>
      </c>
      <c r="AX72" s="152" t="s">
        <v>6887</v>
      </c>
      <c r="AZ72" s="153" t="s">
        <v>7056</v>
      </c>
      <c r="BA72" s="154" t="s">
        <v>7139</v>
      </c>
      <c r="BM72" s="155" t="s">
        <v>7350</v>
      </c>
      <c r="BN72" s="155" t="s">
        <v>7351</v>
      </c>
      <c r="BO72" s="155" t="s">
        <v>20</v>
      </c>
      <c r="BP72" s="155" t="s">
        <v>7492</v>
      </c>
      <c r="BQ72" s="155" t="s">
        <v>7493</v>
      </c>
      <c r="BR72" s="155" t="s">
        <v>150</v>
      </c>
      <c r="CA72" s="161" t="s">
        <v>7676</v>
      </c>
      <c r="CB72" s="160" t="s">
        <v>7642</v>
      </c>
      <c r="CD72" s="162" t="s">
        <v>7782</v>
      </c>
      <c r="CE72" s="162" t="s">
        <v>262</v>
      </c>
    </row>
    <row r="73" spans="2:83" x14ac:dyDescent="0.25">
      <c r="B73" s="10" t="s">
        <v>4699</v>
      </c>
      <c r="C73" s="13">
        <v>120</v>
      </c>
      <c r="D73" s="139"/>
      <c r="H73" s="139"/>
      <c r="I73" s="109" t="s">
        <v>5197</v>
      </c>
      <c r="J73" s="109" t="s">
        <v>3360</v>
      </c>
      <c r="O73" s="114" t="s">
        <v>4461</v>
      </c>
      <c r="P73" s="114" t="s">
        <v>4460</v>
      </c>
      <c r="R73" s="114"/>
      <c r="X73" s="139"/>
      <c r="AA73" s="139"/>
      <c r="AH73" s="123" t="s">
        <v>4737</v>
      </c>
      <c r="AI73" s="123">
        <v>8010</v>
      </c>
      <c r="AJ73" s="139"/>
      <c r="AQ73" t="s">
        <v>6951</v>
      </c>
      <c r="AR73" t="s">
        <v>6869</v>
      </c>
      <c r="AT73" s="150" t="s">
        <v>6972</v>
      </c>
      <c r="AU73" s="148" t="s">
        <v>6887</v>
      </c>
      <c r="AW73" s="151" t="s">
        <v>6973</v>
      </c>
      <c r="AX73" s="152" t="s">
        <v>6888</v>
      </c>
      <c r="AZ73" s="153" t="s">
        <v>7057</v>
      </c>
      <c r="BA73" s="154" t="s">
        <v>7140</v>
      </c>
      <c r="BM73" s="155" t="s">
        <v>7352</v>
      </c>
      <c r="BN73" s="155" t="s">
        <v>224</v>
      </c>
      <c r="BO73" s="155" t="s">
        <v>20</v>
      </c>
      <c r="BP73" s="155" t="s">
        <v>7494</v>
      </c>
      <c r="BQ73" s="155" t="s">
        <v>7495</v>
      </c>
      <c r="BR73" s="155" t="s">
        <v>150</v>
      </c>
      <c r="CA73" s="161" t="s">
        <v>7668</v>
      </c>
      <c r="CB73" s="160" t="s">
        <v>7635</v>
      </c>
      <c r="CD73" s="162" t="s">
        <v>7783</v>
      </c>
      <c r="CE73" s="162" t="s">
        <v>268</v>
      </c>
    </row>
    <row r="74" spans="2:83" x14ac:dyDescent="0.25">
      <c r="B74" s="10" t="s">
        <v>4700</v>
      </c>
      <c r="C74" s="13">
        <v>150</v>
      </c>
      <c r="D74" s="139"/>
      <c r="H74" s="139"/>
      <c r="I74" s="109" t="s">
        <v>5198</v>
      </c>
      <c r="J74" s="109" t="s">
        <v>3361</v>
      </c>
      <c r="O74" s="114" t="s">
        <v>4463</v>
      </c>
      <c r="P74" s="114" t="s">
        <v>4462</v>
      </c>
      <c r="R74" s="114"/>
      <c r="X74" s="139"/>
      <c r="AA74" s="139"/>
      <c r="AH74" s="123" t="s">
        <v>4738</v>
      </c>
      <c r="AI74" s="123">
        <v>8011</v>
      </c>
      <c r="AJ74" s="139"/>
      <c r="AQ74" t="s">
        <v>6952</v>
      </c>
      <c r="AR74" t="s">
        <v>6870</v>
      </c>
      <c r="AT74" s="150" t="s">
        <v>6973</v>
      </c>
      <c r="AU74" s="148" t="s">
        <v>6888</v>
      </c>
      <c r="AW74" s="151" t="s">
        <v>6974</v>
      </c>
      <c r="AX74" s="152" t="s">
        <v>6889</v>
      </c>
      <c r="AZ74" s="153" t="s">
        <v>7058</v>
      </c>
      <c r="BA74" s="154" t="s">
        <v>7141</v>
      </c>
      <c r="BM74" s="155" t="s">
        <v>7353</v>
      </c>
      <c r="BN74" s="155" t="s">
        <v>7354</v>
      </c>
      <c r="BO74" s="155" t="s">
        <v>20</v>
      </c>
      <c r="BP74" s="155" t="s">
        <v>7496</v>
      </c>
      <c r="BQ74" s="155" t="s">
        <v>3238</v>
      </c>
      <c r="BR74" s="155" t="s">
        <v>150</v>
      </c>
      <c r="CA74" s="161" t="s">
        <v>7677</v>
      </c>
      <c r="CB74" s="160" t="s">
        <v>7643</v>
      </c>
      <c r="CD74" s="159" t="s">
        <v>162</v>
      </c>
    </row>
    <row r="75" spans="2:83" x14ac:dyDescent="0.25">
      <c r="B75" s="10" t="s">
        <v>4701</v>
      </c>
      <c r="C75" s="13">
        <v>180</v>
      </c>
      <c r="D75" s="139"/>
      <c r="H75" s="139"/>
      <c r="I75" s="109" t="s">
        <v>5199</v>
      </c>
      <c r="J75" s="109" t="s">
        <v>3362</v>
      </c>
      <c r="O75" s="114" t="s">
        <v>4465</v>
      </c>
      <c r="P75" s="114" t="s">
        <v>4464</v>
      </c>
      <c r="R75" s="114"/>
      <c r="X75" s="139"/>
      <c r="AA75" s="139"/>
      <c r="AH75" s="123" t="s">
        <v>4739</v>
      </c>
      <c r="AI75" s="123">
        <v>8012</v>
      </c>
      <c r="AJ75" s="139"/>
      <c r="AQ75" t="s">
        <v>6953</v>
      </c>
      <c r="AR75" t="s">
        <v>6871</v>
      </c>
      <c r="AT75" s="150" t="s">
        <v>6974</v>
      </c>
      <c r="AU75" s="148" t="s">
        <v>6889</v>
      </c>
      <c r="AW75" s="151" t="s">
        <v>6975</v>
      </c>
      <c r="AX75" s="152" t="s">
        <v>6890</v>
      </c>
      <c r="AZ75" s="153" t="s">
        <v>7059</v>
      </c>
      <c r="BA75" s="154" t="s">
        <v>7142</v>
      </c>
      <c r="BM75" s="155" t="s">
        <v>7355</v>
      </c>
      <c r="BN75" s="155" t="s">
        <v>234</v>
      </c>
      <c r="BO75" s="155" t="s">
        <v>20</v>
      </c>
      <c r="BP75" s="155" t="s">
        <v>7497</v>
      </c>
      <c r="BQ75" s="155" t="s">
        <v>7498</v>
      </c>
      <c r="BR75" s="155" t="s">
        <v>150</v>
      </c>
      <c r="CA75" s="161" t="s">
        <v>7656</v>
      </c>
      <c r="CB75" s="160" t="s">
        <v>7626</v>
      </c>
    </row>
    <row r="76" spans="2:83" x14ac:dyDescent="0.25">
      <c r="B76" s="10" t="s">
        <v>4702</v>
      </c>
      <c r="C76" s="13">
        <v>182</v>
      </c>
      <c r="D76" s="139"/>
      <c r="H76" s="139"/>
      <c r="I76" s="109" t="s">
        <v>5200</v>
      </c>
      <c r="J76" s="109" t="s">
        <v>3363</v>
      </c>
      <c r="O76" s="114" t="s">
        <v>4467</v>
      </c>
      <c r="P76" s="114" t="s">
        <v>4466</v>
      </c>
      <c r="R76" s="114"/>
      <c r="X76" s="139"/>
      <c r="AA76" s="139"/>
      <c r="AH76" s="123" t="s">
        <v>4740</v>
      </c>
      <c r="AI76" s="123">
        <v>8013</v>
      </c>
      <c r="AJ76" s="139"/>
      <c r="AQ76" t="s">
        <v>6954</v>
      </c>
      <c r="AR76" t="s">
        <v>6872</v>
      </c>
      <c r="AT76" s="150" t="s">
        <v>6975</v>
      </c>
      <c r="AU76" s="148" t="s">
        <v>6890</v>
      </c>
      <c r="AW76" s="151" t="s">
        <v>6976</v>
      </c>
      <c r="AX76" s="152" t="s">
        <v>6891</v>
      </c>
      <c r="AZ76" s="153" t="s">
        <v>7060</v>
      </c>
      <c r="BA76" s="154" t="s">
        <v>912</v>
      </c>
      <c r="BM76" s="155" t="s">
        <v>7356</v>
      </c>
      <c r="BN76" s="155" t="s">
        <v>7357</v>
      </c>
      <c r="BO76" s="155" t="s">
        <v>20</v>
      </c>
      <c r="BP76" s="155" t="s">
        <v>7499</v>
      </c>
      <c r="BQ76" s="155" t="s">
        <v>7500</v>
      </c>
      <c r="BR76" s="155" t="s">
        <v>150</v>
      </c>
      <c r="CA76" s="161" t="s">
        <v>7657</v>
      </c>
      <c r="CB76" s="160" t="s">
        <v>7627</v>
      </c>
    </row>
    <row r="77" spans="2:83" x14ac:dyDescent="0.25">
      <c r="B77" s="10" t="s">
        <v>4703</v>
      </c>
      <c r="C77" s="13">
        <v>210</v>
      </c>
      <c r="D77" s="139"/>
      <c r="H77" s="139"/>
      <c r="I77" s="109" t="s">
        <v>5201</v>
      </c>
      <c r="J77" s="109" t="s">
        <v>3364</v>
      </c>
      <c r="O77" s="114" t="s">
        <v>4469</v>
      </c>
      <c r="P77" s="114" t="s">
        <v>4468</v>
      </c>
      <c r="R77" s="114"/>
      <c r="X77" s="139"/>
      <c r="AA77" s="139"/>
      <c r="AH77" s="123" t="s">
        <v>4741</v>
      </c>
      <c r="AI77" s="123">
        <v>8014</v>
      </c>
      <c r="AJ77" s="139"/>
      <c r="AQ77" t="s">
        <v>6955</v>
      </c>
      <c r="AR77" t="s">
        <v>6873</v>
      </c>
      <c r="AT77" s="150" t="s">
        <v>6976</v>
      </c>
      <c r="AU77" s="148" t="s">
        <v>6891</v>
      </c>
      <c r="AW77" s="151" t="s">
        <v>6977</v>
      </c>
      <c r="AX77" s="152" t="s">
        <v>6892</v>
      </c>
      <c r="AZ77" s="153" t="s">
        <v>7061</v>
      </c>
      <c r="BA77" s="154" t="s">
        <v>7143</v>
      </c>
      <c r="BM77" s="155" t="s">
        <v>7358</v>
      </c>
      <c r="BN77" s="155" t="s">
        <v>7359</v>
      </c>
      <c r="BO77" s="155" t="s">
        <v>20</v>
      </c>
      <c r="BP77" s="155" t="s">
        <v>7501</v>
      </c>
      <c r="BQ77" s="155" t="s">
        <v>7502</v>
      </c>
      <c r="BR77" s="155" t="s">
        <v>150</v>
      </c>
      <c r="CA77" s="161" t="s">
        <v>7672</v>
      </c>
      <c r="CB77" s="160" t="s">
        <v>7638</v>
      </c>
    </row>
    <row r="78" spans="2:83" x14ac:dyDescent="0.25">
      <c r="B78" s="10" t="s">
        <v>4704</v>
      </c>
      <c r="C78" s="13">
        <v>240</v>
      </c>
      <c r="D78" s="139"/>
      <c r="H78" s="139"/>
      <c r="I78" s="109" t="s">
        <v>5202</v>
      </c>
      <c r="J78" s="109" t="s">
        <v>3365</v>
      </c>
      <c r="O78" s="114" t="s">
        <v>4471</v>
      </c>
      <c r="P78" s="114" t="s">
        <v>4470</v>
      </c>
      <c r="R78" s="114"/>
      <c r="X78" s="139"/>
      <c r="AA78" s="139"/>
      <c r="AH78" s="123" t="s">
        <v>4742</v>
      </c>
      <c r="AI78" s="123">
        <v>8015</v>
      </c>
      <c r="AJ78" s="139"/>
      <c r="AQ78" t="s">
        <v>6956</v>
      </c>
      <c r="AR78" t="s">
        <v>492</v>
      </c>
      <c r="AT78" s="150" t="s">
        <v>6977</v>
      </c>
      <c r="AU78" s="148" t="s">
        <v>6892</v>
      </c>
      <c r="AW78" s="151" t="s">
        <v>6978</v>
      </c>
      <c r="AX78" s="152" t="s">
        <v>6893</v>
      </c>
      <c r="AZ78" s="153" t="s">
        <v>7062</v>
      </c>
      <c r="BA78" s="154" t="s">
        <v>7144</v>
      </c>
      <c r="BM78" s="155" t="s">
        <v>7360</v>
      </c>
      <c r="BN78" s="155" t="s">
        <v>243</v>
      </c>
      <c r="BO78" s="155" t="s">
        <v>20</v>
      </c>
      <c r="BP78" s="155" t="s">
        <v>7503</v>
      </c>
      <c r="BQ78" s="155" t="s">
        <v>7504</v>
      </c>
      <c r="BR78" s="155" t="s">
        <v>150</v>
      </c>
      <c r="CA78" s="161" t="s">
        <v>7673</v>
      </c>
      <c r="CB78" s="160" t="s">
        <v>7639</v>
      </c>
    </row>
    <row r="79" spans="2:83" x14ac:dyDescent="0.25">
      <c r="B79" s="10" t="s">
        <v>4705</v>
      </c>
      <c r="C79" s="13">
        <v>270</v>
      </c>
      <c r="D79" s="139"/>
      <c r="H79" s="139"/>
      <c r="I79" s="109" t="s">
        <v>5203</v>
      </c>
      <c r="J79" s="109" t="s">
        <v>3366</v>
      </c>
      <c r="O79" s="114" t="s">
        <v>4473</v>
      </c>
      <c r="P79" s="114" t="s">
        <v>4472</v>
      </c>
      <c r="R79" s="114"/>
      <c r="X79" s="139"/>
      <c r="AA79" s="139"/>
      <c r="AH79" s="123" t="s">
        <v>4743</v>
      </c>
      <c r="AI79" s="123">
        <v>8016</v>
      </c>
      <c r="AJ79" s="139"/>
      <c r="AQ79" t="s">
        <v>6957</v>
      </c>
      <c r="AR79" t="s">
        <v>6874</v>
      </c>
      <c r="AT79" s="150" t="s">
        <v>6978</v>
      </c>
      <c r="AU79" s="148" t="s">
        <v>6893</v>
      </c>
      <c r="AW79" s="151" t="s">
        <v>6979</v>
      </c>
      <c r="AX79" s="152" t="s">
        <v>6894</v>
      </c>
      <c r="AZ79" s="153" t="s">
        <v>7063</v>
      </c>
      <c r="BA79" s="154" t="s">
        <v>7145</v>
      </c>
      <c r="BM79" s="155" t="s">
        <v>7361</v>
      </c>
      <c r="BN79" s="155" t="s">
        <v>250</v>
      </c>
      <c r="BO79" s="155" t="s">
        <v>20</v>
      </c>
      <c r="BP79" s="155" t="s">
        <v>7505</v>
      </c>
      <c r="BQ79" s="155" t="s">
        <v>7506</v>
      </c>
      <c r="BR79" s="155" t="s">
        <v>150</v>
      </c>
      <c r="CA79" s="161" t="s">
        <v>7684</v>
      </c>
      <c r="CB79" s="160" t="s">
        <v>173</v>
      </c>
    </row>
    <row r="80" spans="2:83" x14ac:dyDescent="0.25">
      <c r="B80" s="10" t="s">
        <v>4706</v>
      </c>
      <c r="C80" s="13">
        <v>300</v>
      </c>
      <c r="D80" s="139"/>
      <c r="H80" s="139"/>
      <c r="I80" s="109" t="s">
        <v>5204</v>
      </c>
      <c r="J80" s="109" t="s">
        <v>3367</v>
      </c>
      <c r="O80" s="114" t="s">
        <v>4475</v>
      </c>
      <c r="P80" s="114" t="s">
        <v>4474</v>
      </c>
      <c r="R80" s="114"/>
      <c r="X80" s="139"/>
      <c r="AA80" s="139"/>
      <c r="AH80" s="123" t="s">
        <v>4744</v>
      </c>
      <c r="AI80" s="123">
        <v>8017</v>
      </c>
      <c r="AJ80" s="139"/>
      <c r="AQ80" t="s">
        <v>6958</v>
      </c>
      <c r="AR80" t="s">
        <v>6875</v>
      </c>
      <c r="AT80" s="150" t="s">
        <v>6979</v>
      </c>
      <c r="AU80" s="148" t="s">
        <v>6894</v>
      </c>
      <c r="AW80" s="151" t="s">
        <v>6980</v>
      </c>
      <c r="AX80" s="152" t="s">
        <v>6895</v>
      </c>
      <c r="AZ80" s="153" t="s">
        <v>7064</v>
      </c>
      <c r="BA80" s="154" t="s">
        <v>7146</v>
      </c>
      <c r="BM80" s="155" t="s">
        <v>7362</v>
      </c>
      <c r="BN80" s="155" t="s">
        <v>7363</v>
      </c>
      <c r="BO80" s="155" t="s">
        <v>20</v>
      </c>
      <c r="BP80" s="155" t="s">
        <v>7507</v>
      </c>
      <c r="BQ80" s="155" t="s">
        <v>7508</v>
      </c>
      <c r="BR80" s="155" t="s">
        <v>150</v>
      </c>
      <c r="CA80" s="161" t="s">
        <v>7685</v>
      </c>
      <c r="CB80" s="160" t="s">
        <v>212</v>
      </c>
    </row>
    <row r="81" spans="2:80" x14ac:dyDescent="0.25">
      <c r="B81" s="10" t="s">
        <v>4707</v>
      </c>
      <c r="C81" s="13">
        <v>301</v>
      </c>
      <c r="D81" s="139"/>
      <c r="H81" s="139"/>
      <c r="I81" s="109" t="s">
        <v>5205</v>
      </c>
      <c r="J81" s="109" t="s">
        <v>3368</v>
      </c>
      <c r="O81" s="114" t="s">
        <v>4477</v>
      </c>
      <c r="P81" s="114" t="s">
        <v>4476</v>
      </c>
      <c r="R81" s="114"/>
      <c r="X81" s="139"/>
      <c r="AA81" s="139"/>
      <c r="AH81" s="123" t="s">
        <v>4745</v>
      </c>
      <c r="AI81" s="123">
        <v>8018</v>
      </c>
      <c r="AJ81" s="139"/>
      <c r="AQ81" t="s">
        <v>6959</v>
      </c>
      <c r="AR81" t="s">
        <v>6876</v>
      </c>
      <c r="AT81" s="150" t="s">
        <v>6980</v>
      </c>
      <c r="AU81" s="148" t="s">
        <v>6895</v>
      </c>
      <c r="AW81" s="151" t="s">
        <v>6981</v>
      </c>
      <c r="AX81" s="152" t="s">
        <v>6896</v>
      </c>
      <c r="AZ81" s="153" t="s">
        <v>7065</v>
      </c>
      <c r="BA81" s="154" t="s">
        <v>7147</v>
      </c>
      <c r="BM81" s="155" t="s">
        <v>7364</v>
      </c>
      <c r="BN81" s="155" t="s">
        <v>256</v>
      </c>
      <c r="BO81" s="155" t="s">
        <v>20</v>
      </c>
      <c r="BP81" s="155" t="s">
        <v>7509</v>
      </c>
      <c r="BQ81" s="155" t="s">
        <v>7510</v>
      </c>
      <c r="BR81" s="155" t="s">
        <v>150</v>
      </c>
      <c r="CA81" s="161" t="s">
        <v>7684</v>
      </c>
      <c r="CB81" s="160" t="s">
        <v>173</v>
      </c>
    </row>
    <row r="82" spans="2:80" x14ac:dyDescent="0.25">
      <c r="B82" s="10" t="s">
        <v>4708</v>
      </c>
      <c r="C82" s="13">
        <v>330</v>
      </c>
      <c r="D82" s="139"/>
      <c r="H82" s="139"/>
      <c r="I82" s="109" t="s">
        <v>5206</v>
      </c>
      <c r="J82" s="109" t="s">
        <v>3369</v>
      </c>
      <c r="O82" s="114" t="s">
        <v>4478</v>
      </c>
      <c r="P82" s="114" t="s">
        <v>4478</v>
      </c>
      <c r="R82" s="114"/>
      <c r="X82" s="139"/>
      <c r="AA82" s="139"/>
      <c r="AH82" s="123" t="s">
        <v>4746</v>
      </c>
      <c r="AI82" s="123">
        <v>8019</v>
      </c>
      <c r="AJ82" s="139"/>
      <c r="AQ82" t="s">
        <v>6960</v>
      </c>
      <c r="AR82" t="s">
        <v>6877</v>
      </c>
      <c r="AT82" s="150" t="s">
        <v>6981</v>
      </c>
      <c r="AU82" s="148" t="s">
        <v>6896</v>
      </c>
      <c r="AW82" s="151" t="s">
        <v>6982</v>
      </c>
      <c r="AX82" s="152" t="s">
        <v>6897</v>
      </c>
      <c r="AZ82" s="153" t="s">
        <v>7066</v>
      </c>
      <c r="BA82" s="154" t="s">
        <v>7148</v>
      </c>
      <c r="BM82" s="155" t="s">
        <v>7365</v>
      </c>
      <c r="BN82" s="155" t="s">
        <v>261</v>
      </c>
      <c r="BO82" s="155" t="s">
        <v>20</v>
      </c>
      <c r="BP82" s="155" t="s">
        <v>7414</v>
      </c>
      <c r="BQ82" s="155" t="s">
        <v>7415</v>
      </c>
      <c r="BR82" s="155" t="s">
        <v>7279</v>
      </c>
      <c r="CA82" s="161" t="s">
        <v>7685</v>
      </c>
      <c r="CB82" s="160" t="s">
        <v>212</v>
      </c>
    </row>
    <row r="83" spans="2:80" x14ac:dyDescent="0.25">
      <c r="B83" s="10" t="s">
        <v>4709</v>
      </c>
      <c r="C83" s="13">
        <v>360</v>
      </c>
      <c r="D83" s="139"/>
      <c r="H83" s="139"/>
      <c r="I83" s="109" t="s">
        <v>5207</v>
      </c>
      <c r="J83" s="109" t="s">
        <v>3370</v>
      </c>
      <c r="O83" s="114" t="s">
        <v>4479</v>
      </c>
      <c r="P83" s="114" t="s">
        <v>4479</v>
      </c>
      <c r="R83" s="114"/>
      <c r="X83" s="139"/>
      <c r="AA83" s="139"/>
      <c r="AH83" s="123" t="s">
        <v>4747</v>
      </c>
      <c r="AI83" s="123">
        <v>8020</v>
      </c>
      <c r="AJ83" s="139"/>
      <c r="AQ83" t="s">
        <v>6961</v>
      </c>
      <c r="AR83" t="s">
        <v>6878</v>
      </c>
      <c r="AT83" s="150" t="s">
        <v>6982</v>
      </c>
      <c r="AU83" s="148" t="s">
        <v>6897</v>
      </c>
      <c r="AW83" s="151" t="s">
        <v>6983</v>
      </c>
      <c r="AX83" s="152" t="s">
        <v>551</v>
      </c>
      <c r="AZ83" s="153" t="s">
        <v>7067</v>
      </c>
      <c r="BA83" s="154" t="s">
        <v>7149</v>
      </c>
      <c r="BM83" s="155" t="s">
        <v>7366</v>
      </c>
      <c r="BN83" s="155" t="s">
        <v>267</v>
      </c>
      <c r="BO83" s="155" t="s">
        <v>20</v>
      </c>
      <c r="BP83" s="155" t="s">
        <v>7416</v>
      </c>
      <c r="BQ83" s="155" t="s">
        <v>7417</v>
      </c>
      <c r="BR83" s="155" t="s">
        <v>7279</v>
      </c>
      <c r="CA83" s="161" t="s">
        <v>7683</v>
      </c>
      <c r="CB83" s="160" t="s">
        <v>7647</v>
      </c>
    </row>
    <row r="84" spans="2:80" x14ac:dyDescent="0.25">
      <c r="B84" s="10" t="s">
        <v>4710</v>
      </c>
      <c r="C84" s="13">
        <v>365</v>
      </c>
      <c r="D84" s="139"/>
      <c r="H84" s="139"/>
      <c r="I84" s="109" t="s">
        <v>5208</v>
      </c>
      <c r="J84" s="109" t="s">
        <v>3371</v>
      </c>
      <c r="O84" s="114" t="s">
        <v>4481</v>
      </c>
      <c r="P84" s="114" t="s">
        <v>4480</v>
      </c>
      <c r="R84" s="114"/>
      <c r="X84" s="139"/>
      <c r="AA84" s="139"/>
      <c r="AH84" s="123" t="s">
        <v>4748</v>
      </c>
      <c r="AI84" s="123">
        <v>8021</v>
      </c>
      <c r="AJ84" s="139"/>
      <c r="AQ84" t="s">
        <v>6962</v>
      </c>
      <c r="AR84" t="s">
        <v>513</v>
      </c>
      <c r="AT84" s="150" t="s">
        <v>6983</v>
      </c>
      <c r="AU84" s="148" t="s">
        <v>551</v>
      </c>
      <c r="AW84" s="151" t="s">
        <v>6984</v>
      </c>
      <c r="AX84" s="152" t="s">
        <v>6898</v>
      </c>
      <c r="AZ84" s="153" t="s">
        <v>7068</v>
      </c>
      <c r="BA84" s="154" t="s">
        <v>7150</v>
      </c>
      <c r="BM84" s="155" t="s">
        <v>7367</v>
      </c>
      <c r="BN84" s="155" t="s">
        <v>273</v>
      </c>
      <c r="BO84" s="155" t="s">
        <v>20</v>
      </c>
      <c r="BP84" s="155" t="s">
        <v>7418</v>
      </c>
      <c r="BQ84" s="155" t="s">
        <v>7419</v>
      </c>
      <c r="BR84" s="155" t="s">
        <v>7279</v>
      </c>
      <c r="CA84" s="161" t="s">
        <v>7674</v>
      </c>
      <c r="CB84" s="160" t="s">
        <v>7640</v>
      </c>
    </row>
    <row r="85" spans="2:80" x14ac:dyDescent="0.25">
      <c r="B85" s="10" t="s">
        <v>4711</v>
      </c>
      <c r="C85" s="13">
        <v>400</v>
      </c>
      <c r="D85" s="139"/>
      <c r="H85" s="139"/>
      <c r="I85" s="109" t="s">
        <v>5209</v>
      </c>
      <c r="J85" s="109" t="s">
        <v>3372</v>
      </c>
      <c r="O85" s="114" t="s">
        <v>4483</v>
      </c>
      <c r="P85" s="114" t="s">
        <v>4482</v>
      </c>
      <c r="R85" s="114"/>
      <c r="AA85" s="139"/>
      <c r="AH85" s="123" t="s">
        <v>4749</v>
      </c>
      <c r="AI85" s="123">
        <v>8022</v>
      </c>
      <c r="AJ85" s="139"/>
      <c r="AQ85" t="s">
        <v>6963</v>
      </c>
      <c r="AR85" t="s">
        <v>6879</v>
      </c>
      <c r="AT85" s="150" t="s">
        <v>6984</v>
      </c>
      <c r="AU85" s="148" t="s">
        <v>6898</v>
      </c>
      <c r="AW85" s="151" t="s">
        <v>6985</v>
      </c>
      <c r="AX85" s="152" t="s">
        <v>6899</v>
      </c>
      <c r="AZ85" s="153" t="s">
        <v>7069</v>
      </c>
      <c r="BA85" s="154" t="s">
        <v>7151</v>
      </c>
      <c r="BM85" s="159" t="s">
        <v>162</v>
      </c>
      <c r="BP85" s="155" t="s">
        <v>7420</v>
      </c>
      <c r="BQ85" s="155" t="s">
        <v>7421</v>
      </c>
      <c r="BR85" s="155" t="s">
        <v>7279</v>
      </c>
      <c r="CA85" s="161" t="s">
        <v>7675</v>
      </c>
      <c r="CB85" s="160" t="s">
        <v>7641</v>
      </c>
    </row>
    <row r="86" spans="2:80" x14ac:dyDescent="0.25">
      <c r="B86" s="10" t="s">
        <v>4712</v>
      </c>
      <c r="C86" s="13">
        <v>500</v>
      </c>
      <c r="D86" s="139"/>
      <c r="H86" s="139"/>
      <c r="I86" s="109" t="s">
        <v>5210</v>
      </c>
      <c r="J86" s="109" t="s">
        <v>3373</v>
      </c>
      <c r="O86" s="114" t="s">
        <v>4484</v>
      </c>
      <c r="P86" s="114" t="s">
        <v>2603</v>
      </c>
      <c r="R86" s="114"/>
      <c r="AA86" s="139"/>
      <c r="AH86" s="123" t="s">
        <v>4750</v>
      </c>
      <c r="AI86" s="123">
        <v>8023</v>
      </c>
      <c r="AJ86" s="139"/>
      <c r="AQ86" t="s">
        <v>6964</v>
      </c>
      <c r="AR86" t="s">
        <v>6880</v>
      </c>
      <c r="AT86" s="150" t="s">
        <v>6985</v>
      </c>
      <c r="AU86" s="148" t="s">
        <v>6899</v>
      </c>
      <c r="AZ86" s="153" t="s">
        <v>7156</v>
      </c>
      <c r="BA86" s="154" t="s">
        <v>7152</v>
      </c>
      <c r="BP86" s="155" t="s">
        <v>7422</v>
      </c>
      <c r="BQ86" s="155" t="s">
        <v>7423</v>
      </c>
      <c r="BR86" s="155" t="s">
        <v>7279</v>
      </c>
      <c r="CA86" s="161" t="s">
        <v>7656</v>
      </c>
      <c r="CB86" s="160" t="s">
        <v>7626</v>
      </c>
    </row>
    <row r="87" spans="2:80" x14ac:dyDescent="0.25">
      <c r="B87" s="10" t="s">
        <v>4713</v>
      </c>
      <c r="C87" s="13">
        <v>501</v>
      </c>
      <c r="D87" s="139"/>
      <c r="H87" s="139"/>
      <c r="I87" s="109" t="s">
        <v>5211</v>
      </c>
      <c r="J87" s="109" t="s">
        <v>3374</v>
      </c>
      <c r="O87" s="114" t="s">
        <v>4485</v>
      </c>
      <c r="P87" s="114" t="s">
        <v>1524</v>
      </c>
      <c r="R87" s="114"/>
      <c r="AA87" s="139"/>
      <c r="AH87" s="123" t="s">
        <v>4751</v>
      </c>
      <c r="AI87" s="123">
        <v>8024</v>
      </c>
      <c r="AJ87" s="139"/>
      <c r="AQ87" t="s">
        <v>6965</v>
      </c>
      <c r="AR87" t="s">
        <v>6881</v>
      </c>
      <c r="AZ87" s="153" t="s">
        <v>7157</v>
      </c>
      <c r="BA87" s="154" t="s">
        <v>7153</v>
      </c>
      <c r="BP87" s="155" t="s">
        <v>7424</v>
      </c>
      <c r="BQ87" s="155" t="s">
        <v>7425</v>
      </c>
      <c r="BR87" s="155" t="s">
        <v>7279</v>
      </c>
      <c r="CA87" s="161" t="s">
        <v>7657</v>
      </c>
      <c r="CB87" s="160" t="s">
        <v>7627</v>
      </c>
    </row>
    <row r="88" spans="2:80" x14ac:dyDescent="0.25">
      <c r="B88" s="10" t="s">
        <v>4714</v>
      </c>
      <c r="C88" s="13">
        <v>700</v>
      </c>
      <c r="D88" s="139"/>
      <c r="H88" s="139"/>
      <c r="I88" s="109" t="s">
        <v>5212</v>
      </c>
      <c r="J88" s="109" t="s">
        <v>3375</v>
      </c>
      <c r="O88" s="114" t="s">
        <v>4486</v>
      </c>
      <c r="P88" s="114" t="s">
        <v>2455</v>
      </c>
      <c r="R88" s="114"/>
      <c r="AA88" s="139"/>
      <c r="AH88" s="123" t="s">
        <v>4752</v>
      </c>
      <c r="AI88" s="123">
        <v>8025</v>
      </c>
      <c r="AJ88" s="139"/>
      <c r="AQ88" t="s">
        <v>6966</v>
      </c>
      <c r="AR88" t="s">
        <v>6882</v>
      </c>
      <c r="AZ88" s="153" t="s">
        <v>7158</v>
      </c>
      <c r="BA88" s="154" t="s">
        <v>13</v>
      </c>
      <c r="BP88" s="155" t="s">
        <v>7426</v>
      </c>
      <c r="BQ88" s="155" t="s">
        <v>7427</v>
      </c>
      <c r="BR88" s="155" t="s">
        <v>7279</v>
      </c>
      <c r="CA88" s="161" t="s">
        <v>7676</v>
      </c>
      <c r="CB88" s="160" t="s">
        <v>7642</v>
      </c>
    </row>
    <row r="89" spans="2:80" x14ac:dyDescent="0.25">
      <c r="B89" s="10" t="s">
        <v>4715</v>
      </c>
      <c r="C89" s="13">
        <v>1001</v>
      </c>
      <c r="D89" s="139"/>
      <c r="H89" s="139"/>
      <c r="I89" s="109" t="s">
        <v>5213</v>
      </c>
      <c r="J89" s="109" t="s">
        <v>3376</v>
      </c>
      <c r="O89" s="114" t="s">
        <v>4487</v>
      </c>
      <c r="P89" s="114" t="s">
        <v>2129</v>
      </c>
      <c r="R89" s="114"/>
      <c r="AA89" s="139"/>
      <c r="AH89" s="123" t="s">
        <v>4753</v>
      </c>
      <c r="AI89" s="123">
        <v>8026</v>
      </c>
      <c r="AJ89" s="139"/>
      <c r="AQ89" t="s">
        <v>6967</v>
      </c>
      <c r="AR89" t="s">
        <v>6883</v>
      </c>
      <c r="AZ89" s="153" t="s">
        <v>7159</v>
      </c>
      <c r="BA89" s="154" t="s">
        <v>7154</v>
      </c>
      <c r="BP89" s="155" t="s">
        <v>7428</v>
      </c>
      <c r="BQ89" s="155" t="s">
        <v>7429</v>
      </c>
      <c r="BR89" s="155" t="s">
        <v>7279</v>
      </c>
      <c r="CA89" s="161" t="s">
        <v>7672</v>
      </c>
      <c r="CB89" s="160" t="s">
        <v>7638</v>
      </c>
    </row>
    <row r="90" spans="2:80" x14ac:dyDescent="0.25">
      <c r="B90" s="10" t="s">
        <v>4716</v>
      </c>
      <c r="C90" s="13">
        <v>1095</v>
      </c>
      <c r="D90" s="139"/>
      <c r="H90" s="139"/>
      <c r="I90" s="109" t="s">
        <v>5214</v>
      </c>
      <c r="J90" s="109" t="s">
        <v>3377</v>
      </c>
      <c r="O90" s="114" t="s">
        <v>4489</v>
      </c>
      <c r="P90" s="114" t="s">
        <v>4488</v>
      </c>
      <c r="R90" s="114"/>
      <c r="AA90" s="139"/>
      <c r="AH90" s="123" t="s">
        <v>4754</v>
      </c>
      <c r="AI90" s="123">
        <v>8027</v>
      </c>
      <c r="AJ90" s="139"/>
      <c r="AQ90" t="s">
        <v>6968</v>
      </c>
      <c r="AR90" t="s">
        <v>6884</v>
      </c>
      <c r="AZ90" s="153" t="s">
        <v>6957</v>
      </c>
      <c r="BA90" s="154" t="s">
        <v>6874</v>
      </c>
      <c r="BP90" s="155" t="s">
        <v>7430</v>
      </c>
      <c r="BQ90" s="155" t="s">
        <v>37</v>
      </c>
      <c r="BR90" s="155" t="s">
        <v>7279</v>
      </c>
      <c r="CA90" s="161" t="s">
        <v>7673</v>
      </c>
      <c r="CB90" s="160" t="s">
        <v>7639</v>
      </c>
    </row>
    <row r="91" spans="2:80" x14ac:dyDescent="0.25">
      <c r="B91" s="10" t="s">
        <v>4717</v>
      </c>
      <c r="C91" s="13">
        <v>1460</v>
      </c>
      <c r="D91" s="139"/>
      <c r="H91" s="139"/>
      <c r="I91" s="109" t="s">
        <v>5215</v>
      </c>
      <c r="J91" s="109" t="s">
        <v>3378</v>
      </c>
      <c r="O91" s="114" t="s">
        <v>4490</v>
      </c>
      <c r="P91" s="114" t="s">
        <v>1502</v>
      </c>
      <c r="R91" s="114"/>
      <c r="AA91" s="139"/>
      <c r="AH91" s="123" t="s">
        <v>4755</v>
      </c>
      <c r="AI91" s="123">
        <v>8028</v>
      </c>
      <c r="AJ91" s="139"/>
      <c r="AQ91" t="s">
        <v>6969</v>
      </c>
      <c r="AR91" t="s">
        <v>3193</v>
      </c>
      <c r="BP91" s="155" t="s">
        <v>7431</v>
      </c>
      <c r="BQ91" s="155" t="s">
        <v>7432</v>
      </c>
      <c r="BR91" s="155" t="s">
        <v>7279</v>
      </c>
      <c r="CA91" s="161" t="s">
        <v>7668</v>
      </c>
      <c r="CB91" s="160" t="s">
        <v>7635</v>
      </c>
    </row>
    <row r="92" spans="2:80" x14ac:dyDescent="0.25">
      <c r="B92" s="10" t="s">
        <v>4718</v>
      </c>
      <c r="C92" s="13">
        <v>1825</v>
      </c>
      <c r="D92" s="139"/>
      <c r="H92" s="139"/>
      <c r="I92" s="109" t="s">
        <v>5216</v>
      </c>
      <c r="J92" s="109" t="s">
        <v>3379</v>
      </c>
      <c r="O92" s="114" t="s">
        <v>4491</v>
      </c>
      <c r="P92" s="114" t="s">
        <v>2587</v>
      </c>
      <c r="R92" s="114"/>
      <c r="AA92" s="139"/>
      <c r="AH92" s="123" t="s">
        <v>4756</v>
      </c>
      <c r="AI92" s="123">
        <v>8029</v>
      </c>
      <c r="AJ92" s="139"/>
      <c r="AQ92" t="s">
        <v>6970</v>
      </c>
      <c r="AR92" t="s">
        <v>6885</v>
      </c>
      <c r="BP92" s="155" t="s">
        <v>7462</v>
      </c>
      <c r="BQ92" s="155" t="s">
        <v>7463</v>
      </c>
      <c r="BR92" s="155" t="s">
        <v>166</v>
      </c>
      <c r="CA92" s="161" t="s">
        <v>7677</v>
      </c>
      <c r="CB92" s="160" t="s">
        <v>7643</v>
      </c>
    </row>
    <row r="93" spans="2:80" x14ac:dyDescent="0.25">
      <c r="B93" s="10" t="s">
        <v>4719</v>
      </c>
      <c r="C93" s="13">
        <v>2555</v>
      </c>
      <c r="D93" s="139"/>
      <c r="H93" s="139"/>
      <c r="I93" s="109" t="s">
        <v>5217</v>
      </c>
      <c r="J93" s="109" t="s">
        <v>3380</v>
      </c>
      <c r="O93" s="114" t="s">
        <v>4493</v>
      </c>
      <c r="P93" s="114" t="s">
        <v>4492</v>
      </c>
      <c r="R93" s="114"/>
      <c r="AA93" s="139"/>
      <c r="AH93" s="123" t="s">
        <v>4757</v>
      </c>
      <c r="AI93" s="123">
        <v>8030</v>
      </c>
      <c r="AJ93" s="139"/>
      <c r="AQ93" t="s">
        <v>6971</v>
      </c>
      <c r="AR93" t="s">
        <v>6886</v>
      </c>
      <c r="BP93" s="155" t="s">
        <v>7464</v>
      </c>
      <c r="BQ93" s="155" t="s">
        <v>7465</v>
      </c>
      <c r="BR93" s="155" t="s">
        <v>166</v>
      </c>
      <c r="CA93" s="161" t="s">
        <v>7682</v>
      </c>
      <c r="CB93" s="160" t="s">
        <v>7604</v>
      </c>
    </row>
    <row r="94" spans="2:80" x14ac:dyDescent="0.25">
      <c r="B94" s="10" t="s">
        <v>4720</v>
      </c>
      <c r="C94" s="13">
        <v>9999</v>
      </c>
      <c r="D94" s="139"/>
      <c r="H94" s="139"/>
      <c r="I94" s="109" t="s">
        <v>5218</v>
      </c>
      <c r="J94" s="109" t="s">
        <v>3381</v>
      </c>
      <c r="R94" s="114"/>
      <c r="AA94" s="139"/>
      <c r="AH94" s="123" t="s">
        <v>4758</v>
      </c>
      <c r="AI94" s="123">
        <v>8031</v>
      </c>
      <c r="AJ94" s="139"/>
      <c r="AQ94" t="s">
        <v>6972</v>
      </c>
      <c r="AR94" t="s">
        <v>6887</v>
      </c>
      <c r="BP94" s="155" t="s">
        <v>7466</v>
      </c>
      <c r="BQ94" s="155" t="s">
        <v>7467</v>
      </c>
      <c r="BR94" s="155" t="s">
        <v>166</v>
      </c>
      <c r="CA94" s="161" t="s">
        <v>7681</v>
      </c>
      <c r="CB94" s="160" t="s">
        <v>7646</v>
      </c>
    </row>
    <row r="95" spans="2:80" x14ac:dyDescent="0.25">
      <c r="B95" s="10" t="s">
        <v>4721</v>
      </c>
      <c r="C95" s="13">
        <v>201</v>
      </c>
      <c r="D95" s="139"/>
      <c r="H95" s="139"/>
      <c r="I95" s="109" t="s">
        <v>5219</v>
      </c>
      <c r="J95" s="109" t="s">
        <v>3382</v>
      </c>
      <c r="AA95" s="139"/>
      <c r="AH95" s="123" t="s">
        <v>4759</v>
      </c>
      <c r="AI95" s="123">
        <v>8032</v>
      </c>
      <c r="AJ95" s="139"/>
      <c r="AQ95" t="s">
        <v>6973</v>
      </c>
      <c r="AR95" t="s">
        <v>6888</v>
      </c>
      <c r="BP95" s="155" t="s">
        <v>7511</v>
      </c>
      <c r="BQ95" s="155" t="s">
        <v>7512</v>
      </c>
      <c r="BR95" s="155" t="s">
        <v>166</v>
      </c>
      <c r="CA95" s="161" t="s">
        <v>7674</v>
      </c>
      <c r="CB95" s="160" t="s">
        <v>7640</v>
      </c>
    </row>
    <row r="96" spans="2:80" x14ac:dyDescent="0.25">
      <c r="B96" s="10" t="s">
        <v>4722</v>
      </c>
      <c r="C96" s="13">
        <v>701</v>
      </c>
      <c r="D96" s="139"/>
      <c r="H96" s="139"/>
      <c r="I96" s="109" t="s">
        <v>5220</v>
      </c>
      <c r="J96" s="109" t="s">
        <v>3383</v>
      </c>
      <c r="AA96" s="139"/>
      <c r="AH96" s="123" t="s">
        <v>4760</v>
      </c>
      <c r="AI96" s="123">
        <v>8033</v>
      </c>
      <c r="AJ96" s="139"/>
      <c r="AQ96" t="s">
        <v>6974</v>
      </c>
      <c r="AR96" t="s">
        <v>6889</v>
      </c>
      <c r="BP96" s="155" t="s">
        <v>7513</v>
      </c>
      <c r="BQ96" s="155" t="s">
        <v>7514</v>
      </c>
      <c r="BR96" s="155" t="s">
        <v>166</v>
      </c>
      <c r="CA96" s="161" t="s">
        <v>7675</v>
      </c>
      <c r="CB96" s="160" t="s">
        <v>7641</v>
      </c>
    </row>
    <row r="97" spans="2:80" x14ac:dyDescent="0.25">
      <c r="B97" s="10" t="s">
        <v>4723</v>
      </c>
      <c r="C97" s="13">
        <v>901</v>
      </c>
      <c r="D97" s="139"/>
      <c r="H97" s="139"/>
      <c r="I97" s="109" t="s">
        <v>5221</v>
      </c>
      <c r="J97" s="109" t="s">
        <v>3384</v>
      </c>
      <c r="AA97" s="139"/>
      <c r="AH97" s="123" t="s">
        <v>4761</v>
      </c>
      <c r="AI97" s="123">
        <v>8034</v>
      </c>
      <c r="AJ97" s="139"/>
      <c r="AQ97" t="s">
        <v>6975</v>
      </c>
      <c r="AR97" t="s">
        <v>6890</v>
      </c>
      <c r="BP97" s="155" t="s">
        <v>7515</v>
      </c>
      <c r="BQ97" s="155" t="s">
        <v>7516</v>
      </c>
      <c r="BR97" s="155" t="s">
        <v>166</v>
      </c>
      <c r="CA97" s="161" t="s">
        <v>7676</v>
      </c>
      <c r="CB97" s="160" t="s">
        <v>7642</v>
      </c>
    </row>
    <row r="98" spans="2:80" x14ac:dyDescent="0.25">
      <c r="B98" s="10" t="s">
        <v>4724</v>
      </c>
      <c r="C98" s="13">
        <v>1501</v>
      </c>
      <c r="D98" s="139"/>
      <c r="H98" s="139"/>
      <c r="I98" s="109" t="s">
        <v>5222</v>
      </c>
      <c r="J98" s="109" t="s">
        <v>3385</v>
      </c>
      <c r="AA98" s="139"/>
      <c r="AH98" s="123" t="s">
        <v>4762</v>
      </c>
      <c r="AI98" s="123">
        <v>8035</v>
      </c>
      <c r="AJ98" s="139"/>
      <c r="AQ98" t="s">
        <v>6976</v>
      </c>
      <c r="AR98" t="s">
        <v>6891</v>
      </c>
      <c r="BP98" s="155" t="s">
        <v>7468</v>
      </c>
      <c r="BQ98" s="155" t="s">
        <v>7469</v>
      </c>
      <c r="BR98" s="155" t="s">
        <v>166</v>
      </c>
      <c r="CA98" s="161" t="s">
        <v>7668</v>
      </c>
      <c r="CB98" s="160" t="s">
        <v>7635</v>
      </c>
    </row>
    <row r="99" spans="2:80" x14ac:dyDescent="0.25">
      <c r="B99" s="10" t="s">
        <v>4725</v>
      </c>
      <c r="C99" s="13">
        <v>1000</v>
      </c>
      <c r="D99" s="139"/>
      <c r="H99" s="139"/>
      <c r="I99" s="109" t="s">
        <v>5223</v>
      </c>
      <c r="J99" s="109" t="s">
        <v>3386</v>
      </c>
      <c r="AA99" s="139"/>
      <c r="AH99" s="123" t="s">
        <v>4763</v>
      </c>
      <c r="AI99" s="123">
        <v>8036</v>
      </c>
      <c r="AJ99" s="139"/>
      <c r="AQ99" t="s">
        <v>6977</v>
      </c>
      <c r="AR99" t="s">
        <v>6892</v>
      </c>
      <c r="BP99" s="155" t="s">
        <v>7472</v>
      </c>
      <c r="BQ99" s="155" t="s">
        <v>7473</v>
      </c>
      <c r="BR99" s="155" t="s">
        <v>166</v>
      </c>
      <c r="CA99" s="161" t="s">
        <v>7677</v>
      </c>
      <c r="CB99" s="160" t="s">
        <v>7643</v>
      </c>
    </row>
    <row r="100" spans="2:80" x14ac:dyDescent="0.25">
      <c r="B100" s="10" t="s">
        <v>4726</v>
      </c>
      <c r="C100" s="13">
        <v>1800</v>
      </c>
      <c r="D100" s="139"/>
      <c r="H100" s="139"/>
      <c r="I100" s="109" t="s">
        <v>5224</v>
      </c>
      <c r="J100" s="109" t="s">
        <v>3387</v>
      </c>
      <c r="AA100" s="139"/>
      <c r="AH100" s="123" t="s">
        <v>4764</v>
      </c>
      <c r="AI100" s="123">
        <v>8037</v>
      </c>
      <c r="AJ100" s="139"/>
      <c r="AQ100" t="s">
        <v>6978</v>
      </c>
      <c r="AR100" t="s">
        <v>6893</v>
      </c>
      <c r="BP100" s="155" t="s">
        <v>7517</v>
      </c>
      <c r="BQ100" s="155" t="s">
        <v>7518</v>
      </c>
      <c r="BR100" s="155" t="s">
        <v>166</v>
      </c>
      <c r="CA100" s="161" t="s">
        <v>7681</v>
      </c>
      <c r="CB100" s="160" t="s">
        <v>7646</v>
      </c>
    </row>
    <row r="101" spans="2:80" x14ac:dyDescent="0.25">
      <c r="B101" s="10" t="s">
        <v>4727</v>
      </c>
      <c r="C101" s="13">
        <v>156</v>
      </c>
      <c r="D101" s="139"/>
      <c r="H101" s="139"/>
      <c r="I101" s="109" t="s">
        <v>5225</v>
      </c>
      <c r="J101" s="109" t="s">
        <v>3388</v>
      </c>
      <c r="AA101" s="139"/>
      <c r="AH101" s="123" t="s">
        <v>4765</v>
      </c>
      <c r="AI101" s="123">
        <v>8038</v>
      </c>
      <c r="AJ101" s="139"/>
      <c r="AQ101" t="s">
        <v>6979</v>
      </c>
      <c r="AR101" t="s">
        <v>6894</v>
      </c>
      <c r="BP101" s="155" t="s">
        <v>7480</v>
      </c>
      <c r="BQ101" s="155" t="s">
        <v>7481</v>
      </c>
      <c r="BR101" s="155" t="s">
        <v>166</v>
      </c>
      <c r="CA101" s="161" t="s">
        <v>7686</v>
      </c>
      <c r="CB101" s="160" t="s">
        <v>7648</v>
      </c>
    </row>
    <row r="102" spans="2:80" x14ac:dyDescent="0.25">
      <c r="B102" s="10" t="s">
        <v>4728</v>
      </c>
      <c r="C102" s="13">
        <v>8001</v>
      </c>
      <c r="D102" s="139"/>
      <c r="H102" s="139"/>
      <c r="I102" s="109" t="s">
        <v>5226</v>
      </c>
      <c r="J102" s="109" t="s">
        <v>3389</v>
      </c>
      <c r="AA102" s="139"/>
      <c r="AH102" s="123" t="s">
        <v>4766</v>
      </c>
      <c r="AI102" s="123">
        <v>8039</v>
      </c>
      <c r="AJ102" s="139"/>
      <c r="AQ102" t="s">
        <v>6980</v>
      </c>
      <c r="AR102" t="s">
        <v>6895</v>
      </c>
      <c r="BP102" s="155" t="s">
        <v>7484</v>
      </c>
      <c r="BQ102" s="155" t="s">
        <v>7485</v>
      </c>
      <c r="BR102" s="155" t="s">
        <v>166</v>
      </c>
      <c r="CA102" s="161" t="s">
        <v>7687</v>
      </c>
      <c r="CB102" s="160" t="s">
        <v>7649</v>
      </c>
    </row>
    <row r="103" spans="2:80" x14ac:dyDescent="0.25">
      <c r="B103" s="10" t="s">
        <v>4729</v>
      </c>
      <c r="C103" s="13">
        <v>8002</v>
      </c>
      <c r="D103" s="139"/>
      <c r="H103" s="139"/>
      <c r="I103" s="109" t="s">
        <v>5227</v>
      </c>
      <c r="J103" s="109" t="s">
        <v>3390</v>
      </c>
      <c r="AA103" s="139"/>
      <c r="AH103" s="123" t="s">
        <v>4767</v>
      </c>
      <c r="AI103" s="123">
        <v>8040</v>
      </c>
      <c r="AJ103" s="139"/>
      <c r="AQ103" t="s">
        <v>6981</v>
      </c>
      <c r="AR103" t="s">
        <v>6896</v>
      </c>
      <c r="BP103" s="155" t="s">
        <v>7486</v>
      </c>
      <c r="BQ103" s="155" t="s">
        <v>7487</v>
      </c>
      <c r="BR103" s="155" t="s">
        <v>166</v>
      </c>
      <c r="CA103" s="161" t="s">
        <v>7688</v>
      </c>
      <c r="CB103" s="160" t="s">
        <v>7650</v>
      </c>
    </row>
    <row r="104" spans="2:80" ht="15.75" customHeight="1" x14ac:dyDescent="0.25">
      <c r="B104" s="10" t="s">
        <v>4730</v>
      </c>
      <c r="C104" s="13">
        <v>8003</v>
      </c>
      <c r="D104" s="139"/>
      <c r="H104" s="139"/>
      <c r="I104" s="109" t="s">
        <v>5228</v>
      </c>
      <c r="J104" s="109" t="s">
        <v>3391</v>
      </c>
      <c r="AA104" s="139"/>
      <c r="AH104" s="123" t="s">
        <v>4768</v>
      </c>
      <c r="AI104" s="123">
        <v>8041</v>
      </c>
      <c r="AJ104" s="139"/>
      <c r="AQ104" t="s">
        <v>6982</v>
      </c>
      <c r="AR104" t="s">
        <v>6897</v>
      </c>
      <c r="BP104" s="155" t="s">
        <v>7519</v>
      </c>
      <c r="BQ104" s="155" t="s">
        <v>412</v>
      </c>
      <c r="BR104" s="155" t="s">
        <v>166</v>
      </c>
      <c r="CA104" s="161" t="s">
        <v>7674</v>
      </c>
      <c r="CB104" s="160" t="s">
        <v>7640</v>
      </c>
    </row>
    <row r="105" spans="2:80" x14ac:dyDescent="0.25">
      <c r="B105" s="10" t="s">
        <v>4731</v>
      </c>
      <c r="C105" s="13">
        <v>8004</v>
      </c>
      <c r="D105" s="139"/>
      <c r="H105" s="139"/>
      <c r="I105" s="109" t="s">
        <v>5229</v>
      </c>
      <c r="J105" s="109" t="s">
        <v>3392</v>
      </c>
      <c r="AA105" s="139"/>
      <c r="AH105" s="123" t="s">
        <v>4769</v>
      </c>
      <c r="AI105" s="123">
        <v>8042</v>
      </c>
      <c r="AJ105" s="139"/>
      <c r="AQ105" t="s">
        <v>6983</v>
      </c>
      <c r="AR105" t="s">
        <v>551</v>
      </c>
      <c r="BP105" s="155" t="s">
        <v>7520</v>
      </c>
      <c r="BQ105" s="155" t="s">
        <v>7521</v>
      </c>
      <c r="BR105" s="155" t="s">
        <v>166</v>
      </c>
      <c r="CA105" s="161" t="s">
        <v>7675</v>
      </c>
      <c r="CB105" s="160" t="s">
        <v>7641</v>
      </c>
    </row>
    <row r="106" spans="2:80" x14ac:dyDescent="0.25">
      <c r="B106" s="10" t="s">
        <v>4732</v>
      </c>
      <c r="C106" s="13">
        <v>8005</v>
      </c>
      <c r="D106" s="139"/>
      <c r="H106" s="139"/>
      <c r="I106" s="109" t="s">
        <v>5230</v>
      </c>
      <c r="J106" s="109" t="s">
        <v>3393</v>
      </c>
      <c r="AA106" s="139"/>
      <c r="AH106" s="123" t="s">
        <v>4770</v>
      </c>
      <c r="AI106" s="123">
        <v>8043</v>
      </c>
      <c r="AJ106" s="139"/>
      <c r="AQ106" t="s">
        <v>6984</v>
      </c>
      <c r="AR106" t="s">
        <v>6898</v>
      </c>
      <c r="BP106" s="155" t="s">
        <v>7522</v>
      </c>
      <c r="BQ106" s="155" t="s">
        <v>7523</v>
      </c>
      <c r="BR106" s="155" t="s">
        <v>166</v>
      </c>
      <c r="CA106" s="161" t="s">
        <v>7676</v>
      </c>
      <c r="CB106" s="160" t="s">
        <v>7642</v>
      </c>
    </row>
    <row r="107" spans="2:80" x14ac:dyDescent="0.25">
      <c r="B107" s="10" t="s">
        <v>4733</v>
      </c>
      <c r="C107" s="13">
        <v>8006</v>
      </c>
      <c r="D107" s="139"/>
      <c r="H107" s="139"/>
      <c r="I107" s="109" t="s">
        <v>5231</v>
      </c>
      <c r="J107" s="109" t="s">
        <v>3394</v>
      </c>
      <c r="AA107" s="139"/>
      <c r="AH107" s="123" t="s">
        <v>4771</v>
      </c>
      <c r="AI107" s="123">
        <v>8044</v>
      </c>
      <c r="AJ107" s="139"/>
      <c r="AQ107" t="s">
        <v>6985</v>
      </c>
      <c r="AR107" t="s">
        <v>6899</v>
      </c>
      <c r="BP107" s="155" t="s">
        <v>7494</v>
      </c>
      <c r="BQ107" s="155" t="s">
        <v>7495</v>
      </c>
      <c r="BR107" s="155" t="s">
        <v>166</v>
      </c>
      <c r="CA107" s="161" t="s">
        <v>7668</v>
      </c>
      <c r="CB107" s="160" t="s">
        <v>7635</v>
      </c>
    </row>
    <row r="108" spans="2:80" x14ac:dyDescent="0.25">
      <c r="B108" s="10" t="s">
        <v>4734</v>
      </c>
      <c r="C108" s="13">
        <v>8007</v>
      </c>
      <c r="D108" s="139"/>
      <c r="H108" s="139"/>
      <c r="I108" s="109" t="s">
        <v>5232</v>
      </c>
      <c r="J108" s="109" t="s">
        <v>3395</v>
      </c>
      <c r="AA108" s="139"/>
      <c r="AH108" s="123" t="s">
        <v>4772</v>
      </c>
      <c r="AI108" s="123">
        <v>8045</v>
      </c>
      <c r="AJ108" s="139"/>
      <c r="AQ108" t="s">
        <v>6902</v>
      </c>
      <c r="AR108" t="s">
        <v>1</v>
      </c>
      <c r="BP108" s="155" t="s">
        <v>7524</v>
      </c>
      <c r="BQ108" s="155" t="s">
        <v>7525</v>
      </c>
      <c r="BR108" s="155" t="s">
        <v>166</v>
      </c>
      <c r="CA108" s="161" t="s">
        <v>7677</v>
      </c>
      <c r="CB108" s="160" t="s">
        <v>7643</v>
      </c>
    </row>
    <row r="109" spans="2:80" x14ac:dyDescent="0.25">
      <c r="B109" s="10" t="s">
        <v>4735</v>
      </c>
      <c r="C109" s="13">
        <v>8008</v>
      </c>
      <c r="D109" s="139"/>
      <c r="H109" s="139"/>
      <c r="I109" s="109" t="s">
        <v>5233</v>
      </c>
      <c r="J109" s="109" t="s">
        <v>3396</v>
      </c>
      <c r="AA109" s="139"/>
      <c r="AH109" s="123" t="s">
        <v>4773</v>
      </c>
      <c r="AI109" s="123">
        <v>8046</v>
      </c>
      <c r="AJ109" s="139"/>
      <c r="AQ109" t="s">
        <v>6903</v>
      </c>
      <c r="AR109" t="s">
        <v>6823</v>
      </c>
      <c r="BP109" s="155" t="s">
        <v>7526</v>
      </c>
      <c r="BQ109" s="155" t="s">
        <v>7527</v>
      </c>
      <c r="BR109" s="155" t="s">
        <v>166</v>
      </c>
      <c r="CA109" s="161" t="s">
        <v>7689</v>
      </c>
      <c r="CB109" s="160" t="s">
        <v>7651</v>
      </c>
    </row>
    <row r="110" spans="2:80" ht="15.75" customHeight="1" x14ac:dyDescent="0.25">
      <c r="B110" s="10" t="s">
        <v>4736</v>
      </c>
      <c r="C110" s="13">
        <v>8009</v>
      </c>
      <c r="D110" s="139"/>
      <c r="H110" s="139"/>
      <c r="I110" s="109" t="s">
        <v>5234</v>
      </c>
      <c r="J110" s="109" t="s">
        <v>3397</v>
      </c>
      <c r="AA110" s="139"/>
      <c r="AH110" s="123" t="s">
        <v>4774</v>
      </c>
      <c r="AI110" s="123">
        <v>8047</v>
      </c>
      <c r="AJ110" s="139"/>
      <c r="AQ110" t="s">
        <v>6904</v>
      </c>
      <c r="AR110" t="s">
        <v>6824</v>
      </c>
      <c r="BP110" s="155" t="s">
        <v>7528</v>
      </c>
      <c r="BQ110" s="155" t="s">
        <v>7529</v>
      </c>
      <c r="BR110" s="155" t="s">
        <v>195</v>
      </c>
      <c r="CA110" s="161" t="s">
        <v>7690</v>
      </c>
      <c r="CB110" s="160" t="s">
        <v>7652</v>
      </c>
    </row>
    <row r="111" spans="2:80" x14ac:dyDescent="0.25">
      <c r="B111" s="10" t="s">
        <v>4737</v>
      </c>
      <c r="C111" s="13">
        <v>8010</v>
      </c>
      <c r="D111" s="139"/>
      <c r="H111" s="139"/>
      <c r="I111" s="109" t="s">
        <v>5235</v>
      </c>
      <c r="J111" s="109" t="s">
        <v>3398</v>
      </c>
      <c r="AA111" s="139"/>
      <c r="AH111" s="123" t="s">
        <v>4775</v>
      </c>
      <c r="AI111" s="123">
        <v>8048</v>
      </c>
      <c r="AJ111" s="139"/>
      <c r="AQ111" t="s">
        <v>6905</v>
      </c>
      <c r="AR111" t="s">
        <v>315</v>
      </c>
      <c r="BP111" s="155" t="s">
        <v>7530</v>
      </c>
      <c r="BQ111" s="155" t="s">
        <v>7531</v>
      </c>
      <c r="BR111" s="155" t="s">
        <v>195</v>
      </c>
      <c r="CA111" s="159" t="s">
        <v>162</v>
      </c>
    </row>
    <row r="112" spans="2:80" x14ac:dyDescent="0.25">
      <c r="B112" s="10" t="s">
        <v>4738</v>
      </c>
      <c r="C112" s="13">
        <v>8011</v>
      </c>
      <c r="D112" s="139"/>
      <c r="H112" s="139"/>
      <c r="I112" s="109" t="s">
        <v>5236</v>
      </c>
      <c r="J112" s="109" t="s">
        <v>3399</v>
      </c>
      <c r="AA112" s="139"/>
      <c r="AH112" s="123" t="s">
        <v>4776</v>
      </c>
      <c r="AI112" s="123">
        <v>8049</v>
      </c>
      <c r="AJ112" s="139"/>
      <c r="AQ112" t="s">
        <v>6906</v>
      </c>
      <c r="AR112" t="s">
        <v>6825</v>
      </c>
      <c r="BP112" s="155" t="s">
        <v>7488</v>
      </c>
      <c r="BQ112" s="155" t="s">
        <v>7489</v>
      </c>
      <c r="BR112" s="155" t="s">
        <v>195</v>
      </c>
    </row>
    <row r="113" spans="2:70" x14ac:dyDescent="0.25">
      <c r="B113" s="10" t="s">
        <v>4739</v>
      </c>
      <c r="C113" s="13">
        <v>8012</v>
      </c>
      <c r="D113" s="139"/>
      <c r="H113" s="139"/>
      <c r="I113" s="109" t="s">
        <v>5237</v>
      </c>
      <c r="J113" s="109" t="s">
        <v>3400</v>
      </c>
      <c r="AA113" s="139"/>
      <c r="AH113" s="123" t="s">
        <v>4777</v>
      </c>
      <c r="AI113" s="123">
        <v>8050</v>
      </c>
      <c r="AJ113" s="139"/>
      <c r="AQ113" t="s">
        <v>6907</v>
      </c>
      <c r="AR113" t="s">
        <v>6826</v>
      </c>
      <c r="BP113" s="155" t="s">
        <v>7532</v>
      </c>
      <c r="BQ113" s="155" t="s">
        <v>7533</v>
      </c>
      <c r="BR113" s="155" t="s">
        <v>195</v>
      </c>
    </row>
    <row r="114" spans="2:70" x14ac:dyDescent="0.25">
      <c r="B114" s="10" t="s">
        <v>4740</v>
      </c>
      <c r="C114" s="13">
        <v>8013</v>
      </c>
      <c r="D114" s="139"/>
      <c r="H114" s="139"/>
      <c r="I114" s="109" t="s">
        <v>5238</v>
      </c>
      <c r="J114" s="109" t="s">
        <v>3401</v>
      </c>
      <c r="AA114" s="139"/>
      <c r="AH114" s="123" t="s">
        <v>4778</v>
      </c>
      <c r="AI114" s="123">
        <v>8051</v>
      </c>
      <c r="AJ114" s="139"/>
      <c r="AQ114" t="s">
        <v>6908</v>
      </c>
      <c r="AR114" t="s">
        <v>6827</v>
      </c>
      <c r="BP114" s="155" t="s">
        <v>7534</v>
      </c>
      <c r="BQ114" s="155" t="s">
        <v>4</v>
      </c>
      <c r="BR114" s="155" t="s">
        <v>15</v>
      </c>
    </row>
    <row r="115" spans="2:70" x14ac:dyDescent="0.25">
      <c r="B115" s="10" t="s">
        <v>4741</v>
      </c>
      <c r="C115" s="13">
        <v>8014</v>
      </c>
      <c r="D115" s="139"/>
      <c r="H115" s="139"/>
      <c r="I115" s="109" t="s">
        <v>5239</v>
      </c>
      <c r="J115" s="109" t="s">
        <v>3402</v>
      </c>
      <c r="AA115" s="139"/>
      <c r="AH115" s="123" t="s">
        <v>4779</v>
      </c>
      <c r="AI115" s="123">
        <v>8052</v>
      </c>
      <c r="AJ115" s="139"/>
      <c r="AQ115" t="s">
        <v>6909</v>
      </c>
      <c r="AR115" t="s">
        <v>6828</v>
      </c>
      <c r="BP115" s="155" t="s">
        <v>7446</v>
      </c>
      <c r="BQ115" s="155" t="s">
        <v>7447</v>
      </c>
      <c r="BR115" s="155" t="s">
        <v>15</v>
      </c>
    </row>
    <row r="116" spans="2:70" x14ac:dyDescent="0.25">
      <c r="B116" s="10" t="s">
        <v>4742</v>
      </c>
      <c r="C116" s="13">
        <v>8015</v>
      </c>
      <c r="D116" s="139"/>
      <c r="H116" s="139"/>
      <c r="I116" s="109" t="s">
        <v>5240</v>
      </c>
      <c r="J116" s="109" t="s">
        <v>3403</v>
      </c>
      <c r="AA116" s="139"/>
      <c r="AH116" s="123" t="s">
        <v>4780</v>
      </c>
      <c r="AI116" s="123">
        <v>8053</v>
      </c>
      <c r="AJ116" s="139"/>
      <c r="AQ116" t="s">
        <v>6910</v>
      </c>
      <c r="AR116" t="s">
        <v>6829</v>
      </c>
      <c r="BP116" s="155" t="s">
        <v>7535</v>
      </c>
      <c r="BQ116" s="155" t="s">
        <v>7536</v>
      </c>
      <c r="BR116" s="155" t="s">
        <v>15</v>
      </c>
    </row>
    <row r="117" spans="2:70" x14ac:dyDescent="0.25">
      <c r="B117" s="10" t="s">
        <v>4743</v>
      </c>
      <c r="C117" s="13">
        <v>8016</v>
      </c>
      <c r="D117" s="139"/>
      <c r="H117" s="139"/>
      <c r="I117" s="109" t="s">
        <v>5241</v>
      </c>
      <c r="J117" s="109" t="s">
        <v>3404</v>
      </c>
      <c r="AA117" s="139"/>
      <c r="AH117" s="123" t="s">
        <v>4781</v>
      </c>
      <c r="AI117" s="123">
        <v>8054</v>
      </c>
      <c r="AJ117" s="139"/>
      <c r="AQ117" t="s">
        <v>6911</v>
      </c>
      <c r="AR117" t="s">
        <v>6830</v>
      </c>
      <c r="BP117" s="155" t="s">
        <v>7414</v>
      </c>
      <c r="BQ117" s="155" t="s">
        <v>7415</v>
      </c>
      <c r="BR117" s="155" t="s">
        <v>255</v>
      </c>
    </row>
    <row r="118" spans="2:70" x14ac:dyDescent="0.25">
      <c r="B118" s="10" t="s">
        <v>4744</v>
      </c>
      <c r="C118" s="13">
        <v>8017</v>
      </c>
      <c r="D118" s="139"/>
      <c r="H118" s="139"/>
      <c r="I118" s="109" t="s">
        <v>5242</v>
      </c>
      <c r="J118" s="109" t="s">
        <v>3405</v>
      </c>
      <c r="AA118" s="139"/>
      <c r="AH118" s="123" t="s">
        <v>4782</v>
      </c>
      <c r="AI118" s="123">
        <v>8055</v>
      </c>
      <c r="AJ118" s="139"/>
      <c r="AQ118" t="s">
        <v>6912</v>
      </c>
      <c r="AR118" t="s">
        <v>6831</v>
      </c>
      <c r="BP118" s="155" t="s">
        <v>7416</v>
      </c>
      <c r="BQ118" s="155" t="s">
        <v>7417</v>
      </c>
      <c r="BR118" s="155" t="s">
        <v>255</v>
      </c>
    </row>
    <row r="119" spans="2:70" x14ac:dyDescent="0.25">
      <c r="B119" s="10" t="s">
        <v>4745</v>
      </c>
      <c r="C119" s="13">
        <v>8018</v>
      </c>
      <c r="D119" s="139"/>
      <c r="H119" s="139"/>
      <c r="I119" s="109" t="s">
        <v>5243</v>
      </c>
      <c r="J119" s="109" t="s">
        <v>3406</v>
      </c>
      <c r="AA119" s="139"/>
      <c r="AH119" s="123" t="s">
        <v>4783</v>
      </c>
      <c r="AI119" s="123">
        <v>8056</v>
      </c>
      <c r="AJ119" s="139"/>
      <c r="AQ119" t="s">
        <v>6913</v>
      </c>
      <c r="AR119" t="s">
        <v>6832</v>
      </c>
      <c r="BP119" s="155" t="s">
        <v>7418</v>
      </c>
      <c r="BQ119" s="155" t="s">
        <v>7419</v>
      </c>
      <c r="BR119" s="155" t="s">
        <v>255</v>
      </c>
    </row>
    <row r="120" spans="2:70" x14ac:dyDescent="0.25">
      <c r="B120" s="10" t="s">
        <v>4746</v>
      </c>
      <c r="C120" s="13">
        <v>8019</v>
      </c>
      <c r="D120" s="139"/>
      <c r="H120" s="139"/>
      <c r="I120" s="109" t="s">
        <v>5244</v>
      </c>
      <c r="J120" s="109" t="s">
        <v>3407</v>
      </c>
      <c r="AA120" s="139"/>
      <c r="AH120" s="123" t="s">
        <v>4784</v>
      </c>
      <c r="AI120" s="123">
        <v>8057</v>
      </c>
      <c r="AJ120" s="139"/>
      <c r="AQ120" t="s">
        <v>6914</v>
      </c>
      <c r="AR120" t="s">
        <v>6833</v>
      </c>
      <c r="BP120" s="155" t="s">
        <v>7420</v>
      </c>
      <c r="BQ120" s="155" t="s">
        <v>7421</v>
      </c>
      <c r="BR120" s="155" t="s">
        <v>255</v>
      </c>
    </row>
    <row r="121" spans="2:70" x14ac:dyDescent="0.25">
      <c r="B121" s="10" t="s">
        <v>4747</v>
      </c>
      <c r="C121" s="13">
        <v>8020</v>
      </c>
      <c r="D121" s="139"/>
      <c r="H121" s="139"/>
      <c r="I121" s="109" t="s">
        <v>5245</v>
      </c>
      <c r="J121" s="109" t="s">
        <v>3408</v>
      </c>
      <c r="AA121" s="139"/>
      <c r="AH121" s="123" t="s">
        <v>4785</v>
      </c>
      <c r="AI121" s="123">
        <v>8058</v>
      </c>
      <c r="AJ121" s="139"/>
      <c r="AQ121" t="s">
        <v>6915</v>
      </c>
      <c r="AR121" t="s">
        <v>6834</v>
      </c>
      <c r="BP121" s="155" t="s">
        <v>7422</v>
      </c>
      <c r="BQ121" s="155" t="s">
        <v>7423</v>
      </c>
      <c r="BR121" s="155" t="s">
        <v>255</v>
      </c>
    </row>
    <row r="122" spans="2:70" ht="15.75" customHeight="1" x14ac:dyDescent="0.25">
      <c r="B122" s="10" t="s">
        <v>4748</v>
      </c>
      <c r="C122" s="13">
        <v>8021</v>
      </c>
      <c r="D122" s="139"/>
      <c r="H122" s="139"/>
      <c r="I122" s="109" t="s">
        <v>5246</v>
      </c>
      <c r="J122" s="109" t="s">
        <v>3409</v>
      </c>
      <c r="AA122" s="139"/>
      <c r="AH122" s="123" t="s">
        <v>4786</v>
      </c>
      <c r="AI122" s="123">
        <v>8059</v>
      </c>
      <c r="AJ122" s="139"/>
      <c r="AQ122" t="s">
        <v>6916</v>
      </c>
      <c r="AR122" t="s">
        <v>6835</v>
      </c>
      <c r="BP122" s="155" t="s">
        <v>7424</v>
      </c>
      <c r="BQ122" s="155" t="s">
        <v>7425</v>
      </c>
      <c r="BR122" s="155" t="s">
        <v>255</v>
      </c>
    </row>
    <row r="123" spans="2:70" x14ac:dyDescent="0.25">
      <c r="B123" s="10" t="s">
        <v>4749</v>
      </c>
      <c r="C123" s="13">
        <v>8022</v>
      </c>
      <c r="D123" s="139"/>
      <c r="H123" s="139"/>
      <c r="I123" s="109" t="s">
        <v>5247</v>
      </c>
      <c r="J123" s="109" t="s">
        <v>3410</v>
      </c>
      <c r="AA123" s="139"/>
      <c r="AH123" s="123" t="s">
        <v>4787</v>
      </c>
      <c r="AI123" s="123">
        <v>8060</v>
      </c>
      <c r="AJ123" s="139"/>
      <c r="AQ123" t="s">
        <v>6917</v>
      </c>
      <c r="AR123" t="s">
        <v>6836</v>
      </c>
      <c r="BP123" s="155" t="s">
        <v>7426</v>
      </c>
      <c r="BQ123" s="155" t="s">
        <v>7427</v>
      </c>
      <c r="BR123" s="155" t="s">
        <v>255</v>
      </c>
    </row>
    <row r="124" spans="2:70" x14ac:dyDescent="0.25">
      <c r="B124" s="10" t="s">
        <v>4750</v>
      </c>
      <c r="C124" s="13">
        <v>8023</v>
      </c>
      <c r="D124" s="139"/>
      <c r="H124" s="139"/>
      <c r="I124" s="109" t="s">
        <v>5248</v>
      </c>
      <c r="J124" s="109" t="s">
        <v>3411</v>
      </c>
      <c r="AA124" s="139"/>
      <c r="AH124" s="123" t="s">
        <v>4788</v>
      </c>
      <c r="AI124" s="123">
        <v>8061</v>
      </c>
      <c r="AJ124" s="139"/>
      <c r="AQ124" t="s">
        <v>6918</v>
      </c>
      <c r="AR124" t="s">
        <v>6837</v>
      </c>
      <c r="BP124" s="155" t="s">
        <v>7428</v>
      </c>
      <c r="BQ124" s="155" t="s">
        <v>7429</v>
      </c>
      <c r="BR124" s="155" t="s">
        <v>255</v>
      </c>
    </row>
    <row r="125" spans="2:70" x14ac:dyDescent="0.25">
      <c r="B125" s="10" t="s">
        <v>4751</v>
      </c>
      <c r="C125" s="13">
        <v>8024</v>
      </c>
      <c r="D125" s="139"/>
      <c r="H125" s="139"/>
      <c r="I125" s="109" t="s">
        <v>5249</v>
      </c>
      <c r="J125" s="109" t="s">
        <v>3412</v>
      </c>
      <c r="AA125" s="139"/>
      <c r="AH125" s="123" t="s">
        <v>4789</v>
      </c>
      <c r="AI125" s="123">
        <v>8062</v>
      </c>
      <c r="AJ125" s="139"/>
      <c r="AQ125" t="s">
        <v>6919</v>
      </c>
      <c r="AR125" t="s">
        <v>6838</v>
      </c>
      <c r="BP125" s="155" t="s">
        <v>7430</v>
      </c>
      <c r="BQ125" s="155" t="s">
        <v>37</v>
      </c>
      <c r="BR125" s="155" t="s">
        <v>255</v>
      </c>
    </row>
    <row r="126" spans="2:70" x14ac:dyDescent="0.25">
      <c r="B126" s="10" t="s">
        <v>4752</v>
      </c>
      <c r="C126" s="13">
        <v>8025</v>
      </c>
      <c r="D126" s="139"/>
      <c r="H126" s="139"/>
      <c r="I126" s="109" t="s">
        <v>5250</v>
      </c>
      <c r="J126" s="109" t="s">
        <v>3413</v>
      </c>
      <c r="AA126" s="139"/>
      <c r="AH126" s="123" t="s">
        <v>4790</v>
      </c>
      <c r="AI126" s="123">
        <v>8063</v>
      </c>
      <c r="AJ126" s="139"/>
      <c r="AQ126" t="s">
        <v>6920</v>
      </c>
      <c r="AR126" t="s">
        <v>6839</v>
      </c>
      <c r="BP126" s="155" t="s">
        <v>7431</v>
      </c>
      <c r="BQ126" s="155" t="s">
        <v>7432</v>
      </c>
      <c r="BR126" s="155" t="s">
        <v>255</v>
      </c>
    </row>
    <row r="127" spans="2:70" x14ac:dyDescent="0.25">
      <c r="B127" s="10" t="s">
        <v>4753</v>
      </c>
      <c r="C127" s="13">
        <v>8026</v>
      </c>
      <c r="D127" s="139"/>
      <c r="H127" s="139"/>
      <c r="I127" s="109" t="s">
        <v>5251</v>
      </c>
      <c r="J127" s="109" t="s">
        <v>3414</v>
      </c>
      <c r="AA127" s="139"/>
      <c r="AH127" s="123" t="s">
        <v>4791</v>
      </c>
      <c r="AI127" s="123">
        <v>8064</v>
      </c>
      <c r="AJ127" s="139"/>
      <c r="AQ127" t="s">
        <v>6921</v>
      </c>
      <c r="AR127" t="s">
        <v>6840</v>
      </c>
      <c r="BP127" s="155" t="s">
        <v>7537</v>
      </c>
      <c r="BQ127" s="155" t="s">
        <v>7538</v>
      </c>
      <c r="BR127" s="155" t="s">
        <v>260</v>
      </c>
    </row>
    <row r="128" spans="2:70" x14ac:dyDescent="0.25">
      <c r="B128" s="10" t="s">
        <v>4754</v>
      </c>
      <c r="C128" s="13">
        <v>8027</v>
      </c>
      <c r="D128" s="139"/>
      <c r="H128" s="139"/>
      <c r="I128" s="109" t="s">
        <v>5252</v>
      </c>
      <c r="J128" s="109" t="s">
        <v>3415</v>
      </c>
      <c r="AA128" s="139"/>
      <c r="AH128" s="123" t="s">
        <v>4792</v>
      </c>
      <c r="AI128" s="123">
        <v>8065</v>
      </c>
      <c r="AJ128" s="139"/>
      <c r="AQ128" t="s">
        <v>6922</v>
      </c>
      <c r="AR128" t="s">
        <v>6841</v>
      </c>
      <c r="BP128" s="155" t="s">
        <v>7474</v>
      </c>
      <c r="BQ128" s="155" t="s">
        <v>3237</v>
      </c>
      <c r="BR128" s="155" t="s">
        <v>207</v>
      </c>
    </row>
    <row r="129" spans="2:70" x14ac:dyDescent="0.25">
      <c r="B129" s="10" t="s">
        <v>4755</v>
      </c>
      <c r="C129" s="13">
        <v>8028</v>
      </c>
      <c r="D129" s="139"/>
      <c r="H129" s="139"/>
      <c r="I129" s="109" t="s">
        <v>5253</v>
      </c>
      <c r="J129" s="109" t="s">
        <v>3416</v>
      </c>
      <c r="AA129" s="139"/>
      <c r="AH129" s="123" t="s">
        <v>4793</v>
      </c>
      <c r="AI129" s="123">
        <v>8066</v>
      </c>
      <c r="AJ129" s="139"/>
      <c r="AQ129" t="s">
        <v>6923</v>
      </c>
      <c r="AR129" t="s">
        <v>6842</v>
      </c>
      <c r="BP129" s="155" t="s">
        <v>7539</v>
      </c>
      <c r="BQ129" s="155" t="s">
        <v>3245</v>
      </c>
      <c r="BR129" s="155" t="s">
        <v>207</v>
      </c>
    </row>
    <row r="130" spans="2:70" x14ac:dyDescent="0.25">
      <c r="B130" s="10" t="s">
        <v>4756</v>
      </c>
      <c r="C130" s="13">
        <v>8029</v>
      </c>
      <c r="D130" s="139"/>
      <c r="H130" s="139"/>
      <c r="I130" s="109" t="s">
        <v>5254</v>
      </c>
      <c r="J130" s="109" t="s">
        <v>3417</v>
      </c>
      <c r="AA130" s="139"/>
      <c r="AH130" s="123" t="s">
        <v>4794</v>
      </c>
      <c r="AI130" s="123">
        <v>8067</v>
      </c>
      <c r="AJ130" s="139"/>
      <c r="AQ130" t="s">
        <v>6924</v>
      </c>
      <c r="AR130" t="s">
        <v>6843</v>
      </c>
      <c r="BP130" s="155" t="s">
        <v>7479</v>
      </c>
      <c r="BQ130" s="155" t="s">
        <v>3234</v>
      </c>
      <c r="BR130" s="155" t="s">
        <v>207</v>
      </c>
    </row>
    <row r="131" spans="2:70" x14ac:dyDescent="0.25">
      <c r="B131" s="10" t="s">
        <v>4757</v>
      </c>
      <c r="C131" s="13">
        <v>8030</v>
      </c>
      <c r="D131" s="139"/>
      <c r="H131" s="139"/>
      <c r="I131" s="109" t="s">
        <v>5255</v>
      </c>
      <c r="J131" s="109" t="s">
        <v>3418</v>
      </c>
      <c r="AA131" s="139"/>
      <c r="AH131" s="123" t="s">
        <v>4795</v>
      </c>
      <c r="AI131" s="123">
        <v>8068</v>
      </c>
      <c r="AJ131" s="139"/>
      <c r="AQ131" t="s">
        <v>6925</v>
      </c>
      <c r="AR131" t="s">
        <v>6844</v>
      </c>
      <c r="BP131" s="155" t="s">
        <v>7540</v>
      </c>
      <c r="BQ131" s="155" t="s">
        <v>3246</v>
      </c>
      <c r="BR131" s="155" t="s">
        <v>207</v>
      </c>
    </row>
    <row r="132" spans="2:70" x14ac:dyDescent="0.25">
      <c r="B132" s="10" t="s">
        <v>4758</v>
      </c>
      <c r="C132" s="13">
        <v>8031</v>
      </c>
      <c r="D132" s="139"/>
      <c r="H132" s="139"/>
      <c r="I132" s="109" t="s">
        <v>5256</v>
      </c>
      <c r="J132" s="109" t="s">
        <v>3419</v>
      </c>
      <c r="AA132" s="139"/>
      <c r="AH132" s="123" t="s">
        <v>4796</v>
      </c>
      <c r="AI132" s="123">
        <v>8069</v>
      </c>
      <c r="AJ132" s="139"/>
      <c r="AQ132" t="s">
        <v>6926</v>
      </c>
      <c r="AR132" t="s">
        <v>6845</v>
      </c>
      <c r="BP132" s="155" t="s">
        <v>7482</v>
      </c>
      <c r="BQ132" s="155" t="s">
        <v>7483</v>
      </c>
      <c r="BR132" s="155" t="s">
        <v>207</v>
      </c>
    </row>
    <row r="133" spans="2:70" x14ac:dyDescent="0.25">
      <c r="B133" s="10" t="s">
        <v>4759</v>
      </c>
      <c r="C133" s="13">
        <v>8032</v>
      </c>
      <c r="D133" s="139"/>
      <c r="H133" s="139"/>
      <c r="I133" s="109" t="s">
        <v>5257</v>
      </c>
      <c r="J133" s="109" t="s">
        <v>3420</v>
      </c>
      <c r="AA133" s="139"/>
      <c r="AH133" s="123" t="s">
        <v>4797</v>
      </c>
      <c r="AI133" s="123">
        <v>8070</v>
      </c>
      <c r="AJ133" s="139"/>
      <c r="AQ133" t="s">
        <v>6927</v>
      </c>
      <c r="AR133" t="s">
        <v>6846</v>
      </c>
      <c r="BP133" s="155" t="s">
        <v>7541</v>
      </c>
      <c r="BQ133" s="155" t="s">
        <v>7542</v>
      </c>
      <c r="BR133" s="155" t="s">
        <v>207</v>
      </c>
    </row>
    <row r="134" spans="2:70" x14ac:dyDescent="0.25">
      <c r="B134" s="10" t="s">
        <v>4760</v>
      </c>
      <c r="C134" s="13">
        <v>8033</v>
      </c>
      <c r="D134" s="139"/>
      <c r="H134" s="139"/>
      <c r="I134" s="109" t="s">
        <v>5258</v>
      </c>
      <c r="J134" s="109" t="s">
        <v>3421</v>
      </c>
      <c r="AA134" s="139"/>
      <c r="AH134" s="123" t="s">
        <v>4798</v>
      </c>
      <c r="AI134" s="123">
        <v>8071</v>
      </c>
      <c r="AJ134" s="139"/>
      <c r="AQ134" t="s">
        <v>6928</v>
      </c>
      <c r="AR134" t="s">
        <v>6847</v>
      </c>
      <c r="BP134" s="155" t="s">
        <v>7543</v>
      </c>
      <c r="BQ134" s="155" t="s">
        <v>3243</v>
      </c>
      <c r="BR134" s="155" t="s">
        <v>207</v>
      </c>
    </row>
    <row r="135" spans="2:70" x14ac:dyDescent="0.25">
      <c r="B135" s="10" t="s">
        <v>4761</v>
      </c>
      <c r="C135" s="13">
        <v>8034</v>
      </c>
      <c r="D135" s="139"/>
      <c r="H135" s="139"/>
      <c r="I135" s="109" t="s">
        <v>5259</v>
      </c>
      <c r="J135" s="109" t="s">
        <v>530</v>
      </c>
      <c r="AA135" s="139"/>
      <c r="AH135" s="123" t="s">
        <v>4799</v>
      </c>
      <c r="AI135" s="123">
        <v>8072</v>
      </c>
      <c r="AJ135" s="139"/>
      <c r="AQ135" t="s">
        <v>6929</v>
      </c>
      <c r="AR135" t="s">
        <v>6848</v>
      </c>
      <c r="BP135" s="155" t="s">
        <v>7532</v>
      </c>
      <c r="BQ135" s="155" t="s">
        <v>7533</v>
      </c>
      <c r="BR135" s="155" t="s">
        <v>207</v>
      </c>
    </row>
    <row r="136" spans="2:70" x14ac:dyDescent="0.25">
      <c r="B136" s="10" t="s">
        <v>4762</v>
      </c>
      <c r="C136" s="13">
        <v>8035</v>
      </c>
      <c r="D136" s="139"/>
      <c r="H136" s="139"/>
      <c r="I136" s="109" t="s">
        <v>5260</v>
      </c>
      <c r="J136" s="109" t="s">
        <v>3422</v>
      </c>
      <c r="AA136" s="139"/>
      <c r="AH136" s="123" t="s">
        <v>4800</v>
      </c>
      <c r="AI136" s="123">
        <v>8073</v>
      </c>
      <c r="AJ136" s="139"/>
      <c r="AQ136" t="s">
        <v>6930</v>
      </c>
      <c r="AR136" t="s">
        <v>6849</v>
      </c>
      <c r="BP136" s="155" t="s">
        <v>7544</v>
      </c>
      <c r="BQ136" s="155" t="s">
        <v>3247</v>
      </c>
      <c r="BR136" s="155" t="s">
        <v>207</v>
      </c>
    </row>
    <row r="137" spans="2:70" x14ac:dyDescent="0.25">
      <c r="B137" s="10" t="s">
        <v>4763</v>
      </c>
      <c r="C137" s="13">
        <v>8036</v>
      </c>
      <c r="D137" s="139"/>
      <c r="H137" s="139"/>
      <c r="I137" s="109" t="s">
        <v>5261</v>
      </c>
      <c r="J137" s="109" t="s">
        <v>3423</v>
      </c>
      <c r="AA137" s="139"/>
      <c r="AH137" s="123" t="s">
        <v>4801</v>
      </c>
      <c r="AI137" s="123">
        <v>8074</v>
      </c>
      <c r="AJ137" s="139"/>
      <c r="AQ137" t="s">
        <v>6931</v>
      </c>
      <c r="AR137" t="s">
        <v>6850</v>
      </c>
      <c r="BP137" s="155" t="s">
        <v>7496</v>
      </c>
      <c r="BQ137" s="155" t="s">
        <v>3238</v>
      </c>
      <c r="BR137" s="155" t="s">
        <v>207</v>
      </c>
    </row>
    <row r="138" spans="2:70" x14ac:dyDescent="0.25">
      <c r="B138" s="10" t="s">
        <v>4764</v>
      </c>
      <c r="C138" s="13">
        <v>8037</v>
      </c>
      <c r="D138" s="139"/>
      <c r="H138" s="139"/>
      <c r="I138" s="109" t="s">
        <v>5262</v>
      </c>
      <c r="J138" s="109" t="s">
        <v>3424</v>
      </c>
      <c r="AA138" s="139"/>
      <c r="AH138" s="123" t="s">
        <v>4802</v>
      </c>
      <c r="AI138" s="123">
        <v>8075</v>
      </c>
      <c r="AJ138" s="139"/>
      <c r="AQ138" t="s">
        <v>6932</v>
      </c>
      <c r="AR138" t="s">
        <v>6851</v>
      </c>
      <c r="BP138" s="155" t="s">
        <v>7545</v>
      </c>
      <c r="BQ138" s="155" t="s">
        <v>3244</v>
      </c>
      <c r="BR138" s="155" t="s">
        <v>207</v>
      </c>
    </row>
    <row r="139" spans="2:70" x14ac:dyDescent="0.25">
      <c r="B139" s="10" t="s">
        <v>4765</v>
      </c>
      <c r="C139" s="13">
        <v>8038</v>
      </c>
      <c r="D139" s="139"/>
      <c r="H139" s="139"/>
      <c r="I139" s="109" t="s">
        <v>5263</v>
      </c>
      <c r="J139" s="109" t="s">
        <v>3425</v>
      </c>
      <c r="AA139" s="139"/>
      <c r="AH139" s="123" t="s">
        <v>4803</v>
      </c>
      <c r="AI139" s="123">
        <v>8076</v>
      </c>
      <c r="AJ139" s="139"/>
      <c r="AQ139" t="s">
        <v>6933</v>
      </c>
      <c r="AR139" t="s">
        <v>6852</v>
      </c>
      <c r="BP139" s="155" t="s">
        <v>7546</v>
      </c>
      <c r="BQ139" s="155" t="s">
        <v>3248</v>
      </c>
      <c r="BR139" s="155" t="s">
        <v>207</v>
      </c>
    </row>
    <row r="140" spans="2:70" x14ac:dyDescent="0.25">
      <c r="B140" s="10" t="s">
        <v>4766</v>
      </c>
      <c r="C140" s="13">
        <v>8039</v>
      </c>
      <c r="D140" s="139"/>
      <c r="H140" s="139"/>
      <c r="I140" s="109" t="s">
        <v>5264</v>
      </c>
      <c r="J140" s="109" t="s">
        <v>3426</v>
      </c>
      <c r="AA140" s="139"/>
      <c r="AH140" s="123" t="s">
        <v>4804</v>
      </c>
      <c r="AI140" s="123">
        <v>8077</v>
      </c>
      <c r="AJ140" s="139"/>
      <c r="AQ140" t="s">
        <v>6934</v>
      </c>
      <c r="AR140" t="s">
        <v>6853</v>
      </c>
      <c r="BP140" s="155" t="s">
        <v>7547</v>
      </c>
      <c r="BQ140" s="155" t="s">
        <v>7548</v>
      </c>
      <c r="BR140" s="155" t="s">
        <v>207</v>
      </c>
    </row>
    <row r="141" spans="2:70" x14ac:dyDescent="0.25">
      <c r="B141" s="10" t="s">
        <v>4767</v>
      </c>
      <c r="C141" s="13">
        <v>8040</v>
      </c>
      <c r="D141" s="139"/>
      <c r="H141" s="139"/>
      <c r="I141" s="109" t="s">
        <v>5265</v>
      </c>
      <c r="J141" s="109" t="s">
        <v>3427</v>
      </c>
      <c r="AA141" s="139"/>
      <c r="AH141" s="123" t="s">
        <v>4805</v>
      </c>
      <c r="AI141" s="123">
        <v>8078</v>
      </c>
      <c r="AJ141" s="139"/>
      <c r="AQ141" t="s">
        <v>6935</v>
      </c>
      <c r="AR141" t="s">
        <v>6854</v>
      </c>
      <c r="BP141" s="155" t="s">
        <v>7549</v>
      </c>
      <c r="BQ141" s="155" t="s">
        <v>3249</v>
      </c>
      <c r="BR141" s="155" t="s">
        <v>207</v>
      </c>
    </row>
    <row r="142" spans="2:70" x14ac:dyDescent="0.25">
      <c r="B142" s="10" t="s">
        <v>4768</v>
      </c>
      <c r="C142" s="13">
        <v>8041</v>
      </c>
      <c r="D142" s="139"/>
      <c r="H142" s="139"/>
      <c r="I142" s="109" t="s">
        <v>5266</v>
      </c>
      <c r="J142" s="109" t="s">
        <v>3428</v>
      </c>
      <c r="AA142" s="139"/>
      <c r="AH142" s="123" t="s">
        <v>4806</v>
      </c>
      <c r="AI142" s="123">
        <v>8079</v>
      </c>
      <c r="AJ142" s="139"/>
      <c r="AQ142" t="s">
        <v>6936</v>
      </c>
      <c r="AR142" t="s">
        <v>6855</v>
      </c>
      <c r="BP142" s="155" t="s">
        <v>7550</v>
      </c>
      <c r="BQ142" s="155" t="s">
        <v>7551</v>
      </c>
      <c r="BR142" s="155" t="s">
        <v>207</v>
      </c>
    </row>
    <row r="143" spans="2:70" x14ac:dyDescent="0.25">
      <c r="B143" s="10" t="s">
        <v>4769</v>
      </c>
      <c r="C143" s="13">
        <v>8042</v>
      </c>
      <c r="D143" s="139"/>
      <c r="H143" s="139"/>
      <c r="I143" s="109" t="s">
        <v>5267</v>
      </c>
      <c r="J143" s="109" t="s">
        <v>3429</v>
      </c>
      <c r="AA143" s="139"/>
      <c r="AH143" s="123" t="s">
        <v>4807</v>
      </c>
      <c r="AI143" s="123">
        <v>8080</v>
      </c>
      <c r="AJ143" s="139"/>
      <c r="AQ143" t="s">
        <v>6937</v>
      </c>
      <c r="AR143" t="s">
        <v>6856</v>
      </c>
      <c r="BP143" s="155" t="s">
        <v>7552</v>
      </c>
      <c r="BQ143" s="155" t="s">
        <v>188</v>
      </c>
      <c r="BR143" s="155" t="s">
        <v>7602</v>
      </c>
    </row>
    <row r="144" spans="2:70" x14ac:dyDescent="0.25">
      <c r="B144" s="10" t="s">
        <v>4770</v>
      </c>
      <c r="C144" s="13">
        <v>8043</v>
      </c>
      <c r="D144" s="139"/>
      <c r="H144" s="139"/>
      <c r="I144" s="109" t="s">
        <v>5268</v>
      </c>
      <c r="J144" s="109" t="s">
        <v>3430</v>
      </c>
      <c r="AA144" s="139"/>
      <c r="AH144" s="123" t="s">
        <v>4808</v>
      </c>
      <c r="AI144" s="123">
        <v>8081</v>
      </c>
      <c r="AJ144" s="139"/>
      <c r="AQ144" t="s">
        <v>6938</v>
      </c>
      <c r="AR144" t="s">
        <v>6857</v>
      </c>
      <c r="BP144" s="155" t="s">
        <v>7553</v>
      </c>
      <c r="BQ144" s="155" t="s">
        <v>201</v>
      </c>
      <c r="BR144" s="155" t="s">
        <v>7602</v>
      </c>
    </row>
    <row r="145" spans="2:70" x14ac:dyDescent="0.25">
      <c r="B145" s="10" t="s">
        <v>4771</v>
      </c>
      <c r="C145" s="13">
        <v>8044</v>
      </c>
      <c r="D145" s="139"/>
      <c r="H145" s="139"/>
      <c r="I145" s="109" t="s">
        <v>5269</v>
      </c>
      <c r="J145" s="109" t="s">
        <v>3431</v>
      </c>
      <c r="AA145" s="139"/>
      <c r="AH145" s="123" t="s">
        <v>4809</v>
      </c>
      <c r="AI145" s="123">
        <v>8082</v>
      </c>
      <c r="AJ145" s="139"/>
      <c r="AQ145" t="s">
        <v>6939</v>
      </c>
      <c r="AR145" t="s">
        <v>6858</v>
      </c>
      <c r="BP145" s="155" t="s">
        <v>7554</v>
      </c>
      <c r="BQ145" s="155" t="s">
        <v>7555</v>
      </c>
      <c r="BR145" s="155" t="s">
        <v>7602</v>
      </c>
    </row>
    <row r="146" spans="2:70" x14ac:dyDescent="0.25">
      <c r="B146" s="10" t="s">
        <v>4772</v>
      </c>
      <c r="C146" s="13">
        <v>8045</v>
      </c>
      <c r="D146" s="139"/>
      <c r="H146" s="139"/>
      <c r="I146" s="109" t="s">
        <v>5270</v>
      </c>
      <c r="J146" s="109" t="s">
        <v>3432</v>
      </c>
      <c r="AA146" s="139"/>
      <c r="AH146" s="123" t="s">
        <v>4810</v>
      </c>
      <c r="AI146" s="123">
        <v>8083</v>
      </c>
      <c r="AJ146" s="139"/>
      <c r="AQ146" t="s">
        <v>6940</v>
      </c>
      <c r="AR146" t="s">
        <v>6859</v>
      </c>
      <c r="BP146" s="155" t="s">
        <v>7414</v>
      </c>
      <c r="BQ146" s="155" t="s">
        <v>7415</v>
      </c>
      <c r="BR146" s="155" t="s">
        <v>7282</v>
      </c>
    </row>
    <row r="147" spans="2:70" x14ac:dyDescent="0.25">
      <c r="B147" s="10" t="s">
        <v>4773</v>
      </c>
      <c r="C147" s="13">
        <v>8046</v>
      </c>
      <c r="D147" s="139"/>
      <c r="H147" s="139"/>
      <c r="I147" s="109" t="s">
        <v>5271</v>
      </c>
      <c r="J147" s="109" t="s">
        <v>3433</v>
      </c>
      <c r="AA147" s="139"/>
      <c r="AH147" s="123" t="s">
        <v>4811</v>
      </c>
      <c r="AI147" s="123">
        <v>8084</v>
      </c>
      <c r="AJ147" s="139"/>
      <c r="AQ147" t="s">
        <v>6941</v>
      </c>
      <c r="AR147" t="s">
        <v>6860</v>
      </c>
      <c r="BP147" s="155" t="s">
        <v>7416</v>
      </c>
      <c r="BQ147" s="155" t="s">
        <v>7417</v>
      </c>
      <c r="BR147" s="155" t="s">
        <v>7282</v>
      </c>
    </row>
    <row r="148" spans="2:70" x14ac:dyDescent="0.25">
      <c r="B148" s="10" t="s">
        <v>4774</v>
      </c>
      <c r="C148" s="13">
        <v>8047</v>
      </c>
      <c r="D148" s="139"/>
      <c r="H148" s="139"/>
      <c r="I148" s="109" t="s">
        <v>5272</v>
      </c>
      <c r="J148" s="109" t="s">
        <v>3434</v>
      </c>
      <c r="AH148" s="123" t="s">
        <v>4812</v>
      </c>
      <c r="AI148" s="123">
        <v>8085</v>
      </c>
      <c r="AJ148" s="139"/>
      <c r="AQ148" t="s">
        <v>6942</v>
      </c>
      <c r="AR148" t="s">
        <v>6861</v>
      </c>
      <c r="BP148" s="155" t="s">
        <v>7418</v>
      </c>
      <c r="BQ148" s="155" t="s">
        <v>7419</v>
      </c>
      <c r="BR148" s="155" t="s">
        <v>7282</v>
      </c>
    </row>
    <row r="149" spans="2:70" x14ac:dyDescent="0.25">
      <c r="B149" s="10" t="s">
        <v>4775</v>
      </c>
      <c r="C149" s="13">
        <v>8048</v>
      </c>
      <c r="D149" s="139"/>
      <c r="H149" s="139"/>
      <c r="I149" s="109" t="s">
        <v>5273</v>
      </c>
      <c r="J149" s="109" t="s">
        <v>3435</v>
      </c>
      <c r="AH149" s="123" t="s">
        <v>4813</v>
      </c>
      <c r="AI149" s="123">
        <v>8086</v>
      </c>
      <c r="AJ149" s="139"/>
      <c r="AQ149" t="s">
        <v>6943</v>
      </c>
      <c r="AR149" t="s">
        <v>6862</v>
      </c>
      <c r="BP149" s="155" t="s">
        <v>7420</v>
      </c>
      <c r="BQ149" s="155" t="s">
        <v>7421</v>
      </c>
      <c r="BR149" s="155" t="s">
        <v>7282</v>
      </c>
    </row>
    <row r="150" spans="2:70" x14ac:dyDescent="0.25">
      <c r="B150" s="10" t="s">
        <v>4776</v>
      </c>
      <c r="C150" s="13">
        <v>8049</v>
      </c>
      <c r="D150" s="139"/>
      <c r="H150" s="139"/>
      <c r="I150" s="109" t="s">
        <v>5274</v>
      </c>
      <c r="J150" s="109" t="s">
        <v>3436</v>
      </c>
      <c r="AH150" s="123" t="s">
        <v>4814</v>
      </c>
      <c r="AI150" s="123">
        <v>8087</v>
      </c>
      <c r="AJ150" s="139"/>
      <c r="AQ150" t="s">
        <v>6945</v>
      </c>
      <c r="AR150" t="s">
        <v>15</v>
      </c>
      <c r="BP150" s="155" t="s">
        <v>7422</v>
      </c>
      <c r="BQ150" s="155" t="s">
        <v>7423</v>
      </c>
      <c r="BR150" s="155" t="s">
        <v>7282</v>
      </c>
    </row>
    <row r="151" spans="2:70" x14ac:dyDescent="0.25">
      <c r="B151" s="10" t="s">
        <v>4777</v>
      </c>
      <c r="C151" s="13">
        <v>8050</v>
      </c>
      <c r="D151" s="139"/>
      <c r="H151" s="139"/>
      <c r="I151" s="109" t="s">
        <v>5275</v>
      </c>
      <c r="J151" s="109" t="s">
        <v>3437</v>
      </c>
      <c r="AH151" s="123" t="s">
        <v>4815</v>
      </c>
      <c r="AI151" s="123">
        <v>8088</v>
      </c>
      <c r="AJ151" s="139"/>
      <c r="AQ151" t="s">
        <v>6946</v>
      </c>
      <c r="AR151" t="s">
        <v>6864</v>
      </c>
      <c r="BP151" s="155" t="s">
        <v>7424</v>
      </c>
      <c r="BQ151" s="155" t="s">
        <v>7425</v>
      </c>
      <c r="BR151" s="155" t="s">
        <v>7282</v>
      </c>
    </row>
    <row r="152" spans="2:70" x14ac:dyDescent="0.25">
      <c r="B152" s="10" t="s">
        <v>4778</v>
      </c>
      <c r="C152" s="13">
        <v>8051</v>
      </c>
      <c r="D152" s="139"/>
      <c r="H152" s="139"/>
      <c r="I152" s="109" t="s">
        <v>5276</v>
      </c>
      <c r="J152" s="109" t="s">
        <v>3438</v>
      </c>
      <c r="AH152" s="123" t="s">
        <v>4816</v>
      </c>
      <c r="AI152" s="123">
        <v>8089</v>
      </c>
      <c r="AJ152" s="139"/>
      <c r="AQ152" t="s">
        <v>6947</v>
      </c>
      <c r="AR152" t="s">
        <v>6865</v>
      </c>
      <c r="BP152" s="155" t="s">
        <v>7426</v>
      </c>
      <c r="BQ152" s="155" t="s">
        <v>7427</v>
      </c>
      <c r="BR152" s="155" t="s">
        <v>7282</v>
      </c>
    </row>
    <row r="153" spans="2:70" x14ac:dyDescent="0.25">
      <c r="B153" s="10" t="s">
        <v>4779</v>
      </c>
      <c r="C153" s="13">
        <v>8052</v>
      </c>
      <c r="D153" s="139"/>
      <c r="H153" s="139"/>
      <c r="I153" s="109" t="s">
        <v>5277</v>
      </c>
      <c r="J153" s="109" t="s">
        <v>3439</v>
      </c>
      <c r="AH153" s="123" t="s">
        <v>4817</v>
      </c>
      <c r="AI153" s="123">
        <v>8090</v>
      </c>
      <c r="AJ153" s="139"/>
      <c r="AQ153" t="s">
        <v>6948</v>
      </c>
      <c r="AR153" t="s">
        <v>6866</v>
      </c>
      <c r="BP153" s="155" t="s">
        <v>7428</v>
      </c>
      <c r="BQ153" s="155" t="s">
        <v>7429</v>
      </c>
      <c r="BR153" s="155" t="s">
        <v>7282</v>
      </c>
    </row>
    <row r="154" spans="2:70" x14ac:dyDescent="0.25">
      <c r="B154" s="10" t="s">
        <v>4780</v>
      </c>
      <c r="C154" s="13">
        <v>8053</v>
      </c>
      <c r="D154" s="139"/>
      <c r="H154" s="139"/>
      <c r="I154" s="109" t="s">
        <v>5278</v>
      </c>
      <c r="J154" s="109" t="s">
        <v>3440</v>
      </c>
      <c r="AH154" s="123" t="s">
        <v>4818</v>
      </c>
      <c r="AI154" s="123">
        <v>8091</v>
      </c>
      <c r="AJ154" s="139"/>
      <c r="AQ154" t="s">
        <v>6949</v>
      </c>
      <c r="AR154" t="s">
        <v>6867</v>
      </c>
      <c r="BP154" s="155" t="s">
        <v>7430</v>
      </c>
      <c r="BQ154" s="155" t="s">
        <v>37</v>
      </c>
      <c r="BR154" s="155" t="s">
        <v>7282</v>
      </c>
    </row>
    <row r="155" spans="2:70" x14ac:dyDescent="0.25">
      <c r="B155" s="10" t="s">
        <v>4781</v>
      </c>
      <c r="C155" s="13">
        <v>8054</v>
      </c>
      <c r="D155" s="139"/>
      <c r="H155" s="139"/>
      <c r="I155" s="109" t="s">
        <v>5279</v>
      </c>
      <c r="J155" s="109" t="s">
        <v>3441</v>
      </c>
      <c r="AH155" s="123" t="s">
        <v>4819</v>
      </c>
      <c r="AI155" s="123">
        <v>8092</v>
      </c>
      <c r="AJ155" s="139"/>
      <c r="AQ155" t="s">
        <v>6950</v>
      </c>
      <c r="AR155" t="s">
        <v>6868</v>
      </c>
      <c r="BP155" s="155" t="s">
        <v>7431</v>
      </c>
      <c r="BQ155" s="155" t="s">
        <v>7432</v>
      </c>
      <c r="BR155" s="155" t="s">
        <v>7282</v>
      </c>
    </row>
    <row r="156" spans="2:70" x14ac:dyDescent="0.25">
      <c r="B156" s="10" t="s">
        <v>4782</v>
      </c>
      <c r="C156" s="13">
        <v>8055</v>
      </c>
      <c r="D156" s="139"/>
      <c r="H156" s="139"/>
      <c r="I156" s="109" t="s">
        <v>5280</v>
      </c>
      <c r="J156" s="109" t="s">
        <v>3442</v>
      </c>
      <c r="AH156" s="123" t="s">
        <v>4820</v>
      </c>
      <c r="AI156" s="123">
        <v>8093</v>
      </c>
      <c r="AJ156" s="139"/>
      <c r="AQ156" t="s">
        <v>6951</v>
      </c>
      <c r="AR156" t="s">
        <v>6869</v>
      </c>
      <c r="BP156" s="155" t="s">
        <v>7433</v>
      </c>
      <c r="BQ156" s="155" t="s">
        <v>7434</v>
      </c>
      <c r="BR156" s="155" t="s">
        <v>7302</v>
      </c>
    </row>
    <row r="157" spans="2:70" x14ac:dyDescent="0.25">
      <c r="B157" s="10" t="s">
        <v>4783</v>
      </c>
      <c r="C157" s="13">
        <v>8056</v>
      </c>
      <c r="D157" s="139"/>
      <c r="H157" s="139"/>
      <c r="I157" s="109" t="s">
        <v>5281</v>
      </c>
      <c r="J157" s="109" t="s">
        <v>3443</v>
      </c>
      <c r="AH157" s="123" t="s">
        <v>4821</v>
      </c>
      <c r="AI157" s="123">
        <v>8094</v>
      </c>
      <c r="AJ157" s="139"/>
      <c r="AQ157" t="s">
        <v>6952</v>
      </c>
      <c r="AR157" t="s">
        <v>6870</v>
      </c>
      <c r="BP157" s="155" t="s">
        <v>7435</v>
      </c>
      <c r="BQ157" s="155" t="s">
        <v>7436</v>
      </c>
      <c r="BR157" s="155" t="s">
        <v>7302</v>
      </c>
    </row>
    <row r="158" spans="2:70" x14ac:dyDescent="0.25">
      <c r="B158" s="10" t="s">
        <v>4784</v>
      </c>
      <c r="C158" s="13">
        <v>8057</v>
      </c>
      <c r="D158" s="139"/>
      <c r="H158" s="139"/>
      <c r="I158" s="109" t="s">
        <v>5282</v>
      </c>
      <c r="J158" s="109" t="s">
        <v>3444</v>
      </c>
      <c r="AH158" s="123" t="s">
        <v>4822</v>
      </c>
      <c r="AI158" s="123">
        <v>8095</v>
      </c>
      <c r="AJ158" s="139"/>
      <c r="AQ158" t="s">
        <v>6953</v>
      </c>
      <c r="AR158" t="s">
        <v>6871</v>
      </c>
      <c r="BP158" s="155" t="s">
        <v>7428</v>
      </c>
      <c r="BQ158" s="155" t="s">
        <v>7429</v>
      </c>
      <c r="BR158" s="155" t="s">
        <v>7302</v>
      </c>
    </row>
    <row r="159" spans="2:70" x14ac:dyDescent="0.25">
      <c r="B159" s="10" t="s">
        <v>4785</v>
      </c>
      <c r="C159" s="13">
        <v>8058</v>
      </c>
      <c r="D159" s="139"/>
      <c r="H159" s="139"/>
      <c r="I159" s="109" t="s">
        <v>5283</v>
      </c>
      <c r="J159" s="109" t="s">
        <v>3445</v>
      </c>
      <c r="AH159" s="123" t="s">
        <v>4823</v>
      </c>
      <c r="AI159" s="123">
        <v>8096</v>
      </c>
      <c r="AJ159" s="139"/>
      <c r="AQ159" t="s">
        <v>6954</v>
      </c>
      <c r="AR159" t="s">
        <v>6872</v>
      </c>
      <c r="BP159" s="155" t="s">
        <v>7492</v>
      </c>
      <c r="BQ159" s="155" t="s">
        <v>7493</v>
      </c>
      <c r="BR159" s="155" t="s">
        <v>228</v>
      </c>
    </row>
    <row r="160" spans="2:70" x14ac:dyDescent="0.25">
      <c r="B160" s="10" t="s">
        <v>4786</v>
      </c>
      <c r="C160" s="13">
        <v>8059</v>
      </c>
      <c r="D160" s="139"/>
      <c r="H160" s="139"/>
      <c r="I160" s="109" t="s">
        <v>5284</v>
      </c>
      <c r="J160" s="109" t="s">
        <v>3446</v>
      </c>
      <c r="AH160" s="123" t="s">
        <v>4824</v>
      </c>
      <c r="AI160" s="123">
        <v>8097</v>
      </c>
      <c r="AJ160" s="139"/>
      <c r="AQ160" t="s">
        <v>6955</v>
      </c>
      <c r="AR160" t="s">
        <v>6873</v>
      </c>
      <c r="BP160" s="155" t="s">
        <v>7464</v>
      </c>
      <c r="BQ160" s="155" t="s">
        <v>7465</v>
      </c>
      <c r="BR160" s="155" t="s">
        <v>238</v>
      </c>
    </row>
    <row r="161" spans="2:70" x14ac:dyDescent="0.25">
      <c r="B161" s="10" t="s">
        <v>4787</v>
      </c>
      <c r="C161" s="13">
        <v>8060</v>
      </c>
      <c r="D161" s="139"/>
      <c r="H161" s="139"/>
      <c r="I161" s="109" t="s">
        <v>5285</v>
      </c>
      <c r="J161" s="109" t="s">
        <v>3447</v>
      </c>
      <c r="AH161" s="123" t="s">
        <v>4825</v>
      </c>
      <c r="AI161" s="123">
        <v>8098</v>
      </c>
      <c r="AJ161" s="139"/>
      <c r="AQ161" t="s">
        <v>6956</v>
      </c>
      <c r="AR161" t="s">
        <v>492</v>
      </c>
      <c r="BP161" s="155" t="s">
        <v>7474</v>
      </c>
      <c r="BQ161" s="155" t="s">
        <v>3237</v>
      </c>
      <c r="BR161" s="155" t="s">
        <v>238</v>
      </c>
    </row>
    <row r="162" spans="2:70" x14ac:dyDescent="0.25">
      <c r="B162" s="10" t="s">
        <v>4788</v>
      </c>
      <c r="C162" s="13">
        <v>8061</v>
      </c>
      <c r="D162" s="139"/>
      <c r="H162" s="139"/>
      <c r="I162" s="109" t="s">
        <v>5286</v>
      </c>
      <c r="J162" s="109" t="s">
        <v>3448</v>
      </c>
      <c r="AH162" s="123" t="s">
        <v>4826</v>
      </c>
      <c r="AI162" s="123">
        <v>8099</v>
      </c>
      <c r="AJ162" s="139"/>
      <c r="AQ162" t="s">
        <v>6957</v>
      </c>
      <c r="AR162" t="s">
        <v>6874</v>
      </c>
      <c r="BP162" s="155" t="s">
        <v>7556</v>
      </c>
      <c r="BQ162" s="155" t="s">
        <v>7557</v>
      </c>
      <c r="BR162" s="155" t="s">
        <v>238</v>
      </c>
    </row>
    <row r="163" spans="2:70" x14ac:dyDescent="0.25">
      <c r="B163" s="10" t="s">
        <v>4789</v>
      </c>
      <c r="C163" s="13">
        <v>8062</v>
      </c>
      <c r="D163" s="139"/>
      <c r="H163" s="139"/>
      <c r="I163" s="109" t="s">
        <v>5287</v>
      </c>
      <c r="J163" s="109" t="s">
        <v>3449</v>
      </c>
      <c r="AH163" s="123" t="s">
        <v>4827</v>
      </c>
      <c r="AI163" s="123">
        <v>8100</v>
      </c>
      <c r="AJ163" s="139"/>
      <c r="AQ163" t="s">
        <v>6958</v>
      </c>
      <c r="AR163" t="s">
        <v>6875</v>
      </c>
      <c r="BP163" s="155" t="s">
        <v>7475</v>
      </c>
      <c r="BQ163" s="155" t="s">
        <v>7476</v>
      </c>
      <c r="BR163" s="155" t="s">
        <v>238</v>
      </c>
    </row>
    <row r="164" spans="2:70" x14ac:dyDescent="0.25">
      <c r="B164" s="10" t="s">
        <v>4790</v>
      </c>
      <c r="C164" s="13">
        <v>8063</v>
      </c>
      <c r="D164" s="139"/>
      <c r="H164" s="139"/>
      <c r="I164" s="109" t="s">
        <v>5288</v>
      </c>
      <c r="J164" s="109" t="s">
        <v>3450</v>
      </c>
      <c r="AH164" s="123" t="s">
        <v>4828</v>
      </c>
      <c r="AI164" s="123">
        <v>8101</v>
      </c>
      <c r="AJ164" s="139"/>
      <c r="AQ164" t="s">
        <v>6959</v>
      </c>
      <c r="AR164" t="s">
        <v>6876</v>
      </c>
      <c r="BP164" s="155" t="s">
        <v>7479</v>
      </c>
      <c r="BQ164" s="155" t="s">
        <v>3234</v>
      </c>
      <c r="BR164" s="155" t="s">
        <v>238</v>
      </c>
    </row>
    <row r="165" spans="2:70" x14ac:dyDescent="0.25">
      <c r="B165" s="10" t="s">
        <v>4791</v>
      </c>
      <c r="C165" s="13">
        <v>8064</v>
      </c>
      <c r="D165" s="139"/>
      <c r="H165" s="139"/>
      <c r="I165" s="109" t="s">
        <v>5289</v>
      </c>
      <c r="J165" s="109" t="s">
        <v>3451</v>
      </c>
      <c r="AH165" s="123" t="s">
        <v>4829</v>
      </c>
      <c r="AI165" s="123">
        <v>8102</v>
      </c>
      <c r="AJ165" s="139"/>
      <c r="AQ165" t="s">
        <v>6960</v>
      </c>
      <c r="AR165" t="s">
        <v>6877</v>
      </c>
      <c r="BP165" s="155" t="s">
        <v>7490</v>
      </c>
      <c r="BQ165" s="155" t="s">
        <v>7491</v>
      </c>
      <c r="BR165" s="155" t="s">
        <v>238</v>
      </c>
    </row>
    <row r="166" spans="2:70" x14ac:dyDescent="0.25">
      <c r="B166" s="10" t="s">
        <v>4792</v>
      </c>
      <c r="C166" s="13">
        <v>8065</v>
      </c>
      <c r="D166" s="139"/>
      <c r="H166" s="139"/>
      <c r="I166" s="109" t="s">
        <v>5290</v>
      </c>
      <c r="J166" s="109" t="s">
        <v>3452</v>
      </c>
      <c r="AH166" s="123" t="s">
        <v>4830</v>
      </c>
      <c r="AI166" s="123">
        <v>8103</v>
      </c>
      <c r="AJ166" s="139"/>
      <c r="AQ166" t="s">
        <v>6961</v>
      </c>
      <c r="AR166" t="s">
        <v>6878</v>
      </c>
      <c r="BP166" s="155" t="s">
        <v>7558</v>
      </c>
      <c r="BQ166" s="155" t="s">
        <v>7559</v>
      </c>
      <c r="BR166" s="155" t="s">
        <v>238</v>
      </c>
    </row>
    <row r="167" spans="2:70" x14ac:dyDescent="0.25">
      <c r="B167" s="10" t="s">
        <v>4793</v>
      </c>
      <c r="C167" s="13">
        <v>8066</v>
      </c>
      <c r="D167" s="139"/>
      <c r="H167" s="139"/>
      <c r="I167" s="109" t="s">
        <v>5291</v>
      </c>
      <c r="J167" s="109" t="s">
        <v>3453</v>
      </c>
      <c r="AH167" s="123" t="s">
        <v>4831</v>
      </c>
      <c r="AI167" s="123">
        <v>8104</v>
      </c>
      <c r="AJ167" s="139"/>
      <c r="AQ167" t="s">
        <v>6962</v>
      </c>
      <c r="AR167" t="s">
        <v>513</v>
      </c>
      <c r="BP167" s="155" t="s">
        <v>7560</v>
      </c>
      <c r="BQ167" s="155" t="s">
        <v>7561</v>
      </c>
      <c r="BR167" s="155" t="s">
        <v>238</v>
      </c>
    </row>
    <row r="168" spans="2:70" x14ac:dyDescent="0.25">
      <c r="B168" s="10" t="s">
        <v>4794</v>
      </c>
      <c r="C168" s="13">
        <v>8067</v>
      </c>
      <c r="D168" s="139"/>
      <c r="H168" s="139"/>
      <c r="I168" s="109" t="s">
        <v>5292</v>
      </c>
      <c r="J168" s="109" t="s">
        <v>3454</v>
      </c>
      <c r="AH168" s="123" t="s">
        <v>4832</v>
      </c>
      <c r="AI168" s="123">
        <v>8105</v>
      </c>
      <c r="AJ168" s="139"/>
      <c r="AQ168" t="s">
        <v>6963</v>
      </c>
      <c r="AR168" t="s">
        <v>6879</v>
      </c>
      <c r="BP168" s="155" t="s">
        <v>7562</v>
      </c>
      <c r="BQ168" s="155" t="s">
        <v>7563</v>
      </c>
      <c r="BR168" s="155" t="s">
        <v>238</v>
      </c>
    </row>
    <row r="169" spans="2:70" x14ac:dyDescent="0.25">
      <c r="B169" s="10" t="s">
        <v>4795</v>
      </c>
      <c r="C169" s="13">
        <v>8068</v>
      </c>
      <c r="D169" s="139"/>
      <c r="H169" s="139"/>
      <c r="I169" s="109" t="s">
        <v>5293</v>
      </c>
      <c r="J169" s="109" t="s">
        <v>3455</v>
      </c>
      <c r="AH169" s="123" t="s">
        <v>4833</v>
      </c>
      <c r="AI169" s="123">
        <v>8106</v>
      </c>
      <c r="AJ169" s="139"/>
      <c r="AQ169" t="s">
        <v>6964</v>
      </c>
      <c r="AR169" t="s">
        <v>6880</v>
      </c>
      <c r="BP169" s="155" t="s">
        <v>7503</v>
      </c>
      <c r="BQ169" s="155" t="s">
        <v>7504</v>
      </c>
      <c r="BR169" s="155" t="s">
        <v>238</v>
      </c>
    </row>
    <row r="170" spans="2:70" x14ac:dyDescent="0.25">
      <c r="B170" s="10" t="s">
        <v>4796</v>
      </c>
      <c r="C170" s="13">
        <v>8069</v>
      </c>
      <c r="D170" s="139"/>
      <c r="H170" s="139"/>
      <c r="I170" s="109" t="s">
        <v>5294</v>
      </c>
      <c r="J170" s="109" t="s">
        <v>3456</v>
      </c>
      <c r="AH170" s="123" t="s">
        <v>4834</v>
      </c>
      <c r="AI170" s="123">
        <v>8107</v>
      </c>
      <c r="AJ170" s="139"/>
      <c r="AQ170" t="s">
        <v>6965</v>
      </c>
      <c r="AR170" t="s">
        <v>6881</v>
      </c>
      <c r="BP170" s="155" t="s">
        <v>7372</v>
      </c>
      <c r="BQ170" s="155" t="s">
        <v>7373</v>
      </c>
      <c r="BR170" s="155" t="s">
        <v>3242</v>
      </c>
    </row>
    <row r="171" spans="2:70" x14ac:dyDescent="0.25">
      <c r="B171" s="10" t="s">
        <v>4797</v>
      </c>
      <c r="C171" s="13">
        <v>8070</v>
      </c>
      <c r="D171" s="139"/>
      <c r="H171" s="139"/>
      <c r="I171" s="109" t="s">
        <v>5295</v>
      </c>
      <c r="J171" s="109" t="s">
        <v>3457</v>
      </c>
      <c r="AH171" s="123" t="s">
        <v>4835</v>
      </c>
      <c r="AI171" s="123">
        <v>8108</v>
      </c>
      <c r="AJ171" s="139"/>
      <c r="AQ171" t="s">
        <v>6966</v>
      </c>
      <c r="AR171" t="s">
        <v>6882</v>
      </c>
      <c r="BP171" s="155" t="s">
        <v>7535</v>
      </c>
      <c r="BQ171" s="155" t="s">
        <v>7536</v>
      </c>
      <c r="BR171" s="155" t="s">
        <v>3242</v>
      </c>
    </row>
    <row r="172" spans="2:70" x14ac:dyDescent="0.25">
      <c r="B172" s="10" t="s">
        <v>4798</v>
      </c>
      <c r="C172" s="13">
        <v>8071</v>
      </c>
      <c r="D172" s="139"/>
      <c r="H172" s="139"/>
      <c r="I172" s="109" t="s">
        <v>5296</v>
      </c>
      <c r="J172" s="109" t="s">
        <v>3458</v>
      </c>
      <c r="AH172" s="123" t="s">
        <v>4836</v>
      </c>
      <c r="AI172" s="123">
        <v>8109</v>
      </c>
      <c r="AJ172" s="139"/>
      <c r="AQ172" t="s">
        <v>6967</v>
      </c>
      <c r="AR172" t="s">
        <v>6883</v>
      </c>
      <c r="BP172" s="155" t="s">
        <v>7564</v>
      </c>
      <c r="BQ172" s="155" t="s">
        <v>7565</v>
      </c>
      <c r="BR172" s="155" t="s">
        <v>246</v>
      </c>
    </row>
    <row r="173" spans="2:70" x14ac:dyDescent="0.25">
      <c r="B173" s="10" t="s">
        <v>4799</v>
      </c>
      <c r="C173" s="13">
        <v>8072</v>
      </c>
      <c r="D173" s="139"/>
      <c r="H173" s="139"/>
      <c r="I173" s="109" t="s">
        <v>5297</v>
      </c>
      <c r="J173" s="109" t="s">
        <v>3459</v>
      </c>
      <c r="AH173" s="123" t="s">
        <v>4837</v>
      </c>
      <c r="AI173" s="123">
        <v>8110</v>
      </c>
      <c r="AJ173" s="139"/>
      <c r="AQ173" t="s">
        <v>6968</v>
      </c>
      <c r="AR173" t="s">
        <v>6884</v>
      </c>
      <c r="BP173" s="155" t="s">
        <v>7566</v>
      </c>
      <c r="BQ173" s="155" t="s">
        <v>7567</v>
      </c>
      <c r="BR173" s="155" t="s">
        <v>246</v>
      </c>
    </row>
    <row r="174" spans="2:70" x14ac:dyDescent="0.25">
      <c r="B174" s="10" t="s">
        <v>4800</v>
      </c>
      <c r="C174" s="13">
        <v>8073</v>
      </c>
      <c r="D174" s="139"/>
      <c r="H174" s="139"/>
      <c r="I174" s="109" t="s">
        <v>5298</v>
      </c>
      <c r="J174" s="109" t="s">
        <v>3460</v>
      </c>
      <c r="AH174" s="123" t="s">
        <v>4838</v>
      </c>
      <c r="AI174" s="123">
        <v>8111</v>
      </c>
      <c r="AJ174" s="139"/>
      <c r="AQ174" t="s">
        <v>6969</v>
      </c>
      <c r="AR174" t="s">
        <v>3193</v>
      </c>
      <c r="BP174" s="155" t="s">
        <v>7568</v>
      </c>
      <c r="BQ174" s="155" t="s">
        <v>7569</v>
      </c>
      <c r="BR174" s="155" t="s">
        <v>246</v>
      </c>
    </row>
    <row r="175" spans="2:70" x14ac:dyDescent="0.25">
      <c r="B175" s="10" t="s">
        <v>4801</v>
      </c>
      <c r="C175" s="13">
        <v>8074</v>
      </c>
      <c r="D175" s="139"/>
      <c r="H175" s="139"/>
      <c r="I175" s="109" t="s">
        <v>5299</v>
      </c>
      <c r="J175" s="109" t="s">
        <v>3461</v>
      </c>
      <c r="AH175" s="123" t="s">
        <v>4839</v>
      </c>
      <c r="AI175" s="123">
        <v>8112</v>
      </c>
      <c r="AJ175" s="139"/>
      <c r="AQ175" t="s">
        <v>6970</v>
      </c>
      <c r="AR175" t="s">
        <v>6885</v>
      </c>
      <c r="BP175" s="155" t="s">
        <v>7570</v>
      </c>
      <c r="BQ175" s="155" t="s">
        <v>7571</v>
      </c>
      <c r="BR175" s="155" t="s">
        <v>246</v>
      </c>
    </row>
    <row r="176" spans="2:70" x14ac:dyDescent="0.25">
      <c r="B176" s="10" t="s">
        <v>4802</v>
      </c>
      <c r="C176" s="13">
        <v>8075</v>
      </c>
      <c r="D176" s="139"/>
      <c r="H176" s="139"/>
      <c r="I176" s="109" t="s">
        <v>5300</v>
      </c>
      <c r="J176" s="109" t="s">
        <v>3462</v>
      </c>
      <c r="AH176" s="123" t="s">
        <v>4840</v>
      </c>
      <c r="AI176" s="123">
        <v>8113</v>
      </c>
      <c r="AJ176" s="139"/>
      <c r="AQ176" t="s">
        <v>6971</v>
      </c>
      <c r="AR176" t="s">
        <v>6886</v>
      </c>
      <c r="BP176" s="155" t="s">
        <v>7572</v>
      </c>
      <c r="BQ176" s="155" t="s">
        <v>7573</v>
      </c>
      <c r="BR176" s="155" t="s">
        <v>246</v>
      </c>
    </row>
    <row r="177" spans="2:70" x14ac:dyDescent="0.25">
      <c r="B177" s="10" t="s">
        <v>4803</v>
      </c>
      <c r="C177" s="13">
        <v>8076</v>
      </c>
      <c r="D177" s="139"/>
      <c r="H177" s="139"/>
      <c r="I177" s="109" t="s">
        <v>5301</v>
      </c>
      <c r="J177" s="109" t="s">
        <v>3463</v>
      </c>
      <c r="AH177" s="123" t="s">
        <v>4841</v>
      </c>
      <c r="AI177" s="123">
        <v>8114</v>
      </c>
      <c r="AJ177" s="139"/>
      <c r="AQ177" t="s">
        <v>6972</v>
      </c>
      <c r="AR177" t="s">
        <v>6887</v>
      </c>
      <c r="BP177" s="155" t="s">
        <v>7574</v>
      </c>
      <c r="BQ177" s="155" t="s">
        <v>7575</v>
      </c>
      <c r="BR177" s="155" t="s">
        <v>246</v>
      </c>
    </row>
    <row r="178" spans="2:70" x14ac:dyDescent="0.25">
      <c r="B178" s="10" t="s">
        <v>4804</v>
      </c>
      <c r="C178" s="13">
        <v>8077</v>
      </c>
      <c r="D178" s="139"/>
      <c r="H178" s="139"/>
      <c r="I178" s="109" t="s">
        <v>5302</v>
      </c>
      <c r="J178" s="109" t="s">
        <v>3464</v>
      </c>
      <c r="AH178" s="123" t="s">
        <v>4842</v>
      </c>
      <c r="AI178" s="123">
        <v>8115</v>
      </c>
      <c r="AJ178" s="139"/>
      <c r="AQ178" t="s">
        <v>6973</v>
      </c>
      <c r="AR178" t="s">
        <v>6888</v>
      </c>
      <c r="BP178" s="155" t="s">
        <v>7576</v>
      </c>
      <c r="BQ178" s="155" t="s">
        <v>7577</v>
      </c>
      <c r="BR178" s="155" t="s">
        <v>246</v>
      </c>
    </row>
    <row r="179" spans="2:70" x14ac:dyDescent="0.25">
      <c r="B179" s="10" t="s">
        <v>4805</v>
      </c>
      <c r="C179" s="13">
        <v>8078</v>
      </c>
      <c r="D179" s="139"/>
      <c r="H179" s="139"/>
      <c r="I179" s="109" t="s">
        <v>5303</v>
      </c>
      <c r="J179" s="109" t="s">
        <v>3465</v>
      </c>
      <c r="AH179" s="123" t="s">
        <v>4843</v>
      </c>
      <c r="AI179" s="123">
        <v>8116</v>
      </c>
      <c r="AJ179" s="139"/>
      <c r="AQ179" t="s">
        <v>6974</v>
      </c>
      <c r="AR179" t="s">
        <v>6889</v>
      </c>
      <c r="BP179" s="155" t="s">
        <v>7578</v>
      </c>
      <c r="BQ179" s="155" t="s">
        <v>7579</v>
      </c>
      <c r="BR179" s="155" t="s">
        <v>246</v>
      </c>
    </row>
    <row r="180" spans="2:70" x14ac:dyDescent="0.25">
      <c r="B180" s="10" t="s">
        <v>4806</v>
      </c>
      <c r="C180" s="13">
        <v>8079</v>
      </c>
      <c r="D180" s="139"/>
      <c r="H180" s="139"/>
      <c r="I180" s="109" t="s">
        <v>5304</v>
      </c>
      <c r="J180" s="109" t="s">
        <v>3466</v>
      </c>
      <c r="AH180" s="123" t="s">
        <v>4844</v>
      </c>
      <c r="AI180" s="123">
        <v>8117</v>
      </c>
      <c r="AJ180" s="139"/>
      <c r="AQ180" t="s">
        <v>6975</v>
      </c>
      <c r="AR180" t="s">
        <v>6890</v>
      </c>
      <c r="BP180" s="155" t="s">
        <v>7580</v>
      </c>
      <c r="BQ180" s="155" t="s">
        <v>7581</v>
      </c>
      <c r="BR180" s="155" t="s">
        <v>159</v>
      </c>
    </row>
    <row r="181" spans="2:70" x14ac:dyDescent="0.25">
      <c r="B181" s="10" t="s">
        <v>4807</v>
      </c>
      <c r="C181" s="13">
        <v>8080</v>
      </c>
      <c r="D181" s="139"/>
      <c r="H181" s="139"/>
      <c r="I181" s="109" t="s">
        <v>5305</v>
      </c>
      <c r="J181" s="109" t="s">
        <v>3467</v>
      </c>
      <c r="AH181" s="123" t="s">
        <v>4845</v>
      </c>
      <c r="AI181" s="123">
        <v>8118</v>
      </c>
      <c r="AJ181" s="139"/>
      <c r="AQ181" t="s">
        <v>6976</v>
      </c>
      <c r="AR181" t="s">
        <v>6891</v>
      </c>
      <c r="BP181" s="155" t="s">
        <v>7582</v>
      </c>
      <c r="BQ181" s="155" t="s">
        <v>7583</v>
      </c>
      <c r="BR181" s="155" t="s">
        <v>159</v>
      </c>
    </row>
    <row r="182" spans="2:70" x14ac:dyDescent="0.25">
      <c r="B182" s="10" t="s">
        <v>4808</v>
      </c>
      <c r="C182" s="13">
        <v>8081</v>
      </c>
      <c r="D182" s="139"/>
      <c r="H182" s="139"/>
      <c r="I182" s="109" t="s">
        <v>5306</v>
      </c>
      <c r="J182" s="109" t="s">
        <v>3468</v>
      </c>
      <c r="AH182" s="123" t="s">
        <v>4846</v>
      </c>
      <c r="AI182" s="123">
        <v>8119</v>
      </c>
      <c r="AJ182" s="139"/>
      <c r="AQ182" t="s">
        <v>6977</v>
      </c>
      <c r="AR182" t="s">
        <v>6892</v>
      </c>
      <c r="BP182" s="155" t="s">
        <v>7580</v>
      </c>
      <c r="BQ182" s="155" t="s">
        <v>7581</v>
      </c>
      <c r="BR182" s="155" t="s">
        <v>175</v>
      </c>
    </row>
    <row r="183" spans="2:70" x14ac:dyDescent="0.25">
      <c r="B183" s="10" t="s">
        <v>4809</v>
      </c>
      <c r="C183" s="13">
        <v>8082</v>
      </c>
      <c r="D183" s="139"/>
      <c r="H183" s="139"/>
      <c r="I183" s="109" t="s">
        <v>5307</v>
      </c>
      <c r="J183" s="109" t="s">
        <v>3469</v>
      </c>
      <c r="AH183" s="123" t="s">
        <v>4847</v>
      </c>
      <c r="AI183" s="123">
        <v>8120</v>
      </c>
      <c r="AJ183" s="139"/>
      <c r="AQ183" t="s">
        <v>6978</v>
      </c>
      <c r="AR183" t="s">
        <v>6893</v>
      </c>
      <c r="BP183" s="155" t="s">
        <v>7582</v>
      </c>
      <c r="BQ183" s="155" t="s">
        <v>7583</v>
      </c>
      <c r="BR183" s="155" t="s">
        <v>175</v>
      </c>
    </row>
    <row r="184" spans="2:70" x14ac:dyDescent="0.25">
      <c r="B184" s="10" t="s">
        <v>4810</v>
      </c>
      <c r="C184" s="13">
        <v>8083</v>
      </c>
      <c r="D184" s="139"/>
      <c r="H184" s="139"/>
      <c r="I184" s="109" t="s">
        <v>5308</v>
      </c>
      <c r="J184" s="109" t="s">
        <v>3470</v>
      </c>
      <c r="AH184" s="123" t="s">
        <v>4848</v>
      </c>
      <c r="AI184" s="123">
        <v>8121</v>
      </c>
      <c r="AJ184" s="139"/>
      <c r="AQ184" t="s">
        <v>6979</v>
      </c>
      <c r="AR184" t="s">
        <v>6894</v>
      </c>
      <c r="BP184" s="155" t="s">
        <v>7584</v>
      </c>
      <c r="BQ184" s="155" t="s">
        <v>3239</v>
      </c>
      <c r="BR184" s="155" t="s">
        <v>272</v>
      </c>
    </row>
    <row r="185" spans="2:70" x14ac:dyDescent="0.25">
      <c r="B185" s="10" t="s">
        <v>4811</v>
      </c>
      <c r="C185" s="13">
        <v>8084</v>
      </c>
      <c r="D185" s="139"/>
      <c r="H185" s="139"/>
      <c r="I185" s="109" t="s">
        <v>5309</v>
      </c>
      <c r="J185" s="109" t="s">
        <v>3471</v>
      </c>
      <c r="AH185" s="123" t="s">
        <v>4849</v>
      </c>
      <c r="AI185" s="123">
        <v>8122</v>
      </c>
      <c r="AJ185" s="139"/>
      <c r="AQ185" t="s">
        <v>6980</v>
      </c>
      <c r="AR185" t="s">
        <v>6895</v>
      </c>
      <c r="BP185" s="155" t="s">
        <v>7535</v>
      </c>
      <c r="BQ185" s="155" t="s">
        <v>7536</v>
      </c>
      <c r="BR185" s="155" t="s">
        <v>272</v>
      </c>
    </row>
    <row r="186" spans="2:70" x14ac:dyDescent="0.25">
      <c r="B186" s="10" t="s">
        <v>4812</v>
      </c>
      <c r="C186" s="13">
        <v>8085</v>
      </c>
      <c r="D186" s="139"/>
      <c r="H186" s="139"/>
      <c r="I186" s="109" t="s">
        <v>5310</v>
      </c>
      <c r="J186" s="109" t="s">
        <v>3472</v>
      </c>
      <c r="AH186" s="123" t="s">
        <v>4850</v>
      </c>
      <c r="AI186" s="123">
        <v>8123</v>
      </c>
      <c r="AJ186" s="139"/>
      <c r="AQ186" t="s">
        <v>6981</v>
      </c>
      <c r="AR186" t="s">
        <v>6896</v>
      </c>
      <c r="BP186" s="155" t="s">
        <v>7552</v>
      </c>
      <c r="BQ186" s="155" t="s">
        <v>188</v>
      </c>
      <c r="BR186" s="155" t="s">
        <v>7322</v>
      </c>
    </row>
    <row r="187" spans="2:70" x14ac:dyDescent="0.25">
      <c r="B187" s="10" t="s">
        <v>4813</v>
      </c>
      <c r="C187" s="13">
        <v>8086</v>
      </c>
      <c r="D187" s="139"/>
      <c r="H187" s="139"/>
      <c r="I187" s="109" t="s">
        <v>5311</v>
      </c>
      <c r="J187" s="109" t="s">
        <v>3473</v>
      </c>
      <c r="AH187" s="123" t="s">
        <v>4851</v>
      </c>
      <c r="AI187" s="123">
        <v>8124</v>
      </c>
      <c r="AJ187" s="139"/>
      <c r="AQ187" t="s">
        <v>6982</v>
      </c>
      <c r="AR187" t="s">
        <v>6897</v>
      </c>
      <c r="BP187" s="155" t="s">
        <v>7553</v>
      </c>
      <c r="BQ187" s="155" t="s">
        <v>201</v>
      </c>
      <c r="BR187" s="155" t="s">
        <v>7322</v>
      </c>
    </row>
    <row r="188" spans="2:70" x14ac:dyDescent="0.25">
      <c r="B188" s="10" t="s">
        <v>4814</v>
      </c>
      <c r="C188" s="13">
        <v>8087</v>
      </c>
      <c r="D188" s="139"/>
      <c r="H188" s="139"/>
      <c r="I188" s="109" t="s">
        <v>5312</v>
      </c>
      <c r="J188" s="109" t="s">
        <v>3474</v>
      </c>
      <c r="AH188" s="123" t="s">
        <v>4852</v>
      </c>
      <c r="AI188" s="123">
        <v>8125</v>
      </c>
      <c r="AJ188" s="139"/>
      <c r="AQ188" t="s">
        <v>6983</v>
      </c>
      <c r="AR188" t="s">
        <v>551</v>
      </c>
      <c r="BP188" s="155" t="s">
        <v>7554</v>
      </c>
      <c r="BQ188" s="155" t="s">
        <v>7555</v>
      </c>
      <c r="BR188" s="155" t="s">
        <v>7322</v>
      </c>
    </row>
    <row r="189" spans="2:70" x14ac:dyDescent="0.25">
      <c r="B189" s="10" t="s">
        <v>4815</v>
      </c>
      <c r="C189" s="13">
        <v>8088</v>
      </c>
      <c r="D189" s="139"/>
      <c r="H189" s="139"/>
      <c r="I189" s="109" t="s">
        <v>5313</v>
      </c>
      <c r="J189" s="109" t="s">
        <v>3475</v>
      </c>
      <c r="AH189" s="123" t="s">
        <v>4853</v>
      </c>
      <c r="AI189" s="123">
        <v>8126</v>
      </c>
      <c r="AJ189" s="139"/>
      <c r="AQ189" t="s">
        <v>6984</v>
      </c>
      <c r="AR189" t="s">
        <v>6898</v>
      </c>
      <c r="BP189" s="155" t="s">
        <v>7585</v>
      </c>
      <c r="BQ189" s="155" t="s">
        <v>7586</v>
      </c>
      <c r="BR189" s="155" t="s">
        <v>7304</v>
      </c>
    </row>
    <row r="190" spans="2:70" x14ac:dyDescent="0.25">
      <c r="B190" s="10" t="s">
        <v>4816</v>
      </c>
      <c r="C190" s="13">
        <v>8089</v>
      </c>
      <c r="D190" s="139"/>
      <c r="H190" s="139"/>
      <c r="I190" s="109" t="s">
        <v>5314</v>
      </c>
      <c r="J190" s="109" t="s">
        <v>3476</v>
      </c>
      <c r="AH190" s="123" t="s">
        <v>4854</v>
      </c>
      <c r="AI190" s="123">
        <v>8127</v>
      </c>
      <c r="AJ190" s="139"/>
      <c r="AQ190" t="s">
        <v>6985</v>
      </c>
      <c r="AR190" t="s">
        <v>6899</v>
      </c>
      <c r="BP190" s="155" t="s">
        <v>7587</v>
      </c>
      <c r="BQ190" s="155" t="s">
        <v>7588</v>
      </c>
      <c r="BR190" s="155" t="s">
        <v>7304</v>
      </c>
    </row>
    <row r="191" spans="2:70" x14ac:dyDescent="0.25">
      <c r="B191" s="10" t="s">
        <v>4817</v>
      </c>
      <c r="C191" s="13">
        <v>8090</v>
      </c>
      <c r="D191" s="139"/>
      <c r="H191" s="139"/>
      <c r="I191" s="109" t="s">
        <v>5315</v>
      </c>
      <c r="J191" s="109" t="s">
        <v>3477</v>
      </c>
      <c r="AH191" s="123" t="s">
        <v>4855</v>
      </c>
      <c r="AI191" s="123">
        <v>8128</v>
      </c>
      <c r="AJ191" s="139"/>
      <c r="AQ191" t="s">
        <v>6987</v>
      </c>
      <c r="AR191" t="s">
        <v>7070</v>
      </c>
      <c r="BP191" s="155" t="s">
        <v>7435</v>
      </c>
      <c r="BQ191" s="155" t="s">
        <v>7436</v>
      </c>
      <c r="BR191" s="155" t="s">
        <v>7304</v>
      </c>
    </row>
    <row r="192" spans="2:70" x14ac:dyDescent="0.25">
      <c r="B192" s="10" t="s">
        <v>4818</v>
      </c>
      <c r="C192" s="13">
        <v>8091</v>
      </c>
      <c r="D192" s="139"/>
      <c r="H192" s="139"/>
      <c r="I192" s="109" t="s">
        <v>5316</v>
      </c>
      <c r="J192" s="109" t="s">
        <v>3478</v>
      </c>
      <c r="AH192" s="123" t="s">
        <v>4856</v>
      </c>
      <c r="AI192" s="123">
        <v>8129</v>
      </c>
      <c r="AJ192" s="139"/>
      <c r="AQ192" t="s">
        <v>6988</v>
      </c>
      <c r="AR192" t="s">
        <v>7071</v>
      </c>
      <c r="BP192" s="155" t="s">
        <v>7428</v>
      </c>
      <c r="BQ192" s="155" t="s">
        <v>7429</v>
      </c>
      <c r="BR192" s="155" t="s">
        <v>7304</v>
      </c>
    </row>
    <row r="193" spans="2:70" x14ac:dyDescent="0.25">
      <c r="B193" s="10" t="s">
        <v>4819</v>
      </c>
      <c r="C193" s="13">
        <v>8092</v>
      </c>
      <c r="D193" s="139"/>
      <c r="H193" s="139"/>
      <c r="I193" s="109" t="s">
        <v>5317</v>
      </c>
      <c r="J193" s="109" t="s">
        <v>3479</v>
      </c>
      <c r="AH193" s="123" t="s">
        <v>4857</v>
      </c>
      <c r="AI193" s="123">
        <v>8130</v>
      </c>
      <c r="AJ193" s="139"/>
      <c r="AQ193" t="s">
        <v>6989</v>
      </c>
      <c r="AR193" t="s">
        <v>7072</v>
      </c>
      <c r="BP193" s="155" t="s">
        <v>7370</v>
      </c>
      <c r="BQ193" s="155" t="s">
        <v>7371</v>
      </c>
      <c r="BR193" s="155" t="s">
        <v>7338</v>
      </c>
    </row>
    <row r="194" spans="2:70" x14ac:dyDescent="0.25">
      <c r="B194" s="10" t="s">
        <v>4820</v>
      </c>
      <c r="C194" s="13">
        <v>8093</v>
      </c>
      <c r="D194" s="139"/>
      <c r="H194" s="139"/>
      <c r="I194" s="109" t="s">
        <v>5318</v>
      </c>
      <c r="J194" s="109" t="s">
        <v>3480</v>
      </c>
      <c r="AH194" s="123" t="s">
        <v>4858</v>
      </c>
      <c r="AI194" s="123">
        <v>8131</v>
      </c>
      <c r="AJ194" s="139"/>
      <c r="AQ194" t="s">
        <v>6990</v>
      </c>
      <c r="AR194" t="s">
        <v>7073</v>
      </c>
      <c r="BP194" s="155" t="s">
        <v>7501</v>
      </c>
      <c r="BQ194" s="155" t="s">
        <v>7502</v>
      </c>
      <c r="BR194" s="155" t="s">
        <v>270</v>
      </c>
    </row>
    <row r="195" spans="2:70" x14ac:dyDescent="0.25">
      <c r="B195" s="10" t="s">
        <v>4821</v>
      </c>
      <c r="C195" s="13">
        <v>8094</v>
      </c>
      <c r="D195" s="139"/>
      <c r="H195" s="139"/>
      <c r="I195" s="109" t="s">
        <v>5319</v>
      </c>
      <c r="J195" s="109" t="s">
        <v>3481</v>
      </c>
      <c r="AH195" s="123" t="s">
        <v>4859</v>
      </c>
      <c r="AI195" s="123">
        <v>8132</v>
      </c>
      <c r="AJ195" s="139"/>
      <c r="AQ195" t="s">
        <v>6991</v>
      </c>
      <c r="AR195" t="s">
        <v>7074</v>
      </c>
      <c r="BP195" s="155" t="s">
        <v>7589</v>
      </c>
      <c r="BQ195" s="155" t="s">
        <v>7590</v>
      </c>
      <c r="BR195" s="155" t="s">
        <v>270</v>
      </c>
    </row>
    <row r="196" spans="2:70" x14ac:dyDescent="0.25">
      <c r="B196" s="10" t="s">
        <v>4822</v>
      </c>
      <c r="C196" s="13">
        <v>8095</v>
      </c>
      <c r="D196" s="139"/>
      <c r="H196" s="139"/>
      <c r="I196" s="109" t="s">
        <v>5320</v>
      </c>
      <c r="J196" s="109" t="s">
        <v>3482</v>
      </c>
      <c r="AH196" s="123" t="s">
        <v>4860</v>
      </c>
      <c r="AI196" s="123">
        <v>8133</v>
      </c>
      <c r="AJ196" s="139"/>
      <c r="AQ196" t="s">
        <v>6992</v>
      </c>
      <c r="AR196" t="s">
        <v>7075</v>
      </c>
      <c r="BP196" s="155" t="s">
        <v>7580</v>
      </c>
      <c r="BQ196" s="155" t="s">
        <v>7581</v>
      </c>
      <c r="BR196" s="155" t="s">
        <v>7333</v>
      </c>
    </row>
    <row r="197" spans="2:70" x14ac:dyDescent="0.25">
      <c r="B197" s="10" t="s">
        <v>4823</v>
      </c>
      <c r="C197" s="13">
        <v>8096</v>
      </c>
      <c r="D197" s="139"/>
      <c r="H197" s="139"/>
      <c r="I197" s="109" t="s">
        <v>5321</v>
      </c>
      <c r="J197" s="109" t="s">
        <v>3483</v>
      </c>
      <c r="AH197" s="123" t="s">
        <v>4861</v>
      </c>
      <c r="AI197" s="123">
        <v>8134</v>
      </c>
      <c r="AJ197" s="139"/>
      <c r="AQ197" t="s">
        <v>6993</v>
      </c>
      <c r="AR197" t="s">
        <v>7076</v>
      </c>
      <c r="BP197" s="155" t="s">
        <v>7582</v>
      </c>
      <c r="BQ197" s="155" t="s">
        <v>7583</v>
      </c>
      <c r="BR197" s="155" t="s">
        <v>7333</v>
      </c>
    </row>
    <row r="198" spans="2:70" x14ac:dyDescent="0.25">
      <c r="B198" s="10" t="s">
        <v>4824</v>
      </c>
      <c r="C198" s="13">
        <v>8097</v>
      </c>
      <c r="D198" s="139"/>
      <c r="H198" s="139"/>
      <c r="I198" s="109" t="s">
        <v>5322</v>
      </c>
      <c r="J198" s="109" t="s">
        <v>3484</v>
      </c>
      <c r="AH198" s="123" t="s">
        <v>4862</v>
      </c>
      <c r="AI198" s="123">
        <v>8135</v>
      </c>
      <c r="AJ198" s="139"/>
      <c r="AQ198" t="s">
        <v>6994</v>
      </c>
      <c r="AR198" t="s">
        <v>7077</v>
      </c>
      <c r="BP198" s="155" t="s">
        <v>7470</v>
      </c>
      <c r="BQ198" s="155" t="s">
        <v>7471</v>
      </c>
      <c r="BR198" s="155" t="s">
        <v>275</v>
      </c>
    </row>
    <row r="199" spans="2:70" x14ac:dyDescent="0.25">
      <c r="B199" s="10" t="s">
        <v>4825</v>
      </c>
      <c r="C199" s="13">
        <v>8098</v>
      </c>
      <c r="D199" s="139"/>
      <c r="H199" s="139"/>
      <c r="I199" s="109" t="s">
        <v>5323</v>
      </c>
      <c r="J199" s="109" t="s">
        <v>3485</v>
      </c>
      <c r="AH199" s="123" t="s">
        <v>4863</v>
      </c>
      <c r="AI199" s="123">
        <v>8136</v>
      </c>
      <c r="AJ199" s="139"/>
      <c r="AQ199" t="s">
        <v>6995</v>
      </c>
      <c r="AR199" t="s">
        <v>7078</v>
      </c>
      <c r="BP199" s="155" t="s">
        <v>7474</v>
      </c>
      <c r="BQ199" s="155" t="s">
        <v>3237</v>
      </c>
      <c r="BR199" s="155" t="s">
        <v>275</v>
      </c>
    </row>
    <row r="200" spans="2:70" x14ac:dyDescent="0.25">
      <c r="B200" s="10" t="s">
        <v>4826</v>
      </c>
      <c r="C200" s="13">
        <v>8099</v>
      </c>
      <c r="D200" s="139"/>
      <c r="H200" s="139"/>
      <c r="I200" s="109" t="s">
        <v>5324</v>
      </c>
      <c r="J200" s="109" t="s">
        <v>3486</v>
      </c>
      <c r="AH200" s="123" t="s">
        <v>4864</v>
      </c>
      <c r="AI200" s="123">
        <v>8137</v>
      </c>
      <c r="AJ200" s="139"/>
      <c r="AQ200" t="s">
        <v>6996</v>
      </c>
      <c r="AR200" t="s">
        <v>7079</v>
      </c>
      <c r="BP200" s="155" t="s">
        <v>7479</v>
      </c>
      <c r="BQ200" s="155" t="s">
        <v>3234</v>
      </c>
      <c r="BR200" s="155" t="s">
        <v>275</v>
      </c>
    </row>
    <row r="201" spans="2:70" x14ac:dyDescent="0.25">
      <c r="B201" s="10" t="s">
        <v>4827</v>
      </c>
      <c r="C201" s="13">
        <v>8100</v>
      </c>
      <c r="D201" s="139"/>
      <c r="H201" s="139"/>
      <c r="I201" s="109" t="s">
        <v>5325</v>
      </c>
      <c r="J201" s="109" t="s">
        <v>3487</v>
      </c>
      <c r="AH201" s="123" t="s">
        <v>4865</v>
      </c>
      <c r="AI201" s="123">
        <v>8138</v>
      </c>
      <c r="AJ201" s="139"/>
      <c r="AQ201" t="s">
        <v>6997</v>
      </c>
      <c r="AR201" t="s">
        <v>7080</v>
      </c>
      <c r="BP201" s="155" t="s">
        <v>7492</v>
      </c>
      <c r="BQ201" s="155" t="s">
        <v>7493</v>
      </c>
      <c r="BR201" s="155" t="s">
        <v>275</v>
      </c>
    </row>
    <row r="202" spans="2:70" x14ac:dyDescent="0.25">
      <c r="B202" s="10" t="s">
        <v>4828</v>
      </c>
      <c r="C202" s="13">
        <v>8101</v>
      </c>
      <c r="D202" s="139"/>
      <c r="H202" s="139"/>
      <c r="I202" s="109" t="s">
        <v>5326</v>
      </c>
      <c r="J202" s="109" t="s">
        <v>3488</v>
      </c>
      <c r="AH202" s="123" t="s">
        <v>4866</v>
      </c>
      <c r="AI202" s="123">
        <v>8139</v>
      </c>
      <c r="AJ202" s="139"/>
      <c r="AQ202" t="s">
        <v>6998</v>
      </c>
      <c r="AR202" t="s">
        <v>7081</v>
      </c>
      <c r="BP202" s="155" t="s">
        <v>7501</v>
      </c>
      <c r="BQ202" s="155" t="s">
        <v>7502</v>
      </c>
      <c r="BR202" s="155" t="s">
        <v>275</v>
      </c>
    </row>
    <row r="203" spans="2:70" x14ac:dyDescent="0.25">
      <c r="B203" s="10" t="s">
        <v>4829</v>
      </c>
      <c r="C203" s="13">
        <v>8102</v>
      </c>
      <c r="D203" s="139"/>
      <c r="H203" s="139"/>
      <c r="I203" s="109" t="s">
        <v>5327</v>
      </c>
      <c r="J203" s="109" t="s">
        <v>3489</v>
      </c>
      <c r="AH203" s="123" t="s">
        <v>4867</v>
      </c>
      <c r="AI203" s="123">
        <v>8140</v>
      </c>
      <c r="AJ203" s="139"/>
      <c r="AQ203" t="s">
        <v>6999</v>
      </c>
      <c r="AR203" t="s">
        <v>7082</v>
      </c>
      <c r="BP203" s="155" t="s">
        <v>7505</v>
      </c>
      <c r="BQ203" s="155" t="s">
        <v>7506</v>
      </c>
      <c r="BR203" s="155" t="s">
        <v>275</v>
      </c>
    </row>
    <row r="204" spans="2:70" x14ac:dyDescent="0.25">
      <c r="B204" s="10" t="s">
        <v>4830</v>
      </c>
      <c r="C204" s="13">
        <v>8103</v>
      </c>
      <c r="D204" s="139"/>
      <c r="H204" s="139"/>
      <c r="I204" s="109" t="s">
        <v>5328</v>
      </c>
      <c r="J204" s="109" t="s">
        <v>3490</v>
      </c>
      <c r="AH204" s="123" t="s">
        <v>4868</v>
      </c>
      <c r="AI204" s="123">
        <v>8141</v>
      </c>
      <c r="AJ204" s="139"/>
      <c r="AQ204" t="s">
        <v>7000</v>
      </c>
      <c r="AR204" t="s">
        <v>7083</v>
      </c>
      <c r="BP204" s="155" t="s">
        <v>7591</v>
      </c>
      <c r="BQ204" s="155" t="s">
        <v>7592</v>
      </c>
      <c r="BR204" s="155" t="s">
        <v>281</v>
      </c>
    </row>
    <row r="205" spans="2:70" x14ac:dyDescent="0.25">
      <c r="B205" s="10" t="s">
        <v>4831</v>
      </c>
      <c r="C205" s="13">
        <v>8104</v>
      </c>
      <c r="D205" s="139"/>
      <c r="H205" s="139"/>
      <c r="I205" s="109" t="s">
        <v>5329</v>
      </c>
      <c r="J205" s="109" t="s">
        <v>3491</v>
      </c>
      <c r="AH205" s="123" t="s">
        <v>4869</v>
      </c>
      <c r="AI205" s="123">
        <v>8142</v>
      </c>
      <c r="AJ205" s="139"/>
      <c r="AQ205" t="s">
        <v>7001</v>
      </c>
      <c r="AR205" t="s">
        <v>7084</v>
      </c>
      <c r="BP205" s="155" t="s">
        <v>7593</v>
      </c>
      <c r="BQ205" s="155" t="s">
        <v>7594</v>
      </c>
      <c r="BR205" s="155" t="s">
        <v>281</v>
      </c>
    </row>
    <row r="206" spans="2:70" x14ac:dyDescent="0.25">
      <c r="B206" s="10" t="s">
        <v>4832</v>
      </c>
      <c r="C206" s="13">
        <v>8105</v>
      </c>
      <c r="D206" s="139"/>
      <c r="H206" s="139"/>
      <c r="I206" s="109" t="s">
        <v>5330</v>
      </c>
      <c r="J206" s="109" t="s">
        <v>3492</v>
      </c>
      <c r="AH206" s="123" t="s">
        <v>4870</v>
      </c>
      <c r="AI206" s="123">
        <v>8143</v>
      </c>
      <c r="AJ206" s="139"/>
      <c r="AQ206" t="s">
        <v>7002</v>
      </c>
      <c r="AR206" t="s">
        <v>7085</v>
      </c>
      <c r="BP206" s="155" t="s">
        <v>7595</v>
      </c>
      <c r="BQ206" s="155" t="s">
        <v>7596</v>
      </c>
      <c r="BR206" s="155" t="s">
        <v>281</v>
      </c>
    </row>
    <row r="207" spans="2:70" x14ac:dyDescent="0.25">
      <c r="B207" s="10" t="s">
        <v>4833</v>
      </c>
      <c r="C207" s="13">
        <v>8106</v>
      </c>
      <c r="D207" s="139"/>
      <c r="H207" s="139"/>
      <c r="I207" s="109" t="s">
        <v>5331</v>
      </c>
      <c r="J207" s="109" t="s">
        <v>3493</v>
      </c>
      <c r="AH207" s="123" t="s">
        <v>4871</v>
      </c>
      <c r="AI207" s="123">
        <v>8144</v>
      </c>
      <c r="AJ207" s="139"/>
      <c r="AQ207" t="s">
        <v>7003</v>
      </c>
      <c r="AR207" t="s">
        <v>7086</v>
      </c>
      <c r="BP207" s="155" t="s">
        <v>7597</v>
      </c>
      <c r="BQ207" s="155" t="s">
        <v>7598</v>
      </c>
      <c r="BR207" s="155" t="s">
        <v>281</v>
      </c>
    </row>
    <row r="208" spans="2:70" x14ac:dyDescent="0.25">
      <c r="B208" s="10" t="s">
        <v>4834</v>
      </c>
      <c r="C208" s="13">
        <v>8107</v>
      </c>
      <c r="D208" s="139"/>
      <c r="H208" s="139"/>
      <c r="I208" s="109" t="s">
        <v>5332</v>
      </c>
      <c r="J208" s="109" t="s">
        <v>3494</v>
      </c>
      <c r="AH208" s="123" t="s">
        <v>4872</v>
      </c>
      <c r="AI208" s="123">
        <v>8145</v>
      </c>
      <c r="AJ208" s="139"/>
      <c r="AQ208" t="s">
        <v>7004</v>
      </c>
      <c r="AR208" t="s">
        <v>7087</v>
      </c>
      <c r="BP208" s="155" t="s">
        <v>7599</v>
      </c>
      <c r="BQ208" s="155" t="s">
        <v>7600</v>
      </c>
      <c r="BR208" s="155" t="s">
        <v>281</v>
      </c>
    </row>
    <row r="209" spans="2:70" x14ac:dyDescent="0.25">
      <c r="B209" s="10" t="s">
        <v>4835</v>
      </c>
      <c r="C209" s="13">
        <v>8108</v>
      </c>
      <c r="D209" s="139"/>
      <c r="H209" s="139"/>
      <c r="I209" s="109" t="s">
        <v>5333</v>
      </c>
      <c r="J209" s="109" t="s">
        <v>3495</v>
      </c>
      <c r="AH209" s="123" t="s">
        <v>4873</v>
      </c>
      <c r="AI209" s="123">
        <v>8146</v>
      </c>
      <c r="AJ209" s="139"/>
      <c r="AQ209" t="s">
        <v>7005</v>
      </c>
      <c r="AR209" t="s">
        <v>7088</v>
      </c>
      <c r="BP209" s="155" t="s">
        <v>7433</v>
      </c>
      <c r="BQ209" s="155" t="s">
        <v>7434</v>
      </c>
      <c r="BR209" s="155" t="s">
        <v>7307</v>
      </c>
    </row>
    <row r="210" spans="2:70" x14ac:dyDescent="0.25">
      <c r="B210" s="10" t="s">
        <v>4836</v>
      </c>
      <c r="C210" s="13">
        <v>8109</v>
      </c>
      <c r="D210" s="139"/>
      <c r="H210" s="139"/>
      <c r="I210" s="109" t="s">
        <v>5334</v>
      </c>
      <c r="J210" s="109" t="s">
        <v>3496</v>
      </c>
      <c r="AH210" s="123" t="s">
        <v>4874</v>
      </c>
      <c r="AI210" s="123">
        <v>8147</v>
      </c>
      <c r="AJ210" s="139"/>
      <c r="AQ210" t="s">
        <v>7006</v>
      </c>
      <c r="AR210" t="s">
        <v>7089</v>
      </c>
      <c r="BP210" s="155" t="s">
        <v>7435</v>
      </c>
      <c r="BQ210" s="155" t="s">
        <v>7436</v>
      </c>
      <c r="BR210" s="155" t="s">
        <v>7307</v>
      </c>
    </row>
    <row r="211" spans="2:70" x14ac:dyDescent="0.25">
      <c r="B211" s="10" t="s">
        <v>4837</v>
      </c>
      <c r="C211" s="13">
        <v>8110</v>
      </c>
      <c r="D211" s="139"/>
      <c r="H211" s="139"/>
      <c r="I211" s="109" t="s">
        <v>5335</v>
      </c>
      <c r="J211" s="109" t="s">
        <v>3497</v>
      </c>
      <c r="AH211" s="123" t="s">
        <v>4875</v>
      </c>
      <c r="AI211" s="123">
        <v>8148</v>
      </c>
      <c r="AJ211" s="139"/>
      <c r="AQ211" t="s">
        <v>7007</v>
      </c>
      <c r="AR211" t="s">
        <v>7090</v>
      </c>
      <c r="BP211" s="155" t="s">
        <v>7428</v>
      </c>
      <c r="BQ211" s="155" t="s">
        <v>7429</v>
      </c>
      <c r="BR211" s="155" t="s">
        <v>7307</v>
      </c>
    </row>
    <row r="212" spans="2:70" x14ac:dyDescent="0.25">
      <c r="B212" s="10" t="s">
        <v>4838</v>
      </c>
      <c r="C212" s="13">
        <v>8111</v>
      </c>
      <c r="D212" s="139"/>
      <c r="H212" s="139"/>
      <c r="I212" s="109" t="s">
        <v>5336</v>
      </c>
      <c r="J212" s="109" t="s">
        <v>3498</v>
      </c>
      <c r="AH212" s="123" t="s">
        <v>4876</v>
      </c>
      <c r="AI212" s="123">
        <v>8149</v>
      </c>
      <c r="AJ212" s="139"/>
      <c r="AQ212" t="s">
        <v>7008</v>
      </c>
      <c r="AR212" t="s">
        <v>7091</v>
      </c>
      <c r="BP212" s="159" t="s">
        <v>162</v>
      </c>
    </row>
    <row r="213" spans="2:70" x14ac:dyDescent="0.25">
      <c r="B213" s="10" t="s">
        <v>4839</v>
      </c>
      <c r="C213" s="13">
        <v>8112</v>
      </c>
      <c r="D213" s="139"/>
      <c r="H213" s="139"/>
      <c r="I213" s="109" t="s">
        <v>5337</v>
      </c>
      <c r="J213" s="109" t="s">
        <v>3499</v>
      </c>
      <c r="AH213" s="123" t="s">
        <v>4877</v>
      </c>
      <c r="AI213" s="123">
        <v>8150</v>
      </c>
      <c r="AJ213" s="139"/>
      <c r="AQ213" t="s">
        <v>7009</v>
      </c>
      <c r="AR213" t="s">
        <v>7092</v>
      </c>
    </row>
    <row r="214" spans="2:70" x14ac:dyDescent="0.25">
      <c r="B214" s="10" t="s">
        <v>4840</v>
      </c>
      <c r="C214" s="13">
        <v>8113</v>
      </c>
      <c r="D214" s="139"/>
      <c r="H214" s="139"/>
      <c r="I214" s="109" t="s">
        <v>5338</v>
      </c>
      <c r="J214" s="109" t="s">
        <v>3500</v>
      </c>
      <c r="AH214" s="123" t="s">
        <v>4878</v>
      </c>
      <c r="AI214" s="123">
        <v>8151</v>
      </c>
      <c r="AJ214" s="139"/>
      <c r="AQ214" t="s">
        <v>7010</v>
      </c>
      <c r="AR214" t="s">
        <v>7093</v>
      </c>
    </row>
    <row r="215" spans="2:70" x14ac:dyDescent="0.25">
      <c r="B215" s="10" t="s">
        <v>4841</v>
      </c>
      <c r="C215" s="13">
        <v>8114</v>
      </c>
      <c r="D215" s="139"/>
      <c r="H215" s="139"/>
      <c r="I215" s="109" t="s">
        <v>5339</v>
      </c>
      <c r="J215" s="109" t="s">
        <v>3501</v>
      </c>
      <c r="AH215" s="123" t="s">
        <v>4879</v>
      </c>
      <c r="AI215" s="123">
        <v>8152</v>
      </c>
      <c r="AJ215" s="139"/>
      <c r="AQ215" t="s">
        <v>7011</v>
      </c>
      <c r="AR215" t="s">
        <v>7094</v>
      </c>
    </row>
    <row r="216" spans="2:70" x14ac:dyDescent="0.25">
      <c r="B216" s="10" t="s">
        <v>4842</v>
      </c>
      <c r="C216" s="13">
        <v>8115</v>
      </c>
      <c r="D216" s="139"/>
      <c r="H216" s="139"/>
      <c r="I216" s="109" t="s">
        <v>5340</v>
      </c>
      <c r="J216" s="109" t="s">
        <v>3502</v>
      </c>
      <c r="AH216" s="123" t="s">
        <v>4880</v>
      </c>
      <c r="AI216" s="123">
        <v>8153</v>
      </c>
      <c r="AJ216" s="139"/>
      <c r="AQ216" t="s">
        <v>7012</v>
      </c>
      <c r="AR216" t="s">
        <v>7095</v>
      </c>
    </row>
    <row r="217" spans="2:70" x14ac:dyDescent="0.25">
      <c r="B217" s="10" t="s">
        <v>4843</v>
      </c>
      <c r="C217" s="13">
        <v>8116</v>
      </c>
      <c r="D217" s="139"/>
      <c r="H217" s="139"/>
      <c r="I217" s="109" t="s">
        <v>5341</v>
      </c>
      <c r="J217" s="109" t="s">
        <v>3503</v>
      </c>
      <c r="AH217" s="123" t="s">
        <v>4881</v>
      </c>
      <c r="AI217" s="123">
        <v>8154</v>
      </c>
      <c r="AJ217" s="139"/>
      <c r="AQ217" t="s">
        <v>7013</v>
      </c>
      <c r="AR217" t="s">
        <v>7096</v>
      </c>
    </row>
    <row r="218" spans="2:70" x14ac:dyDescent="0.25">
      <c r="B218" s="10" t="s">
        <v>4844</v>
      </c>
      <c r="C218" s="13">
        <v>8117</v>
      </c>
      <c r="D218" s="139"/>
      <c r="H218" s="139"/>
      <c r="I218" s="109" t="s">
        <v>5342</v>
      </c>
      <c r="J218" s="109" t="s">
        <v>3504</v>
      </c>
      <c r="AH218" s="123" t="s">
        <v>4882</v>
      </c>
      <c r="AI218" s="123">
        <v>8155</v>
      </c>
      <c r="AJ218" s="139"/>
      <c r="AQ218" t="s">
        <v>7014</v>
      </c>
      <c r="AR218" t="s">
        <v>7097</v>
      </c>
    </row>
    <row r="219" spans="2:70" x14ac:dyDescent="0.25">
      <c r="B219" s="10" t="s">
        <v>4845</v>
      </c>
      <c r="C219" s="13">
        <v>8118</v>
      </c>
      <c r="D219" s="139"/>
      <c r="H219" s="139"/>
      <c r="I219" s="109" t="s">
        <v>5343</v>
      </c>
      <c r="J219" s="109" t="s">
        <v>3505</v>
      </c>
      <c r="AH219" s="123" t="s">
        <v>4883</v>
      </c>
      <c r="AI219" s="123">
        <v>8156</v>
      </c>
      <c r="AJ219" s="139"/>
      <c r="AQ219" t="s">
        <v>7015</v>
      </c>
      <c r="AR219" t="s">
        <v>7098</v>
      </c>
    </row>
    <row r="220" spans="2:70" x14ac:dyDescent="0.25">
      <c r="B220" s="10" t="s">
        <v>4846</v>
      </c>
      <c r="C220" s="13">
        <v>8119</v>
      </c>
      <c r="D220" s="139"/>
      <c r="H220" s="139"/>
      <c r="I220" s="109" t="s">
        <v>5344</v>
      </c>
      <c r="J220" s="109" t="s">
        <v>3506</v>
      </c>
      <c r="AH220" s="123" t="s">
        <v>4884</v>
      </c>
      <c r="AI220" s="123">
        <v>8157</v>
      </c>
      <c r="AJ220" s="139"/>
      <c r="AQ220" t="s">
        <v>7016</v>
      </c>
      <c r="AR220" t="s">
        <v>7099</v>
      </c>
    </row>
    <row r="221" spans="2:70" x14ac:dyDescent="0.25">
      <c r="B221" s="10" t="s">
        <v>4847</v>
      </c>
      <c r="C221" s="13">
        <v>8120</v>
      </c>
      <c r="D221" s="139"/>
      <c r="H221" s="139"/>
      <c r="I221" s="109" t="s">
        <v>5345</v>
      </c>
      <c r="J221" s="109" t="s">
        <v>3507</v>
      </c>
      <c r="AH221" s="123" t="s">
        <v>4885</v>
      </c>
      <c r="AI221" s="123">
        <v>8158</v>
      </c>
      <c r="AJ221" s="139"/>
      <c r="AQ221" t="s">
        <v>7017</v>
      </c>
      <c r="AR221" t="s">
        <v>7100</v>
      </c>
    </row>
    <row r="222" spans="2:70" x14ac:dyDescent="0.25">
      <c r="B222" s="10" t="s">
        <v>4848</v>
      </c>
      <c r="C222" s="13">
        <v>8121</v>
      </c>
      <c r="D222" s="139"/>
      <c r="H222" s="139"/>
      <c r="I222" s="109" t="s">
        <v>5346</v>
      </c>
      <c r="J222" s="109" t="s">
        <v>3508</v>
      </c>
      <c r="AH222" s="123" t="s">
        <v>4886</v>
      </c>
      <c r="AI222" s="123">
        <v>100</v>
      </c>
      <c r="AJ222" s="139"/>
      <c r="AQ222" t="s">
        <v>7018</v>
      </c>
      <c r="AR222" t="s">
        <v>7101</v>
      </c>
    </row>
    <row r="223" spans="2:70" x14ac:dyDescent="0.25">
      <c r="B223" s="10" t="s">
        <v>4849</v>
      </c>
      <c r="C223" s="13">
        <v>8122</v>
      </c>
      <c r="D223" s="139"/>
      <c r="H223" s="139"/>
      <c r="I223" s="109" t="s">
        <v>5347</v>
      </c>
      <c r="J223" s="109" t="s">
        <v>3509</v>
      </c>
      <c r="AH223" s="123" t="s">
        <v>4887</v>
      </c>
      <c r="AI223" s="123">
        <v>902</v>
      </c>
      <c r="AJ223" s="139"/>
      <c r="AQ223" t="s">
        <v>7019</v>
      </c>
      <c r="AR223" t="s">
        <v>7102</v>
      </c>
    </row>
    <row r="224" spans="2:70" x14ac:dyDescent="0.25">
      <c r="B224" s="10" t="s">
        <v>4850</v>
      </c>
      <c r="C224" s="13">
        <v>8123</v>
      </c>
      <c r="D224" s="139"/>
      <c r="H224" s="139"/>
      <c r="I224" s="109" t="s">
        <v>5348</v>
      </c>
      <c r="J224" s="109" t="s">
        <v>3510</v>
      </c>
      <c r="AH224" s="123" t="s">
        <v>4888</v>
      </c>
      <c r="AI224" s="123">
        <v>101</v>
      </c>
      <c r="AJ224" s="139"/>
      <c r="AQ224" t="s">
        <v>7020</v>
      </c>
      <c r="AR224" t="s">
        <v>7103</v>
      </c>
    </row>
    <row r="225" spans="2:44" x14ac:dyDescent="0.25">
      <c r="B225" s="10" t="s">
        <v>4851</v>
      </c>
      <c r="C225" s="13">
        <v>8124</v>
      </c>
      <c r="D225" s="139"/>
      <c r="H225" s="139"/>
      <c r="I225" s="109" t="s">
        <v>5349</v>
      </c>
      <c r="J225" s="109" t="s">
        <v>3511</v>
      </c>
      <c r="AH225" s="123" t="s">
        <v>4889</v>
      </c>
      <c r="AI225" s="123">
        <v>102</v>
      </c>
      <c r="AJ225" s="139"/>
      <c r="AQ225" t="s">
        <v>7021</v>
      </c>
      <c r="AR225" t="s">
        <v>7104</v>
      </c>
    </row>
    <row r="226" spans="2:44" x14ac:dyDescent="0.25">
      <c r="B226" s="10" t="s">
        <v>4852</v>
      </c>
      <c r="C226" s="13">
        <v>8125</v>
      </c>
      <c r="D226" s="139"/>
      <c r="H226" s="139"/>
      <c r="I226" s="109" t="s">
        <v>5350</v>
      </c>
      <c r="J226" s="109" t="s">
        <v>3512</v>
      </c>
      <c r="AH226" s="123" t="s">
        <v>4890</v>
      </c>
      <c r="AI226" s="123">
        <v>103</v>
      </c>
      <c r="AJ226" s="139"/>
      <c r="AQ226" t="s">
        <v>7022</v>
      </c>
      <c r="AR226" t="s">
        <v>7105</v>
      </c>
    </row>
    <row r="227" spans="2:44" x14ac:dyDescent="0.25">
      <c r="B227" s="10" t="s">
        <v>4853</v>
      </c>
      <c r="C227" s="13">
        <v>8126</v>
      </c>
      <c r="D227" s="139"/>
      <c r="H227" s="139"/>
      <c r="I227" s="109" t="s">
        <v>5351</v>
      </c>
      <c r="J227" s="109" t="s">
        <v>3513</v>
      </c>
      <c r="AH227" s="123" t="s">
        <v>4891</v>
      </c>
      <c r="AI227" s="123">
        <v>104</v>
      </c>
      <c r="AJ227" s="139"/>
      <c r="AQ227" t="s">
        <v>7023</v>
      </c>
      <c r="AR227" t="s">
        <v>7106</v>
      </c>
    </row>
    <row r="228" spans="2:44" x14ac:dyDescent="0.25">
      <c r="B228" s="10" t="s">
        <v>4854</v>
      </c>
      <c r="C228" s="13">
        <v>8127</v>
      </c>
      <c r="D228" s="139"/>
      <c r="H228" s="139"/>
      <c r="I228" s="109" t="s">
        <v>5352</v>
      </c>
      <c r="J228" s="109" t="s">
        <v>3514</v>
      </c>
      <c r="AH228" s="123" t="s">
        <v>4892</v>
      </c>
      <c r="AI228" s="123">
        <v>105</v>
      </c>
      <c r="AJ228" s="139"/>
      <c r="AQ228" t="s">
        <v>7024</v>
      </c>
      <c r="AR228" t="s">
        <v>7107</v>
      </c>
    </row>
    <row r="229" spans="2:44" x14ac:dyDescent="0.25">
      <c r="B229" s="10" t="s">
        <v>4855</v>
      </c>
      <c r="C229" s="13">
        <v>8128</v>
      </c>
      <c r="D229" s="139"/>
      <c r="H229" s="139"/>
      <c r="I229" s="109" t="s">
        <v>5353</v>
      </c>
      <c r="J229" s="109" t="s">
        <v>3515</v>
      </c>
      <c r="AH229" s="123" t="s">
        <v>4893</v>
      </c>
      <c r="AI229" s="123">
        <v>106</v>
      </c>
      <c r="AJ229" s="139"/>
      <c r="AQ229" t="s">
        <v>7025</v>
      </c>
      <c r="AR229" t="s">
        <v>7108</v>
      </c>
    </row>
    <row r="230" spans="2:44" x14ac:dyDescent="0.25">
      <c r="B230" s="10" t="s">
        <v>4856</v>
      </c>
      <c r="C230" s="13">
        <v>8129</v>
      </c>
      <c r="D230" s="139"/>
      <c r="H230" s="139"/>
      <c r="I230" s="109" t="s">
        <v>5354</v>
      </c>
      <c r="J230" s="109" t="s">
        <v>3516</v>
      </c>
      <c r="AH230" s="123" t="s">
        <v>4894</v>
      </c>
      <c r="AI230" s="123">
        <v>108</v>
      </c>
      <c r="AJ230" s="139"/>
      <c r="AQ230" t="s">
        <v>7026</v>
      </c>
      <c r="AR230" t="s">
        <v>7109</v>
      </c>
    </row>
    <row r="231" spans="2:44" x14ac:dyDescent="0.25">
      <c r="B231" s="10" t="s">
        <v>4857</v>
      </c>
      <c r="C231" s="13">
        <v>8130</v>
      </c>
      <c r="D231" s="139"/>
      <c r="H231" s="139"/>
      <c r="I231" s="109" t="s">
        <v>5355</v>
      </c>
      <c r="J231" s="109" t="s">
        <v>3517</v>
      </c>
      <c r="AH231" s="123" t="s">
        <v>4895</v>
      </c>
      <c r="AI231" s="123">
        <v>107</v>
      </c>
      <c r="AJ231" s="139"/>
      <c r="AQ231" t="s">
        <v>7027</v>
      </c>
      <c r="AR231" t="s">
        <v>7110</v>
      </c>
    </row>
    <row r="232" spans="2:44" x14ac:dyDescent="0.25">
      <c r="B232" s="10" t="s">
        <v>4858</v>
      </c>
      <c r="C232" s="13">
        <v>8131</v>
      </c>
      <c r="D232" s="139"/>
      <c r="H232" s="139"/>
      <c r="I232" s="109" t="s">
        <v>5356</v>
      </c>
      <c r="J232" s="109" t="s">
        <v>3518</v>
      </c>
      <c r="AH232" s="123" t="s">
        <v>4896</v>
      </c>
      <c r="AI232" s="123">
        <v>109</v>
      </c>
      <c r="AJ232" s="139"/>
      <c r="AQ232" t="s">
        <v>7028</v>
      </c>
      <c r="AR232" t="s">
        <v>7111</v>
      </c>
    </row>
    <row r="233" spans="2:44" x14ac:dyDescent="0.25">
      <c r="B233" s="10" t="s">
        <v>4859</v>
      </c>
      <c r="C233" s="13">
        <v>8132</v>
      </c>
      <c r="D233" s="139"/>
      <c r="H233" s="139"/>
      <c r="I233" s="109" t="s">
        <v>5357</v>
      </c>
      <c r="J233" s="109" t="s">
        <v>3519</v>
      </c>
      <c r="AH233" s="123" t="s">
        <v>4897</v>
      </c>
      <c r="AI233" s="123">
        <v>29</v>
      </c>
      <c r="AJ233" s="139"/>
      <c r="AQ233" t="s">
        <v>7029</v>
      </c>
      <c r="AR233" t="s">
        <v>7112</v>
      </c>
    </row>
    <row r="234" spans="2:44" x14ac:dyDescent="0.25">
      <c r="B234" s="10" t="s">
        <v>4860</v>
      </c>
      <c r="C234" s="13">
        <v>8133</v>
      </c>
      <c r="D234" s="139"/>
      <c r="H234" s="139"/>
      <c r="I234" s="109" t="s">
        <v>5358</v>
      </c>
      <c r="J234" s="109" t="s">
        <v>3520</v>
      </c>
      <c r="AH234" s="123" t="s">
        <v>4898</v>
      </c>
      <c r="AI234" s="123">
        <v>31</v>
      </c>
      <c r="AJ234" s="139"/>
      <c r="AQ234" t="s">
        <v>7030</v>
      </c>
      <c r="AR234" t="s">
        <v>7113</v>
      </c>
    </row>
    <row r="235" spans="2:44" x14ac:dyDescent="0.25">
      <c r="B235" s="10" t="s">
        <v>4861</v>
      </c>
      <c r="C235" s="13">
        <v>8134</v>
      </c>
      <c r="D235" s="139"/>
      <c r="H235" s="139"/>
      <c r="I235" s="109" t="s">
        <v>5359</v>
      </c>
      <c r="J235" s="109" t="s">
        <v>3521</v>
      </c>
      <c r="AH235" s="123" t="s">
        <v>4899</v>
      </c>
      <c r="AI235" s="123">
        <v>56</v>
      </c>
      <c r="AJ235" s="139"/>
      <c r="AQ235" t="s">
        <v>7031</v>
      </c>
      <c r="AR235" t="s">
        <v>7114</v>
      </c>
    </row>
    <row r="236" spans="2:44" x14ac:dyDescent="0.25">
      <c r="B236" s="10" t="s">
        <v>4862</v>
      </c>
      <c r="C236" s="13">
        <v>8135</v>
      </c>
      <c r="D236" s="139"/>
      <c r="H236" s="139"/>
      <c r="I236" s="109" t="s">
        <v>5360</v>
      </c>
      <c r="J236" s="109" t="s">
        <v>3522</v>
      </c>
      <c r="AH236" s="123" t="s">
        <v>4900</v>
      </c>
      <c r="AI236" s="123">
        <v>183</v>
      </c>
      <c r="AJ236" s="139"/>
      <c r="AQ236" t="s">
        <v>7032</v>
      </c>
      <c r="AR236" t="s">
        <v>7115</v>
      </c>
    </row>
    <row r="237" spans="2:44" x14ac:dyDescent="0.25">
      <c r="B237" s="10" t="s">
        <v>4863</v>
      </c>
      <c r="C237" s="13">
        <v>8136</v>
      </c>
      <c r="D237" s="139"/>
      <c r="H237" s="139"/>
      <c r="I237" s="109" t="s">
        <v>5361</v>
      </c>
      <c r="J237" s="109" t="s">
        <v>3523</v>
      </c>
      <c r="AH237" s="123" t="s">
        <v>4901</v>
      </c>
      <c r="AI237" s="123">
        <v>364</v>
      </c>
      <c r="AJ237" s="139"/>
      <c r="AQ237" t="s">
        <v>7033</v>
      </c>
      <c r="AR237" t="s">
        <v>7116</v>
      </c>
    </row>
    <row r="238" spans="2:44" x14ac:dyDescent="0.25">
      <c r="B238" s="10" t="s">
        <v>4864</v>
      </c>
      <c r="C238" s="13">
        <v>8137</v>
      </c>
      <c r="D238" s="139"/>
      <c r="H238" s="139"/>
      <c r="I238" s="109" t="s">
        <v>5362</v>
      </c>
      <c r="J238" s="109" t="s">
        <v>3524</v>
      </c>
      <c r="AH238" s="123" t="s">
        <v>4902</v>
      </c>
      <c r="AI238" s="123">
        <v>8382</v>
      </c>
      <c r="AJ238" s="139"/>
      <c r="AQ238" t="s">
        <v>7034</v>
      </c>
      <c r="AR238" t="s">
        <v>7117</v>
      </c>
    </row>
    <row r="239" spans="2:44" x14ac:dyDescent="0.25">
      <c r="B239" s="10" t="s">
        <v>4865</v>
      </c>
      <c r="C239" s="13">
        <v>8138</v>
      </c>
      <c r="D239" s="139"/>
      <c r="H239" s="139"/>
      <c r="I239" s="109" t="s">
        <v>5363</v>
      </c>
      <c r="J239" s="109" t="s">
        <v>3525</v>
      </c>
      <c r="AH239" s="123" t="s">
        <v>4903</v>
      </c>
      <c r="AI239" s="123">
        <v>5460</v>
      </c>
      <c r="AJ239" s="139"/>
      <c r="AQ239" t="s">
        <v>7035</v>
      </c>
      <c r="AR239" t="s">
        <v>7118</v>
      </c>
    </row>
    <row r="240" spans="2:44" x14ac:dyDescent="0.25">
      <c r="B240" s="10" t="s">
        <v>4866</v>
      </c>
      <c r="C240" s="13">
        <v>8139</v>
      </c>
      <c r="D240" s="139"/>
      <c r="H240" s="139"/>
      <c r="I240" s="109" t="s">
        <v>5364</v>
      </c>
      <c r="J240" s="109" t="s">
        <v>3526</v>
      </c>
      <c r="AH240" s="123" t="s">
        <v>4904</v>
      </c>
      <c r="AI240" s="123">
        <v>8999</v>
      </c>
      <c r="AJ240" s="139"/>
      <c r="AQ240" t="s">
        <v>7036</v>
      </c>
      <c r="AR240" t="s">
        <v>7119</v>
      </c>
    </row>
    <row r="241" spans="2:44" x14ac:dyDescent="0.25">
      <c r="B241" s="10" t="s">
        <v>4867</v>
      </c>
      <c r="C241" s="13">
        <v>8140</v>
      </c>
      <c r="D241" s="139"/>
      <c r="H241" s="139"/>
      <c r="I241" s="109" t="s">
        <v>5365</v>
      </c>
      <c r="J241" s="109" t="s">
        <v>3527</v>
      </c>
      <c r="AH241" s="123" t="s">
        <v>4905</v>
      </c>
      <c r="AI241" s="123">
        <v>37</v>
      </c>
      <c r="AJ241" s="139"/>
      <c r="AQ241" t="s">
        <v>7037</v>
      </c>
      <c r="AR241" t="s">
        <v>7120</v>
      </c>
    </row>
    <row r="242" spans="2:44" x14ac:dyDescent="0.25">
      <c r="B242" s="10" t="s">
        <v>4868</v>
      </c>
      <c r="C242" s="13">
        <v>8141</v>
      </c>
      <c r="D242" s="139"/>
      <c r="H242" s="139"/>
      <c r="I242" s="109" t="s">
        <v>5366</v>
      </c>
      <c r="J242" s="109" t="s">
        <v>3528</v>
      </c>
      <c r="AH242" s="123" t="s">
        <v>4906</v>
      </c>
      <c r="AI242" s="123">
        <v>42</v>
      </c>
      <c r="AJ242" s="139"/>
      <c r="AQ242" t="s">
        <v>7038</v>
      </c>
      <c r="AR242" t="s">
        <v>7121</v>
      </c>
    </row>
    <row r="243" spans="2:44" x14ac:dyDescent="0.25">
      <c r="B243" s="10" t="s">
        <v>4869</v>
      </c>
      <c r="C243" s="13">
        <v>8142</v>
      </c>
      <c r="D243" s="139"/>
      <c r="H243" s="139"/>
      <c r="I243" s="109" t="s">
        <v>5367</v>
      </c>
      <c r="J243" s="109" t="s">
        <v>3529</v>
      </c>
      <c r="AH243" s="123" t="s">
        <v>4907</v>
      </c>
      <c r="AI243" s="123">
        <v>71</v>
      </c>
      <c r="AJ243" s="139"/>
      <c r="AQ243" t="s">
        <v>7039</v>
      </c>
      <c r="AR243" t="s">
        <v>7122</v>
      </c>
    </row>
    <row r="244" spans="2:44" x14ac:dyDescent="0.25">
      <c r="B244" s="10" t="s">
        <v>4870</v>
      </c>
      <c r="C244" s="13">
        <v>8143</v>
      </c>
      <c r="D244" s="139"/>
      <c r="H244" s="139"/>
      <c r="I244" s="109" t="s">
        <v>5368</v>
      </c>
      <c r="J244" s="109" t="s">
        <v>3530</v>
      </c>
      <c r="AH244" s="123" t="s">
        <v>4908</v>
      </c>
      <c r="AI244" s="123">
        <v>148</v>
      </c>
      <c r="AJ244" s="139"/>
      <c r="AQ244" t="s">
        <v>7040</v>
      </c>
      <c r="AR244" t="s">
        <v>7123</v>
      </c>
    </row>
    <row r="245" spans="2:44" x14ac:dyDescent="0.25">
      <c r="B245" s="10" t="s">
        <v>4871</v>
      </c>
      <c r="C245" s="13">
        <v>8144</v>
      </c>
      <c r="D245" s="139"/>
      <c r="H245" s="139"/>
      <c r="I245" s="109" t="s">
        <v>5369</v>
      </c>
      <c r="J245" s="109" t="s">
        <v>3531</v>
      </c>
      <c r="AH245" s="123" t="s">
        <v>4909</v>
      </c>
      <c r="AI245" s="123">
        <v>8159</v>
      </c>
      <c r="AJ245" s="139"/>
      <c r="AQ245" t="s">
        <v>7041</v>
      </c>
      <c r="AR245" t="s">
        <v>7124</v>
      </c>
    </row>
    <row r="246" spans="2:44" x14ac:dyDescent="0.25">
      <c r="B246" s="10" t="s">
        <v>4872</v>
      </c>
      <c r="C246" s="13">
        <v>8145</v>
      </c>
      <c r="D246" s="139"/>
      <c r="H246" s="139"/>
      <c r="I246" s="109" t="s">
        <v>5370</v>
      </c>
      <c r="J246" s="109" t="s">
        <v>3532</v>
      </c>
      <c r="AH246" s="123" t="s">
        <v>4910</v>
      </c>
      <c r="AI246" s="123">
        <v>8160</v>
      </c>
      <c r="AJ246" s="139"/>
      <c r="AQ246" t="s">
        <v>7042</v>
      </c>
      <c r="AR246" t="s">
        <v>7125</v>
      </c>
    </row>
    <row r="247" spans="2:44" x14ac:dyDescent="0.25">
      <c r="B247" s="10" t="s">
        <v>4873</v>
      </c>
      <c r="C247" s="13">
        <v>8146</v>
      </c>
      <c r="D247" s="139"/>
      <c r="H247" s="139"/>
      <c r="I247" s="109" t="s">
        <v>5371</v>
      </c>
      <c r="J247" s="109" t="s">
        <v>3533</v>
      </c>
      <c r="AH247" s="123" t="s">
        <v>4911</v>
      </c>
      <c r="AI247" s="123">
        <v>8161</v>
      </c>
      <c r="AJ247" s="139"/>
      <c r="AQ247" t="s">
        <v>7043</v>
      </c>
      <c r="AR247" t="s">
        <v>7126</v>
      </c>
    </row>
    <row r="248" spans="2:44" x14ac:dyDescent="0.25">
      <c r="B248" s="10" t="s">
        <v>4874</v>
      </c>
      <c r="C248" s="13">
        <v>8147</v>
      </c>
      <c r="D248" s="139"/>
      <c r="H248" s="139"/>
      <c r="I248" s="109" t="s">
        <v>5372</v>
      </c>
      <c r="J248" s="109" t="s">
        <v>3534</v>
      </c>
      <c r="AH248" s="123" t="s">
        <v>4912</v>
      </c>
      <c r="AI248" s="123">
        <v>8162</v>
      </c>
      <c r="AJ248" s="139"/>
      <c r="AQ248" t="s">
        <v>7044</v>
      </c>
      <c r="AR248" t="s">
        <v>7127</v>
      </c>
    </row>
    <row r="249" spans="2:44" x14ac:dyDescent="0.25">
      <c r="B249" s="10" t="s">
        <v>4875</v>
      </c>
      <c r="C249" s="13">
        <v>8148</v>
      </c>
      <c r="D249" s="139"/>
      <c r="H249" s="139"/>
      <c r="I249" s="109" t="s">
        <v>5373</v>
      </c>
      <c r="J249" s="109" t="s">
        <v>3535</v>
      </c>
      <c r="AH249" s="123" t="s">
        <v>4913</v>
      </c>
      <c r="AI249" s="123">
        <v>8163</v>
      </c>
      <c r="AJ249" s="139"/>
      <c r="AQ249" t="s">
        <v>7045</v>
      </c>
      <c r="AR249" t="s">
        <v>7128</v>
      </c>
    </row>
    <row r="250" spans="2:44" x14ac:dyDescent="0.25">
      <c r="B250" s="10" t="s">
        <v>4876</v>
      </c>
      <c r="C250" s="13">
        <v>8149</v>
      </c>
      <c r="D250" s="139"/>
      <c r="H250" s="139"/>
      <c r="I250" s="109" t="s">
        <v>5374</v>
      </c>
      <c r="J250" s="109" t="s">
        <v>3536</v>
      </c>
      <c r="AH250" s="123" t="s">
        <v>4914</v>
      </c>
      <c r="AI250" s="123">
        <v>8164</v>
      </c>
      <c r="AJ250" s="139"/>
      <c r="AQ250" t="s">
        <v>7046</v>
      </c>
      <c r="AR250" t="s">
        <v>7129</v>
      </c>
    </row>
    <row r="251" spans="2:44" x14ac:dyDescent="0.25">
      <c r="B251" s="10" t="s">
        <v>4877</v>
      </c>
      <c r="C251" s="13">
        <v>8150</v>
      </c>
      <c r="D251" s="139"/>
      <c r="H251" s="139"/>
      <c r="I251" s="109" t="s">
        <v>5375</v>
      </c>
      <c r="J251" s="109" t="s">
        <v>3537</v>
      </c>
      <c r="AH251" s="123" t="s">
        <v>4915</v>
      </c>
      <c r="AI251" s="123">
        <v>8165</v>
      </c>
      <c r="AJ251" s="139"/>
      <c r="AQ251" t="s">
        <v>7047</v>
      </c>
      <c r="AR251" t="s">
        <v>7130</v>
      </c>
    </row>
    <row r="252" spans="2:44" x14ac:dyDescent="0.25">
      <c r="B252" s="10" t="s">
        <v>4878</v>
      </c>
      <c r="C252" s="13">
        <v>8151</v>
      </c>
      <c r="D252" s="139"/>
      <c r="H252" s="139"/>
      <c r="I252" s="109" t="s">
        <v>5376</v>
      </c>
      <c r="J252" s="109" t="s">
        <v>3538</v>
      </c>
      <c r="AH252" s="123" t="s">
        <v>4916</v>
      </c>
      <c r="AI252" s="123">
        <v>8166</v>
      </c>
      <c r="AJ252" s="139"/>
      <c r="AQ252" t="s">
        <v>7048</v>
      </c>
      <c r="AR252" t="s">
        <v>7131</v>
      </c>
    </row>
    <row r="253" spans="2:44" x14ac:dyDescent="0.25">
      <c r="B253" s="10" t="s">
        <v>4879</v>
      </c>
      <c r="C253" s="13">
        <v>8152</v>
      </c>
      <c r="D253" s="139"/>
      <c r="H253" s="139"/>
      <c r="I253" s="109" t="s">
        <v>5377</v>
      </c>
      <c r="J253" s="109" t="s">
        <v>3539</v>
      </c>
      <c r="AH253" s="123" t="s">
        <v>4917</v>
      </c>
      <c r="AI253" s="123">
        <v>8167</v>
      </c>
      <c r="AJ253" s="139"/>
      <c r="AQ253" t="s">
        <v>7049</v>
      </c>
      <c r="AR253" t="s">
        <v>7132</v>
      </c>
    </row>
    <row r="254" spans="2:44" x14ac:dyDescent="0.25">
      <c r="B254" s="10" t="s">
        <v>4880</v>
      </c>
      <c r="C254" s="13">
        <v>8153</v>
      </c>
      <c r="D254" s="139"/>
      <c r="H254" s="139"/>
      <c r="I254" s="109" t="s">
        <v>5378</v>
      </c>
      <c r="J254" s="109" t="s">
        <v>3540</v>
      </c>
      <c r="AH254" s="123" t="s">
        <v>4918</v>
      </c>
      <c r="AI254" s="123">
        <v>8168</v>
      </c>
      <c r="AJ254" s="139"/>
      <c r="AQ254" t="s">
        <v>7050</v>
      </c>
      <c r="AR254" t="s">
        <v>7133</v>
      </c>
    </row>
    <row r="255" spans="2:44" x14ac:dyDescent="0.25">
      <c r="B255" s="10" t="s">
        <v>4881</v>
      </c>
      <c r="C255" s="13">
        <v>8154</v>
      </c>
      <c r="D255" s="139"/>
      <c r="H255" s="139"/>
      <c r="I255" s="109" t="s">
        <v>5379</v>
      </c>
      <c r="J255" s="109" t="s">
        <v>3541</v>
      </c>
      <c r="AH255" s="123" t="s">
        <v>4919</v>
      </c>
      <c r="AI255" s="123">
        <v>8169</v>
      </c>
      <c r="AJ255" s="139"/>
      <c r="AQ255" t="s">
        <v>7051</v>
      </c>
      <c r="AR255" t="s">
        <v>7134</v>
      </c>
    </row>
    <row r="256" spans="2:44" x14ac:dyDescent="0.25">
      <c r="B256" s="10" t="s">
        <v>4882</v>
      </c>
      <c r="C256" s="13">
        <v>8155</v>
      </c>
      <c r="D256" s="139"/>
      <c r="H256" s="139"/>
      <c r="I256" s="109" t="s">
        <v>5380</v>
      </c>
      <c r="J256" s="109" t="s">
        <v>3542</v>
      </c>
      <c r="AH256" s="123" t="s">
        <v>4920</v>
      </c>
      <c r="AI256" s="123">
        <v>8170</v>
      </c>
      <c r="AJ256" s="139"/>
      <c r="AQ256" t="s">
        <v>7052</v>
      </c>
      <c r="AR256" t="s">
        <v>7135</v>
      </c>
    </row>
    <row r="257" spans="2:44" x14ac:dyDescent="0.25">
      <c r="B257" s="10" t="s">
        <v>4883</v>
      </c>
      <c r="C257" s="13">
        <v>8156</v>
      </c>
      <c r="D257" s="139"/>
      <c r="H257" s="139"/>
      <c r="I257" s="109" t="s">
        <v>5381</v>
      </c>
      <c r="J257" s="109" t="s">
        <v>3543</v>
      </c>
      <c r="AH257" s="123" t="s">
        <v>4921</v>
      </c>
      <c r="AI257" s="123">
        <v>8171</v>
      </c>
      <c r="AJ257" s="139"/>
      <c r="AQ257" t="s">
        <v>7053</v>
      </c>
      <c r="AR257" t="s">
        <v>7136</v>
      </c>
    </row>
    <row r="258" spans="2:44" x14ac:dyDescent="0.25">
      <c r="B258" s="10" t="s">
        <v>4884</v>
      </c>
      <c r="C258" s="13">
        <v>8157</v>
      </c>
      <c r="D258" s="139"/>
      <c r="H258" s="139"/>
      <c r="I258" s="109" t="s">
        <v>5382</v>
      </c>
      <c r="J258" s="109" t="s">
        <v>3544</v>
      </c>
      <c r="AH258" s="123" t="s">
        <v>4922</v>
      </c>
      <c r="AI258" s="123">
        <v>8172</v>
      </c>
      <c r="AJ258" s="139"/>
      <c r="AQ258" t="s">
        <v>7054</v>
      </c>
      <c r="AR258" t="s">
        <v>7137</v>
      </c>
    </row>
    <row r="259" spans="2:44" x14ac:dyDescent="0.25">
      <c r="B259" s="10" t="s">
        <v>4885</v>
      </c>
      <c r="C259" s="13">
        <v>8158</v>
      </c>
      <c r="D259" s="139"/>
      <c r="H259" s="139"/>
      <c r="I259" s="109" t="s">
        <v>5383</v>
      </c>
      <c r="J259" s="109" t="s">
        <v>3545</v>
      </c>
      <c r="AH259" s="123" t="s">
        <v>4923</v>
      </c>
      <c r="AI259" s="123">
        <v>8173</v>
      </c>
      <c r="AJ259" s="139"/>
      <c r="AQ259" t="s">
        <v>7055</v>
      </c>
      <c r="AR259" t="s">
        <v>7138</v>
      </c>
    </row>
    <row r="260" spans="2:44" x14ac:dyDescent="0.25">
      <c r="B260" s="10" t="s">
        <v>4886</v>
      </c>
      <c r="C260" s="13">
        <v>100</v>
      </c>
      <c r="D260" s="139"/>
      <c r="H260" s="139"/>
      <c r="I260" s="109" t="s">
        <v>5384</v>
      </c>
      <c r="J260" s="109" t="s">
        <v>3546</v>
      </c>
      <c r="AH260" s="123" t="s">
        <v>4924</v>
      </c>
      <c r="AI260" s="123">
        <v>8174</v>
      </c>
      <c r="AJ260" s="139"/>
      <c r="AQ260" t="s">
        <v>7056</v>
      </c>
      <c r="AR260" t="s">
        <v>7139</v>
      </c>
    </row>
    <row r="261" spans="2:44" x14ac:dyDescent="0.25">
      <c r="B261" s="10" t="s">
        <v>4887</v>
      </c>
      <c r="C261" s="13">
        <v>902</v>
      </c>
      <c r="D261" s="139"/>
      <c r="H261" s="139"/>
      <c r="I261" s="109" t="s">
        <v>5385</v>
      </c>
      <c r="J261" s="109" t="s">
        <v>3547</v>
      </c>
      <c r="AH261" s="123" t="s">
        <v>4925</v>
      </c>
      <c r="AI261" s="123">
        <v>8175</v>
      </c>
      <c r="AJ261" s="139"/>
      <c r="AQ261" t="s">
        <v>7057</v>
      </c>
      <c r="AR261" t="s">
        <v>7140</v>
      </c>
    </row>
    <row r="262" spans="2:44" x14ac:dyDescent="0.25">
      <c r="B262" s="10" t="s">
        <v>4888</v>
      </c>
      <c r="C262" s="13">
        <v>101</v>
      </c>
      <c r="D262" s="139"/>
      <c r="H262" s="139"/>
      <c r="I262" s="109" t="s">
        <v>5386</v>
      </c>
      <c r="J262" s="109" t="s">
        <v>3548</v>
      </c>
      <c r="AH262" s="123" t="s">
        <v>4926</v>
      </c>
      <c r="AI262" s="123">
        <v>8176</v>
      </c>
      <c r="AJ262" s="139"/>
      <c r="AQ262" t="s">
        <v>7058</v>
      </c>
      <c r="AR262" t="s">
        <v>7141</v>
      </c>
    </row>
    <row r="263" spans="2:44" x14ac:dyDescent="0.25">
      <c r="B263" s="10" t="s">
        <v>4889</v>
      </c>
      <c r="C263" s="13">
        <v>102</v>
      </c>
      <c r="D263" s="139"/>
      <c r="H263" s="139"/>
      <c r="I263" s="109" t="s">
        <v>5387</v>
      </c>
      <c r="J263" s="109" t="s">
        <v>3549</v>
      </c>
      <c r="AH263" s="123" t="s">
        <v>4927</v>
      </c>
      <c r="AI263" s="123">
        <v>8177</v>
      </c>
      <c r="AJ263" s="139"/>
      <c r="AQ263" t="s">
        <v>7059</v>
      </c>
      <c r="AR263" t="s">
        <v>7142</v>
      </c>
    </row>
    <row r="264" spans="2:44" x14ac:dyDescent="0.25">
      <c r="B264" s="10" t="s">
        <v>4890</v>
      </c>
      <c r="C264" s="13">
        <v>103</v>
      </c>
      <c r="D264" s="139"/>
      <c r="H264" s="139"/>
      <c r="I264" s="109" t="s">
        <v>5388</v>
      </c>
      <c r="J264" s="109" t="s">
        <v>3550</v>
      </c>
      <c r="AH264" s="123" t="s">
        <v>4928</v>
      </c>
      <c r="AI264" s="123">
        <v>8178</v>
      </c>
      <c r="AJ264" s="139"/>
      <c r="AQ264" t="s">
        <v>7060</v>
      </c>
      <c r="AR264" t="s">
        <v>912</v>
      </c>
    </row>
    <row r="265" spans="2:44" x14ac:dyDescent="0.25">
      <c r="B265" s="10" t="s">
        <v>4891</v>
      </c>
      <c r="C265" s="13">
        <v>104</v>
      </c>
      <c r="D265" s="139"/>
      <c r="H265" s="139"/>
      <c r="I265" s="109" t="s">
        <v>5389</v>
      </c>
      <c r="J265" s="109" t="s">
        <v>3551</v>
      </c>
      <c r="AH265" s="123" t="s">
        <v>4929</v>
      </c>
      <c r="AI265" s="123">
        <v>8179</v>
      </c>
      <c r="AJ265" s="139"/>
      <c r="AQ265" t="s">
        <v>7061</v>
      </c>
      <c r="AR265" t="s">
        <v>7143</v>
      </c>
    </row>
    <row r="266" spans="2:44" x14ac:dyDescent="0.25">
      <c r="B266" s="10" t="s">
        <v>4892</v>
      </c>
      <c r="C266" s="13">
        <v>105</v>
      </c>
      <c r="D266" s="139"/>
      <c r="H266" s="139"/>
      <c r="I266" s="109" t="s">
        <v>5390</v>
      </c>
      <c r="J266" s="109" t="s">
        <v>3552</v>
      </c>
      <c r="AH266" s="123" t="s">
        <v>4930</v>
      </c>
      <c r="AI266" s="123">
        <v>8180</v>
      </c>
      <c r="AJ266" s="139"/>
      <c r="AQ266" t="s">
        <v>7062</v>
      </c>
      <c r="AR266" t="s">
        <v>7144</v>
      </c>
    </row>
    <row r="267" spans="2:44" x14ac:dyDescent="0.25">
      <c r="B267" s="10" t="s">
        <v>4893</v>
      </c>
      <c r="C267" s="13">
        <v>106</v>
      </c>
      <c r="D267" s="139"/>
      <c r="H267" s="139"/>
      <c r="I267" s="109" t="s">
        <v>5391</v>
      </c>
      <c r="J267" s="109" t="s">
        <v>3553</v>
      </c>
      <c r="AH267" s="123" t="s">
        <v>4931</v>
      </c>
      <c r="AI267" s="123">
        <v>8181</v>
      </c>
      <c r="AJ267" s="139"/>
      <c r="AQ267" t="s">
        <v>7063</v>
      </c>
      <c r="AR267" t="s">
        <v>7145</v>
      </c>
    </row>
    <row r="268" spans="2:44" x14ac:dyDescent="0.25">
      <c r="B268" s="10" t="s">
        <v>4894</v>
      </c>
      <c r="C268" s="13">
        <v>108</v>
      </c>
      <c r="D268" s="139"/>
      <c r="H268" s="139"/>
      <c r="I268" s="109" t="s">
        <v>5392</v>
      </c>
      <c r="J268" s="109" t="s">
        <v>3554</v>
      </c>
      <c r="AH268" s="123" t="s">
        <v>4932</v>
      </c>
      <c r="AI268" s="123">
        <v>8182</v>
      </c>
      <c r="AJ268" s="139"/>
      <c r="AQ268" t="s">
        <v>7064</v>
      </c>
      <c r="AR268" t="s">
        <v>7146</v>
      </c>
    </row>
    <row r="269" spans="2:44" x14ac:dyDescent="0.25">
      <c r="B269" s="10" t="s">
        <v>4895</v>
      </c>
      <c r="C269" s="13">
        <v>107</v>
      </c>
      <c r="D269" s="139"/>
      <c r="H269" s="139"/>
      <c r="I269" s="109" t="s">
        <v>5393</v>
      </c>
      <c r="J269" s="109" t="s">
        <v>3555</v>
      </c>
      <c r="AH269" s="123" t="s">
        <v>4933</v>
      </c>
      <c r="AI269" s="123">
        <v>8183</v>
      </c>
      <c r="AJ269" s="139"/>
      <c r="AQ269" t="s">
        <v>7065</v>
      </c>
      <c r="AR269" t="s">
        <v>7147</v>
      </c>
    </row>
    <row r="270" spans="2:44" x14ac:dyDescent="0.25">
      <c r="B270" s="10" t="s">
        <v>4896</v>
      </c>
      <c r="C270" s="13">
        <v>109</v>
      </c>
      <c r="D270" s="139"/>
      <c r="H270" s="139"/>
      <c r="I270" s="109" t="s">
        <v>5394</v>
      </c>
      <c r="J270" s="109" t="s">
        <v>3556</v>
      </c>
      <c r="AH270" s="123" t="s">
        <v>4934</v>
      </c>
      <c r="AI270" s="123">
        <v>8184</v>
      </c>
      <c r="AJ270" s="139"/>
      <c r="AQ270" t="s">
        <v>7066</v>
      </c>
      <c r="AR270" t="s">
        <v>7148</v>
      </c>
    </row>
    <row r="271" spans="2:44" x14ac:dyDescent="0.25">
      <c r="B271" s="10" t="s">
        <v>4897</v>
      </c>
      <c r="C271" s="13">
        <v>29</v>
      </c>
      <c r="D271" s="139"/>
      <c r="H271" s="139"/>
      <c r="I271" s="109" t="s">
        <v>5395</v>
      </c>
      <c r="J271" s="109" t="s">
        <v>620</v>
      </c>
      <c r="AH271" s="123" t="s">
        <v>4935</v>
      </c>
      <c r="AI271" s="123">
        <v>8185</v>
      </c>
      <c r="AJ271" s="139"/>
      <c r="AQ271" t="s">
        <v>7067</v>
      </c>
      <c r="AR271" t="s">
        <v>7149</v>
      </c>
    </row>
    <row r="272" spans="2:44" x14ac:dyDescent="0.25">
      <c r="B272" s="10" t="s">
        <v>4898</v>
      </c>
      <c r="C272" s="13">
        <v>31</v>
      </c>
      <c r="D272" s="139"/>
      <c r="H272" s="139"/>
      <c r="I272" s="109" t="s">
        <v>5396</v>
      </c>
      <c r="J272" s="109" t="s">
        <v>3557</v>
      </c>
      <c r="AH272" s="123" t="s">
        <v>4936</v>
      </c>
      <c r="AI272" s="123">
        <v>8186</v>
      </c>
      <c r="AJ272" s="139"/>
      <c r="AQ272" t="s">
        <v>7068</v>
      </c>
      <c r="AR272" t="s">
        <v>7150</v>
      </c>
    </row>
    <row r="273" spans="2:44" x14ac:dyDescent="0.25">
      <c r="B273" s="10" t="s">
        <v>4899</v>
      </c>
      <c r="C273" s="13">
        <v>56</v>
      </c>
      <c r="D273" s="139"/>
      <c r="H273" s="139"/>
      <c r="I273" s="109" t="s">
        <v>5397</v>
      </c>
      <c r="J273" s="109" t="s">
        <v>3558</v>
      </c>
      <c r="AH273" s="123" t="s">
        <v>4937</v>
      </c>
      <c r="AI273" s="123">
        <v>8187</v>
      </c>
      <c r="AJ273" s="139"/>
      <c r="AQ273" t="s">
        <v>7069</v>
      </c>
      <c r="AR273" t="s">
        <v>7151</v>
      </c>
    </row>
    <row r="274" spans="2:44" x14ac:dyDescent="0.25">
      <c r="B274" s="10" t="s">
        <v>4900</v>
      </c>
      <c r="C274" s="13">
        <v>183</v>
      </c>
      <c r="D274" s="139"/>
      <c r="H274" s="139"/>
      <c r="I274" s="109" t="s">
        <v>5398</v>
      </c>
      <c r="J274" s="109" t="s">
        <v>3559</v>
      </c>
      <c r="AH274" s="123" t="s">
        <v>4938</v>
      </c>
      <c r="AI274" s="123">
        <v>8188</v>
      </c>
      <c r="AJ274" s="139"/>
      <c r="AQ274" t="s">
        <v>7156</v>
      </c>
      <c r="AR274" t="s">
        <v>7152</v>
      </c>
    </row>
    <row r="275" spans="2:44" x14ac:dyDescent="0.25">
      <c r="B275" s="10" t="s">
        <v>4901</v>
      </c>
      <c r="C275" s="13">
        <v>364</v>
      </c>
      <c r="D275" s="139"/>
      <c r="H275" s="139"/>
      <c r="I275" s="109" t="s">
        <v>5399</v>
      </c>
      <c r="J275" s="109" t="s">
        <v>3560</v>
      </c>
      <c r="AH275" s="123" t="s">
        <v>4939</v>
      </c>
      <c r="AI275" s="123">
        <v>8189</v>
      </c>
      <c r="AJ275" s="139"/>
      <c r="AQ275" t="s">
        <v>7157</v>
      </c>
      <c r="AR275" t="s">
        <v>7153</v>
      </c>
    </row>
    <row r="276" spans="2:44" x14ac:dyDescent="0.25">
      <c r="B276" s="10" t="s">
        <v>4902</v>
      </c>
      <c r="C276" s="13">
        <v>8382</v>
      </c>
      <c r="D276" s="139"/>
      <c r="H276" s="139"/>
      <c r="I276" s="109" t="s">
        <v>5400</v>
      </c>
      <c r="J276" s="109" t="s">
        <v>3561</v>
      </c>
      <c r="AH276" s="123" t="s">
        <v>4940</v>
      </c>
      <c r="AI276" s="123">
        <v>8190</v>
      </c>
      <c r="AJ276" s="139"/>
      <c r="AQ276" t="s">
        <v>7158</v>
      </c>
      <c r="AR276" t="s">
        <v>13</v>
      </c>
    </row>
    <row r="277" spans="2:44" x14ac:dyDescent="0.25">
      <c r="B277" s="10" t="s">
        <v>4903</v>
      </c>
      <c r="C277" s="13">
        <v>5460</v>
      </c>
      <c r="D277" s="139"/>
      <c r="H277" s="139"/>
      <c r="I277" s="109" t="s">
        <v>5401</v>
      </c>
      <c r="J277" s="109" t="s">
        <v>3562</v>
      </c>
      <c r="AH277" s="123" t="s">
        <v>4941</v>
      </c>
      <c r="AI277" s="123">
        <v>8191</v>
      </c>
      <c r="AJ277" s="139"/>
      <c r="AQ277" t="s">
        <v>7159</v>
      </c>
      <c r="AR277" t="s">
        <v>7154</v>
      </c>
    </row>
    <row r="278" spans="2:44" x14ac:dyDescent="0.25">
      <c r="B278" s="10" t="s">
        <v>4904</v>
      </c>
      <c r="C278" s="13">
        <v>8999</v>
      </c>
      <c r="D278" s="139"/>
      <c r="H278" s="139"/>
      <c r="I278" s="109" t="s">
        <v>5402</v>
      </c>
      <c r="J278" s="109" t="s">
        <v>3563</v>
      </c>
      <c r="AH278" s="123" t="s">
        <v>4942</v>
      </c>
      <c r="AI278" s="123">
        <v>8192</v>
      </c>
      <c r="AJ278" s="139"/>
      <c r="AQ278" t="s">
        <v>6957</v>
      </c>
      <c r="AR278" t="s">
        <v>6874</v>
      </c>
    </row>
    <row r="279" spans="2:44" x14ac:dyDescent="0.25">
      <c r="B279" s="10" t="s">
        <v>4905</v>
      </c>
      <c r="C279" s="13">
        <v>37</v>
      </c>
      <c r="D279" s="139"/>
      <c r="H279" s="139"/>
      <c r="I279" s="109" t="s">
        <v>5403</v>
      </c>
      <c r="J279" s="109" t="s">
        <v>3564</v>
      </c>
      <c r="AH279" s="123" t="s">
        <v>4943</v>
      </c>
      <c r="AI279" s="123">
        <v>8193</v>
      </c>
      <c r="AJ279" s="139"/>
      <c r="AQ279" s="166" t="s">
        <v>6953</v>
      </c>
      <c r="AR279" s="166" t="s">
        <v>7161</v>
      </c>
    </row>
    <row r="280" spans="2:44" x14ac:dyDescent="0.25">
      <c r="B280" s="10" t="s">
        <v>4906</v>
      </c>
      <c r="C280" s="13">
        <v>42</v>
      </c>
      <c r="D280" s="139"/>
      <c r="H280" s="139"/>
      <c r="I280" s="109" t="s">
        <v>5404</v>
      </c>
      <c r="J280" s="109" t="s">
        <v>3565</v>
      </c>
      <c r="AH280" s="123" t="s">
        <v>4944</v>
      </c>
      <c r="AI280" s="123">
        <v>8194</v>
      </c>
      <c r="AJ280" s="139"/>
      <c r="AQ280" t="s">
        <v>162</v>
      </c>
    </row>
    <row r="281" spans="2:44" x14ac:dyDescent="0.25">
      <c r="B281" s="10" t="s">
        <v>4907</v>
      </c>
      <c r="C281" s="13">
        <v>71</v>
      </c>
      <c r="D281" s="139"/>
      <c r="H281" s="139"/>
      <c r="I281" s="109" t="s">
        <v>5405</v>
      </c>
      <c r="J281" s="109" t="s">
        <v>3566</v>
      </c>
      <c r="AH281" s="123" t="s">
        <v>4945</v>
      </c>
      <c r="AI281" s="123">
        <v>8195</v>
      </c>
      <c r="AJ281" s="139"/>
    </row>
    <row r="282" spans="2:44" x14ac:dyDescent="0.25">
      <c r="B282" s="10" t="s">
        <v>4908</v>
      </c>
      <c r="C282" s="13">
        <v>148</v>
      </c>
      <c r="D282" s="139"/>
      <c r="H282" s="139"/>
      <c r="I282" s="109" t="s">
        <v>5406</v>
      </c>
      <c r="J282" s="109" t="s">
        <v>3567</v>
      </c>
      <c r="AH282" s="123" t="s">
        <v>4946</v>
      </c>
      <c r="AI282" s="123">
        <v>8196</v>
      </c>
      <c r="AJ282" s="139"/>
    </row>
    <row r="283" spans="2:44" x14ac:dyDescent="0.25">
      <c r="B283" s="10" t="s">
        <v>4909</v>
      </c>
      <c r="C283" s="13">
        <v>8159</v>
      </c>
      <c r="D283" s="139"/>
      <c r="H283" s="139"/>
      <c r="I283" s="109" t="s">
        <v>5407</v>
      </c>
      <c r="J283" s="109" t="s">
        <v>3568</v>
      </c>
      <c r="AH283" s="123" t="s">
        <v>4947</v>
      </c>
      <c r="AI283" s="123">
        <v>8197</v>
      </c>
      <c r="AJ283" s="139"/>
    </row>
    <row r="284" spans="2:44" x14ac:dyDescent="0.25">
      <c r="B284" s="10" t="s">
        <v>4910</v>
      </c>
      <c r="C284" s="13">
        <v>8160</v>
      </c>
      <c r="D284" s="139"/>
      <c r="H284" s="139"/>
      <c r="I284" s="109" t="s">
        <v>5408</v>
      </c>
      <c r="J284" s="109" t="s">
        <v>3569</v>
      </c>
      <c r="AH284" s="123" t="s">
        <v>4948</v>
      </c>
      <c r="AI284" s="123">
        <v>8198</v>
      </c>
      <c r="AJ284" s="139"/>
    </row>
    <row r="285" spans="2:44" x14ac:dyDescent="0.25">
      <c r="B285" s="10" t="s">
        <v>4911</v>
      </c>
      <c r="C285" s="13">
        <v>8161</v>
      </c>
      <c r="D285" s="139"/>
      <c r="H285" s="139"/>
      <c r="I285" s="109" t="s">
        <v>5409</v>
      </c>
      <c r="J285" s="109" t="s">
        <v>3570</v>
      </c>
      <c r="AH285" s="123" t="s">
        <v>4949</v>
      </c>
      <c r="AI285" s="123">
        <v>8199</v>
      </c>
      <c r="AJ285" s="139"/>
    </row>
    <row r="286" spans="2:44" x14ac:dyDescent="0.25">
      <c r="B286" s="10" t="s">
        <v>4912</v>
      </c>
      <c r="C286" s="13">
        <v>8162</v>
      </c>
      <c r="D286" s="139"/>
      <c r="H286" s="139"/>
      <c r="I286" s="109" t="s">
        <v>5410</v>
      </c>
      <c r="J286" s="109" t="s">
        <v>3571</v>
      </c>
      <c r="AH286" s="123" t="s">
        <v>4950</v>
      </c>
      <c r="AI286" s="123">
        <v>8200</v>
      </c>
      <c r="AJ286" s="139"/>
    </row>
    <row r="287" spans="2:44" x14ac:dyDescent="0.25">
      <c r="B287" s="10" t="s">
        <v>4913</v>
      </c>
      <c r="C287" s="13">
        <v>8163</v>
      </c>
      <c r="D287" s="139"/>
      <c r="H287" s="139"/>
      <c r="I287" s="109" t="s">
        <v>5411</v>
      </c>
      <c r="J287" s="109" t="s">
        <v>3572</v>
      </c>
      <c r="AH287" s="123" t="s">
        <v>4951</v>
      </c>
      <c r="AI287" s="123">
        <v>8201</v>
      </c>
      <c r="AJ287" s="139"/>
    </row>
    <row r="288" spans="2:44" x14ac:dyDescent="0.25">
      <c r="B288" s="10" t="s">
        <v>4914</v>
      </c>
      <c r="C288" s="13">
        <v>8164</v>
      </c>
      <c r="D288" s="139"/>
      <c r="H288" s="139"/>
      <c r="I288" s="109" t="s">
        <v>5412</v>
      </c>
      <c r="J288" s="109" t="s">
        <v>3573</v>
      </c>
      <c r="AH288" s="123" t="s">
        <v>4952</v>
      </c>
      <c r="AI288" s="123">
        <v>8202</v>
      </c>
      <c r="AJ288" s="139"/>
    </row>
    <row r="289" spans="2:36" x14ac:dyDescent="0.25">
      <c r="B289" s="10" t="s">
        <v>4915</v>
      </c>
      <c r="C289" s="13">
        <v>8165</v>
      </c>
      <c r="D289" s="139"/>
      <c r="H289" s="139"/>
      <c r="I289" s="109" t="s">
        <v>5413</v>
      </c>
      <c r="J289" s="109" t="s">
        <v>3574</v>
      </c>
      <c r="AH289" s="123" t="s">
        <v>4953</v>
      </c>
      <c r="AI289" s="123">
        <v>8203</v>
      </c>
      <c r="AJ289" s="139"/>
    </row>
    <row r="290" spans="2:36" x14ac:dyDescent="0.25">
      <c r="B290" s="10" t="s">
        <v>4916</v>
      </c>
      <c r="C290" s="13">
        <v>8166</v>
      </c>
      <c r="D290" s="139"/>
      <c r="H290" s="139"/>
      <c r="I290" s="109" t="s">
        <v>5414</v>
      </c>
      <c r="J290" s="109" t="s">
        <v>3575</v>
      </c>
      <c r="AH290" s="123" t="s">
        <v>4954</v>
      </c>
      <c r="AI290" s="123">
        <v>8204</v>
      </c>
      <c r="AJ290" s="139"/>
    </row>
    <row r="291" spans="2:36" x14ac:dyDescent="0.25">
      <c r="B291" s="10" t="s">
        <v>4917</v>
      </c>
      <c r="C291" s="13">
        <v>8167</v>
      </c>
      <c r="D291" s="139"/>
      <c r="H291" s="139"/>
      <c r="I291" s="109" t="s">
        <v>5415</v>
      </c>
      <c r="J291" s="109" t="s">
        <v>3576</v>
      </c>
      <c r="AH291" s="123" t="s">
        <v>4955</v>
      </c>
      <c r="AI291" s="123">
        <v>8205</v>
      </c>
      <c r="AJ291" s="139"/>
    </row>
    <row r="292" spans="2:36" x14ac:dyDescent="0.25">
      <c r="B292" s="10" t="s">
        <v>4918</v>
      </c>
      <c r="C292" s="13">
        <v>8168</v>
      </c>
      <c r="D292" s="139"/>
      <c r="H292" s="139"/>
      <c r="I292" s="109" t="s">
        <v>5416</v>
      </c>
      <c r="J292" s="109" t="s">
        <v>3577</v>
      </c>
      <c r="AH292" s="123" t="s">
        <v>4956</v>
      </c>
      <c r="AI292" s="123">
        <v>8206</v>
      </c>
      <c r="AJ292" s="139"/>
    </row>
    <row r="293" spans="2:36" x14ac:dyDescent="0.25">
      <c r="B293" s="10" t="s">
        <v>4919</v>
      </c>
      <c r="C293" s="13">
        <v>8169</v>
      </c>
      <c r="D293" s="139"/>
      <c r="H293" s="139"/>
      <c r="I293" s="109" t="s">
        <v>5417</v>
      </c>
      <c r="J293" s="109" t="s">
        <v>3578</v>
      </c>
      <c r="AH293" s="123" t="s">
        <v>4957</v>
      </c>
      <c r="AI293" s="123">
        <v>8207</v>
      </c>
      <c r="AJ293" s="139"/>
    </row>
    <row r="294" spans="2:36" x14ac:dyDescent="0.25">
      <c r="B294" s="10" t="s">
        <v>4920</v>
      </c>
      <c r="C294" s="13">
        <v>8170</v>
      </c>
      <c r="D294" s="139"/>
      <c r="H294" s="139"/>
      <c r="I294" s="109" t="s">
        <v>5418</v>
      </c>
      <c r="J294" s="109" t="s">
        <v>3579</v>
      </c>
      <c r="AH294" s="123" t="s">
        <v>4958</v>
      </c>
      <c r="AI294" s="123">
        <v>8208</v>
      </c>
      <c r="AJ294" s="139"/>
    </row>
    <row r="295" spans="2:36" x14ac:dyDescent="0.25">
      <c r="B295" s="10" t="s">
        <v>4921</v>
      </c>
      <c r="C295" s="13">
        <v>8171</v>
      </c>
      <c r="D295" s="139"/>
      <c r="H295" s="139"/>
      <c r="I295" s="109" t="s">
        <v>5419</v>
      </c>
      <c r="J295" s="109" t="s">
        <v>3580</v>
      </c>
      <c r="AH295" s="123" t="s">
        <v>4959</v>
      </c>
      <c r="AI295" s="123">
        <v>8209</v>
      </c>
      <c r="AJ295" s="139"/>
    </row>
    <row r="296" spans="2:36" x14ac:dyDescent="0.25">
      <c r="B296" s="10" t="s">
        <v>4922</v>
      </c>
      <c r="C296" s="13">
        <v>8172</v>
      </c>
      <c r="D296" s="139"/>
      <c r="H296" s="139"/>
      <c r="I296" s="109" t="s">
        <v>5420</v>
      </c>
      <c r="J296" s="109" t="s">
        <v>3581</v>
      </c>
      <c r="AH296" s="123" t="s">
        <v>4960</v>
      </c>
      <c r="AI296" s="123">
        <v>8210</v>
      </c>
      <c r="AJ296" s="139"/>
    </row>
    <row r="297" spans="2:36" x14ac:dyDescent="0.25">
      <c r="B297" s="10" t="s">
        <v>4923</v>
      </c>
      <c r="C297" s="13">
        <v>8173</v>
      </c>
      <c r="D297" s="139"/>
      <c r="H297" s="139"/>
      <c r="I297" s="109" t="s">
        <v>5421</v>
      </c>
      <c r="J297" s="109" t="s">
        <v>3582</v>
      </c>
      <c r="AH297" s="123" t="s">
        <v>4961</v>
      </c>
      <c r="AI297" s="123">
        <v>8211</v>
      </c>
      <c r="AJ297" s="139"/>
    </row>
    <row r="298" spans="2:36" x14ac:dyDescent="0.25">
      <c r="B298" s="10" t="s">
        <v>4924</v>
      </c>
      <c r="C298" s="13">
        <v>8174</v>
      </c>
      <c r="D298" s="139"/>
      <c r="H298" s="139"/>
      <c r="I298" s="109" t="s">
        <v>5422</v>
      </c>
      <c r="J298" s="109" t="s">
        <v>3583</v>
      </c>
      <c r="AH298" s="123" t="s">
        <v>4962</v>
      </c>
      <c r="AI298" s="123">
        <v>8212</v>
      </c>
      <c r="AJ298" s="139"/>
    </row>
    <row r="299" spans="2:36" x14ac:dyDescent="0.25">
      <c r="B299" s="10" t="s">
        <v>4925</v>
      </c>
      <c r="C299" s="13">
        <v>8175</v>
      </c>
      <c r="D299" s="139"/>
      <c r="H299" s="139"/>
      <c r="I299" s="109" t="s">
        <v>5423</v>
      </c>
      <c r="J299" s="109" t="s">
        <v>3584</v>
      </c>
      <c r="AH299" s="123" t="s">
        <v>4963</v>
      </c>
      <c r="AI299" s="123">
        <v>8213</v>
      </c>
      <c r="AJ299" s="139"/>
    </row>
    <row r="300" spans="2:36" x14ac:dyDescent="0.25">
      <c r="B300" s="10" t="s">
        <v>4926</v>
      </c>
      <c r="C300" s="13">
        <v>8176</v>
      </c>
      <c r="D300" s="139"/>
      <c r="H300" s="139"/>
      <c r="I300" s="109" t="s">
        <v>5424</v>
      </c>
      <c r="J300" s="109" t="s">
        <v>3585</v>
      </c>
      <c r="AH300" s="123" t="s">
        <v>4964</v>
      </c>
      <c r="AI300" s="123">
        <v>8214</v>
      </c>
      <c r="AJ300" s="139"/>
    </row>
    <row r="301" spans="2:36" x14ac:dyDescent="0.25">
      <c r="B301" s="10" t="s">
        <v>4927</v>
      </c>
      <c r="C301" s="13">
        <v>8177</v>
      </c>
      <c r="D301" s="139"/>
      <c r="H301" s="139"/>
      <c r="I301" s="109" t="s">
        <v>5425</v>
      </c>
      <c r="J301" s="109" t="s">
        <v>3586</v>
      </c>
      <c r="AH301" s="123" t="s">
        <v>4965</v>
      </c>
      <c r="AI301" s="123">
        <v>8215</v>
      </c>
      <c r="AJ301" s="139"/>
    </row>
    <row r="302" spans="2:36" x14ac:dyDescent="0.25">
      <c r="B302" s="10" t="s">
        <v>4928</v>
      </c>
      <c r="C302" s="13">
        <v>8178</v>
      </c>
      <c r="D302" s="139"/>
      <c r="H302" s="139"/>
      <c r="I302" s="109" t="s">
        <v>5426</v>
      </c>
      <c r="J302" s="109" t="s">
        <v>3587</v>
      </c>
      <c r="AH302" s="123" t="s">
        <v>4966</v>
      </c>
      <c r="AI302" s="123">
        <v>8216</v>
      </c>
      <c r="AJ302" s="139"/>
    </row>
    <row r="303" spans="2:36" x14ac:dyDescent="0.25">
      <c r="B303" s="10" t="s">
        <v>4929</v>
      </c>
      <c r="C303" s="13">
        <v>8179</v>
      </c>
      <c r="D303" s="139"/>
      <c r="H303" s="139"/>
      <c r="I303" s="109" t="s">
        <v>5427</v>
      </c>
      <c r="J303" s="109" t="s">
        <v>3588</v>
      </c>
      <c r="AH303" s="123" t="s">
        <v>4967</v>
      </c>
      <c r="AI303" s="123">
        <v>8217</v>
      </c>
      <c r="AJ303" s="139"/>
    </row>
    <row r="304" spans="2:36" x14ac:dyDescent="0.25">
      <c r="B304" s="10" t="s">
        <v>4930</v>
      </c>
      <c r="C304" s="13">
        <v>8180</v>
      </c>
      <c r="D304" s="139"/>
      <c r="H304" s="139"/>
      <c r="I304" s="109" t="s">
        <v>5428</v>
      </c>
      <c r="J304" s="109" t="s">
        <v>3589</v>
      </c>
      <c r="AH304" s="123" t="s">
        <v>4968</v>
      </c>
      <c r="AI304" s="123">
        <v>8218</v>
      </c>
      <c r="AJ304" s="139"/>
    </row>
    <row r="305" spans="2:36" x14ac:dyDescent="0.25">
      <c r="B305" s="10" t="s">
        <v>4931</v>
      </c>
      <c r="C305" s="13">
        <v>8181</v>
      </c>
      <c r="D305" s="139"/>
      <c r="H305" s="139"/>
      <c r="I305" s="109" t="s">
        <v>5429</v>
      </c>
      <c r="J305" s="109" t="s">
        <v>3590</v>
      </c>
      <c r="AH305" s="123" t="s">
        <v>4969</v>
      </c>
      <c r="AI305" s="123">
        <v>8219</v>
      </c>
      <c r="AJ305" s="139"/>
    </row>
    <row r="306" spans="2:36" x14ac:dyDescent="0.25">
      <c r="B306" s="10" t="s">
        <v>4932</v>
      </c>
      <c r="C306" s="13">
        <v>8182</v>
      </c>
      <c r="D306" s="139"/>
      <c r="H306" s="139"/>
      <c r="I306" s="109" t="s">
        <v>5430</v>
      </c>
      <c r="J306" s="109" t="s">
        <v>3591</v>
      </c>
      <c r="AH306" s="123" t="s">
        <v>4970</v>
      </c>
      <c r="AI306" s="123">
        <v>8220</v>
      </c>
      <c r="AJ306" s="139"/>
    </row>
    <row r="307" spans="2:36" x14ac:dyDescent="0.25">
      <c r="B307" s="10" t="s">
        <v>4933</v>
      </c>
      <c r="C307" s="13">
        <v>8183</v>
      </c>
      <c r="D307" s="139"/>
      <c r="H307" s="139"/>
      <c r="I307" s="109" t="s">
        <v>5431</v>
      </c>
      <c r="J307" s="109" t="s">
        <v>3592</v>
      </c>
      <c r="AH307" s="123" t="s">
        <v>4971</v>
      </c>
      <c r="AI307" s="123">
        <v>8221</v>
      </c>
      <c r="AJ307" s="139"/>
    </row>
    <row r="308" spans="2:36" x14ac:dyDescent="0.25">
      <c r="B308" s="10" t="s">
        <v>4934</v>
      </c>
      <c r="C308" s="13">
        <v>8184</v>
      </c>
      <c r="D308" s="139"/>
      <c r="H308" s="139"/>
      <c r="I308" s="109" t="s">
        <v>5432</v>
      </c>
      <c r="J308" s="109" t="s">
        <v>3593</v>
      </c>
      <c r="AH308" s="123" t="s">
        <v>4972</v>
      </c>
      <c r="AI308" s="123">
        <v>8222</v>
      </c>
      <c r="AJ308" s="139"/>
    </row>
    <row r="309" spans="2:36" x14ac:dyDescent="0.25">
      <c r="B309" s="10" t="s">
        <v>4935</v>
      </c>
      <c r="C309" s="13">
        <v>8185</v>
      </c>
      <c r="D309" s="139"/>
      <c r="H309" s="139"/>
      <c r="I309" s="109" t="s">
        <v>5433</v>
      </c>
      <c r="J309" s="109" t="s">
        <v>3594</v>
      </c>
      <c r="AH309" s="123" t="s">
        <v>4973</v>
      </c>
      <c r="AI309" s="123">
        <v>200</v>
      </c>
      <c r="AJ309" s="139"/>
    </row>
    <row r="310" spans="2:36" x14ac:dyDescent="0.25">
      <c r="B310" s="10" t="s">
        <v>4936</v>
      </c>
      <c r="C310" s="13">
        <v>8186</v>
      </c>
      <c r="D310" s="139"/>
      <c r="H310" s="139"/>
      <c r="I310" s="109" t="s">
        <v>5434</v>
      </c>
      <c r="J310" s="109" t="s">
        <v>3595</v>
      </c>
      <c r="AH310" s="123" t="s">
        <v>4974</v>
      </c>
      <c r="AI310" s="123">
        <v>302</v>
      </c>
      <c r="AJ310" s="139"/>
    </row>
    <row r="311" spans="2:36" x14ac:dyDescent="0.25">
      <c r="B311" s="10" t="s">
        <v>4937</v>
      </c>
      <c r="C311" s="13">
        <v>8187</v>
      </c>
      <c r="D311" s="139"/>
      <c r="H311" s="139"/>
      <c r="I311" s="109" t="s">
        <v>5435</v>
      </c>
      <c r="J311" s="109" t="s">
        <v>3596</v>
      </c>
      <c r="AH311" s="123" t="s">
        <v>4975</v>
      </c>
      <c r="AI311" s="123">
        <v>8223</v>
      </c>
      <c r="AJ311" s="139"/>
    </row>
    <row r="312" spans="2:36" x14ac:dyDescent="0.25">
      <c r="B312" s="10" t="s">
        <v>4938</v>
      </c>
      <c r="C312" s="13">
        <v>8188</v>
      </c>
      <c r="D312" s="139"/>
      <c r="H312" s="139"/>
      <c r="I312" s="109" t="s">
        <v>5436</v>
      </c>
      <c r="J312" s="109" t="s">
        <v>3597</v>
      </c>
      <c r="AH312" s="123" t="s">
        <v>4976</v>
      </c>
      <c r="AI312" s="123">
        <v>8224</v>
      </c>
      <c r="AJ312" s="139"/>
    </row>
    <row r="313" spans="2:36" x14ac:dyDescent="0.25">
      <c r="B313" s="10" t="s">
        <v>4939</v>
      </c>
      <c r="C313" s="13">
        <v>8189</v>
      </c>
      <c r="D313" s="139"/>
      <c r="H313" s="139"/>
      <c r="I313" s="109" t="s">
        <v>5437</v>
      </c>
      <c r="J313" s="109" t="s">
        <v>3598</v>
      </c>
      <c r="AH313" s="123" t="s">
        <v>4977</v>
      </c>
      <c r="AI313" s="123">
        <v>8225</v>
      </c>
      <c r="AJ313" s="139"/>
    </row>
    <row r="314" spans="2:36" x14ac:dyDescent="0.25">
      <c r="B314" s="10" t="s">
        <v>4940</v>
      </c>
      <c r="C314" s="13">
        <v>8190</v>
      </c>
      <c r="D314" s="139"/>
      <c r="H314" s="139"/>
      <c r="I314" s="109" t="s">
        <v>5438</v>
      </c>
      <c r="J314" s="109" t="s">
        <v>3599</v>
      </c>
      <c r="AH314" s="123" t="s">
        <v>4978</v>
      </c>
      <c r="AI314" s="123">
        <v>8226</v>
      </c>
      <c r="AJ314" s="139"/>
    </row>
    <row r="315" spans="2:36" x14ac:dyDescent="0.25">
      <c r="B315" s="10" t="s">
        <v>4941</v>
      </c>
      <c r="C315" s="13">
        <v>8191</v>
      </c>
      <c r="D315" s="139"/>
      <c r="H315" s="139"/>
      <c r="I315" s="109" t="s">
        <v>5439</v>
      </c>
      <c r="J315" s="109" t="s">
        <v>3600</v>
      </c>
      <c r="AH315" s="123" t="s">
        <v>4979</v>
      </c>
      <c r="AI315" s="123">
        <v>8227</v>
      </c>
      <c r="AJ315" s="139"/>
    </row>
    <row r="316" spans="2:36" x14ac:dyDescent="0.25">
      <c r="B316" s="10" t="s">
        <v>4942</v>
      </c>
      <c r="C316" s="13">
        <v>8192</v>
      </c>
      <c r="D316" s="139"/>
      <c r="H316" s="139"/>
      <c r="I316" s="109" t="s">
        <v>5440</v>
      </c>
      <c r="J316" s="109" t="s">
        <v>3601</v>
      </c>
      <c r="AH316" s="123" t="s">
        <v>4980</v>
      </c>
      <c r="AI316" s="123">
        <v>8228</v>
      </c>
      <c r="AJ316" s="139"/>
    </row>
    <row r="317" spans="2:36" x14ac:dyDescent="0.25">
      <c r="B317" s="10" t="s">
        <v>4943</v>
      </c>
      <c r="C317" s="13">
        <v>8193</v>
      </c>
      <c r="D317" s="139"/>
      <c r="H317" s="139"/>
      <c r="I317" s="109" t="s">
        <v>5441</v>
      </c>
      <c r="J317" s="109" t="s">
        <v>3602</v>
      </c>
      <c r="AH317" s="123" t="s">
        <v>4981</v>
      </c>
      <c r="AI317" s="123">
        <v>8229</v>
      </c>
      <c r="AJ317" s="139"/>
    </row>
    <row r="318" spans="2:36" x14ac:dyDescent="0.25">
      <c r="B318" s="10" t="s">
        <v>4944</v>
      </c>
      <c r="C318" s="13">
        <v>8194</v>
      </c>
      <c r="D318" s="139"/>
      <c r="H318" s="139"/>
      <c r="I318" s="109" t="s">
        <v>5442</v>
      </c>
      <c r="J318" s="109" t="s">
        <v>3603</v>
      </c>
      <c r="AH318" s="123" t="s">
        <v>4982</v>
      </c>
      <c r="AI318" s="123">
        <v>8230</v>
      </c>
      <c r="AJ318" s="139"/>
    </row>
    <row r="319" spans="2:36" x14ac:dyDescent="0.25">
      <c r="B319" s="10" t="s">
        <v>4945</v>
      </c>
      <c r="C319" s="13">
        <v>8195</v>
      </c>
      <c r="D319" s="139"/>
      <c r="H319" s="139"/>
      <c r="I319" s="109" t="s">
        <v>5443</v>
      </c>
      <c r="J319" s="109" t="s">
        <v>3604</v>
      </c>
      <c r="AH319" s="123" t="s">
        <v>4983</v>
      </c>
      <c r="AI319" s="123">
        <v>8231</v>
      </c>
      <c r="AJ319" s="139"/>
    </row>
    <row r="320" spans="2:36" x14ac:dyDescent="0.25">
      <c r="B320" s="10" t="s">
        <v>4946</v>
      </c>
      <c r="C320" s="13">
        <v>8196</v>
      </c>
      <c r="D320" s="139"/>
      <c r="H320" s="139"/>
      <c r="I320" s="109" t="s">
        <v>5444</v>
      </c>
      <c r="J320" s="109" t="s">
        <v>3605</v>
      </c>
      <c r="AH320" s="123" t="s">
        <v>4984</v>
      </c>
      <c r="AI320" s="123">
        <v>8232</v>
      </c>
      <c r="AJ320" s="139"/>
    </row>
    <row r="321" spans="2:36" x14ac:dyDescent="0.25">
      <c r="B321" s="10" t="s">
        <v>4947</v>
      </c>
      <c r="C321" s="13">
        <v>8197</v>
      </c>
      <c r="D321" s="139"/>
      <c r="H321" s="139"/>
      <c r="I321" s="109" t="s">
        <v>5445</v>
      </c>
      <c r="J321" s="109" t="s">
        <v>3606</v>
      </c>
      <c r="AH321" s="123" t="s">
        <v>4985</v>
      </c>
      <c r="AI321" s="123">
        <v>8233</v>
      </c>
      <c r="AJ321" s="139"/>
    </row>
    <row r="322" spans="2:36" x14ac:dyDescent="0.25">
      <c r="B322" s="10" t="s">
        <v>4948</v>
      </c>
      <c r="C322" s="13">
        <v>8198</v>
      </c>
      <c r="D322" s="139"/>
      <c r="H322" s="139"/>
      <c r="I322" s="109" t="s">
        <v>5446</v>
      </c>
      <c r="J322" s="109" t="s">
        <v>3607</v>
      </c>
      <c r="AH322" s="123" t="s">
        <v>4986</v>
      </c>
      <c r="AI322" s="123">
        <v>8234</v>
      </c>
      <c r="AJ322" s="139"/>
    </row>
    <row r="323" spans="2:36" x14ac:dyDescent="0.25">
      <c r="B323" s="10" t="s">
        <v>4949</v>
      </c>
      <c r="C323" s="13">
        <v>8199</v>
      </c>
      <c r="D323" s="139"/>
      <c r="H323" s="139"/>
      <c r="I323" s="109" t="s">
        <v>5447</v>
      </c>
      <c r="J323" s="109" t="s">
        <v>3608</v>
      </c>
      <c r="AH323" s="123" t="s">
        <v>4987</v>
      </c>
      <c r="AI323" s="123">
        <v>8235</v>
      </c>
      <c r="AJ323" s="139"/>
    </row>
    <row r="324" spans="2:36" x14ac:dyDescent="0.25">
      <c r="B324" s="10" t="s">
        <v>4950</v>
      </c>
      <c r="C324" s="13">
        <v>8200</v>
      </c>
      <c r="D324" s="139"/>
      <c r="H324" s="139"/>
      <c r="I324" s="109" t="s">
        <v>5448</v>
      </c>
      <c r="J324" s="109" t="s">
        <v>3609</v>
      </c>
      <c r="AH324" s="123" t="s">
        <v>4988</v>
      </c>
      <c r="AI324" s="123">
        <v>8236</v>
      </c>
      <c r="AJ324" s="139"/>
    </row>
    <row r="325" spans="2:36" x14ac:dyDescent="0.25">
      <c r="B325" s="10" t="s">
        <v>4951</v>
      </c>
      <c r="C325" s="13">
        <v>8201</v>
      </c>
      <c r="D325" s="139"/>
      <c r="H325" s="139"/>
      <c r="I325" s="109" t="s">
        <v>5449</v>
      </c>
      <c r="J325" s="109" t="s">
        <v>3610</v>
      </c>
      <c r="AH325" s="123" t="s">
        <v>4989</v>
      </c>
      <c r="AI325" s="123">
        <v>8237</v>
      </c>
      <c r="AJ325" s="139"/>
    </row>
    <row r="326" spans="2:36" x14ac:dyDescent="0.25">
      <c r="B326" s="10" t="s">
        <v>4952</v>
      </c>
      <c r="C326" s="13">
        <v>8202</v>
      </c>
      <c r="D326" s="139"/>
      <c r="H326" s="139"/>
      <c r="I326" s="109" t="s">
        <v>5450</v>
      </c>
      <c r="J326" s="109" t="s">
        <v>3611</v>
      </c>
      <c r="AH326" s="123" t="s">
        <v>4990</v>
      </c>
      <c r="AI326" s="123">
        <v>8238</v>
      </c>
      <c r="AJ326" s="139"/>
    </row>
    <row r="327" spans="2:36" x14ac:dyDescent="0.25">
      <c r="B327" s="10" t="s">
        <v>4953</v>
      </c>
      <c r="C327" s="13">
        <v>8203</v>
      </c>
      <c r="D327" s="139"/>
      <c r="H327" s="139"/>
      <c r="I327" s="109" t="s">
        <v>5451</v>
      </c>
      <c r="J327" s="109" t="s">
        <v>3612</v>
      </c>
      <c r="AH327" s="123" t="s">
        <v>4991</v>
      </c>
      <c r="AI327" s="123">
        <v>8239</v>
      </c>
      <c r="AJ327" s="139"/>
    </row>
    <row r="328" spans="2:36" x14ac:dyDescent="0.25">
      <c r="B328" s="10" t="s">
        <v>4954</v>
      </c>
      <c r="C328" s="13">
        <v>8204</v>
      </c>
      <c r="D328" s="139"/>
      <c r="H328" s="139"/>
      <c r="I328" s="109" t="s">
        <v>5452</v>
      </c>
      <c r="J328" s="109" t="s">
        <v>3613</v>
      </c>
      <c r="AH328" s="123" t="s">
        <v>4992</v>
      </c>
      <c r="AI328" s="123">
        <v>8240</v>
      </c>
      <c r="AJ328" s="139"/>
    </row>
    <row r="329" spans="2:36" x14ac:dyDescent="0.25">
      <c r="B329" s="10" t="s">
        <v>4955</v>
      </c>
      <c r="C329" s="13">
        <v>8205</v>
      </c>
      <c r="D329" s="139"/>
      <c r="H329" s="139"/>
      <c r="I329" s="109" t="s">
        <v>5453</v>
      </c>
      <c r="J329" s="109" t="s">
        <v>3614</v>
      </c>
      <c r="AH329" s="123" t="s">
        <v>4993</v>
      </c>
      <c r="AI329" s="123">
        <v>8241</v>
      </c>
      <c r="AJ329" s="139"/>
    </row>
    <row r="330" spans="2:36" x14ac:dyDescent="0.25">
      <c r="B330" s="10" t="s">
        <v>4956</v>
      </c>
      <c r="C330" s="13">
        <v>8206</v>
      </c>
      <c r="D330" s="139"/>
      <c r="H330" s="139"/>
      <c r="I330" s="109" t="s">
        <v>5454</v>
      </c>
      <c r="J330" s="109" t="s">
        <v>3615</v>
      </c>
      <c r="AH330" s="123" t="s">
        <v>4994</v>
      </c>
      <c r="AI330" s="123">
        <v>8242</v>
      </c>
      <c r="AJ330" s="139"/>
    </row>
    <row r="331" spans="2:36" x14ac:dyDescent="0.25">
      <c r="B331" s="10" t="s">
        <v>4957</v>
      </c>
      <c r="C331" s="13">
        <v>8207</v>
      </c>
      <c r="D331" s="139"/>
      <c r="H331" s="139"/>
      <c r="I331" s="109" t="s">
        <v>5455</v>
      </c>
      <c r="J331" s="109" t="s">
        <v>3616</v>
      </c>
      <c r="AH331" s="123" t="s">
        <v>4995</v>
      </c>
      <c r="AI331" s="123">
        <v>8243</v>
      </c>
      <c r="AJ331" s="139"/>
    </row>
    <row r="332" spans="2:36" x14ac:dyDescent="0.25">
      <c r="B332" s="10" t="s">
        <v>4958</v>
      </c>
      <c r="C332" s="13">
        <v>8208</v>
      </c>
      <c r="D332" s="139"/>
      <c r="H332" s="139"/>
      <c r="I332" s="109" t="s">
        <v>5456</v>
      </c>
      <c r="J332" s="109" t="s">
        <v>3617</v>
      </c>
      <c r="AH332" s="123" t="s">
        <v>4996</v>
      </c>
      <c r="AI332" s="123">
        <v>8244</v>
      </c>
      <c r="AJ332" s="139"/>
    </row>
    <row r="333" spans="2:36" x14ac:dyDescent="0.25">
      <c r="B333" s="10" t="s">
        <v>4959</v>
      </c>
      <c r="C333" s="13">
        <v>8209</v>
      </c>
      <c r="D333" s="139"/>
      <c r="H333" s="139"/>
      <c r="I333" s="109" t="s">
        <v>5457</v>
      </c>
      <c r="J333" s="109" t="s">
        <v>3618</v>
      </c>
      <c r="AH333" s="123" t="s">
        <v>4997</v>
      </c>
      <c r="AI333" s="123">
        <v>8245</v>
      </c>
      <c r="AJ333" s="139"/>
    </row>
    <row r="334" spans="2:36" x14ac:dyDescent="0.25">
      <c r="B334" s="10" t="s">
        <v>4960</v>
      </c>
      <c r="C334" s="13">
        <v>8210</v>
      </c>
      <c r="D334" s="139"/>
      <c r="H334" s="139"/>
      <c r="I334" s="109" t="s">
        <v>5458</v>
      </c>
      <c r="J334" s="109" t="s">
        <v>3619</v>
      </c>
      <c r="AH334" s="123" t="s">
        <v>4998</v>
      </c>
      <c r="AI334" s="123">
        <v>8246</v>
      </c>
      <c r="AJ334" s="139"/>
    </row>
    <row r="335" spans="2:36" x14ac:dyDescent="0.25">
      <c r="B335" s="10" t="s">
        <v>4961</v>
      </c>
      <c r="C335" s="13">
        <v>8211</v>
      </c>
      <c r="D335" s="139"/>
      <c r="H335" s="139"/>
      <c r="I335" s="109" t="s">
        <v>5459</v>
      </c>
      <c r="J335" s="109" t="s">
        <v>3620</v>
      </c>
      <c r="AH335" s="123" t="s">
        <v>4999</v>
      </c>
      <c r="AI335" s="123">
        <v>8247</v>
      </c>
      <c r="AJ335" s="139"/>
    </row>
    <row r="336" spans="2:36" x14ac:dyDescent="0.25">
      <c r="B336" s="10" t="s">
        <v>4962</v>
      </c>
      <c r="C336" s="13">
        <v>8212</v>
      </c>
      <c r="D336" s="139"/>
      <c r="H336" s="139"/>
      <c r="I336" s="109" t="s">
        <v>5460</v>
      </c>
      <c r="J336" s="109" t="s">
        <v>3621</v>
      </c>
      <c r="AH336" s="123" t="s">
        <v>5000</v>
      </c>
      <c r="AI336" s="123">
        <v>8248</v>
      </c>
      <c r="AJ336" s="139"/>
    </row>
    <row r="337" spans="2:36" x14ac:dyDescent="0.25">
      <c r="B337" s="10" t="s">
        <v>4963</v>
      </c>
      <c r="C337" s="13">
        <v>8213</v>
      </c>
      <c r="D337" s="139"/>
      <c r="H337" s="139"/>
      <c r="I337" s="109" t="s">
        <v>5461</v>
      </c>
      <c r="J337" s="109" t="s">
        <v>3622</v>
      </c>
      <c r="AH337" s="123" t="s">
        <v>5001</v>
      </c>
      <c r="AI337" s="123">
        <v>8249</v>
      </c>
      <c r="AJ337" s="139"/>
    </row>
    <row r="338" spans="2:36" x14ac:dyDescent="0.25">
      <c r="B338" s="10" t="s">
        <v>4964</v>
      </c>
      <c r="C338" s="13">
        <v>8214</v>
      </c>
      <c r="D338" s="139"/>
      <c r="H338" s="139"/>
      <c r="I338" s="109" t="s">
        <v>5462</v>
      </c>
      <c r="J338" s="109" t="s">
        <v>3623</v>
      </c>
      <c r="AH338" s="123" t="s">
        <v>5002</v>
      </c>
      <c r="AI338" s="123">
        <v>8250</v>
      </c>
      <c r="AJ338" s="139"/>
    </row>
    <row r="339" spans="2:36" x14ac:dyDescent="0.25">
      <c r="B339" s="10" t="s">
        <v>4965</v>
      </c>
      <c r="C339" s="13">
        <v>8215</v>
      </c>
      <c r="D339" s="139"/>
      <c r="H339" s="139"/>
      <c r="I339" s="109" t="s">
        <v>5463</v>
      </c>
      <c r="J339" s="109" t="s">
        <v>3624</v>
      </c>
      <c r="AH339" s="123" t="s">
        <v>5003</v>
      </c>
      <c r="AI339" s="123">
        <v>8251</v>
      </c>
      <c r="AJ339" s="139"/>
    </row>
    <row r="340" spans="2:36" x14ac:dyDescent="0.25">
      <c r="B340" s="10" t="s">
        <v>4966</v>
      </c>
      <c r="C340" s="13">
        <v>8216</v>
      </c>
      <c r="D340" s="139"/>
      <c r="H340" s="139"/>
      <c r="I340" s="109" t="s">
        <v>5464</v>
      </c>
      <c r="J340" s="109" t="s">
        <v>3625</v>
      </c>
      <c r="AH340" s="123" t="s">
        <v>5004</v>
      </c>
      <c r="AI340" s="123">
        <v>8252</v>
      </c>
      <c r="AJ340" s="139"/>
    </row>
    <row r="341" spans="2:36" x14ac:dyDescent="0.25">
      <c r="B341" s="10" t="s">
        <v>4967</v>
      </c>
      <c r="C341" s="13">
        <v>8217</v>
      </c>
      <c r="D341" s="139"/>
      <c r="H341" s="139"/>
      <c r="I341" s="109" t="s">
        <v>5465</v>
      </c>
      <c r="J341" s="109" t="s">
        <v>3626</v>
      </c>
      <c r="AH341" s="123" t="s">
        <v>5005</v>
      </c>
      <c r="AI341" s="123">
        <v>8253</v>
      </c>
      <c r="AJ341" s="139"/>
    </row>
    <row r="342" spans="2:36" x14ac:dyDescent="0.25">
      <c r="B342" s="10" t="s">
        <v>4968</v>
      </c>
      <c r="C342" s="13">
        <v>8218</v>
      </c>
      <c r="D342" s="139"/>
      <c r="H342" s="139"/>
      <c r="I342" s="109" t="s">
        <v>5466</v>
      </c>
      <c r="J342" s="109" t="s">
        <v>3627</v>
      </c>
      <c r="AH342" s="123" t="s">
        <v>5006</v>
      </c>
      <c r="AI342" s="123">
        <v>8254</v>
      </c>
      <c r="AJ342" s="139"/>
    </row>
    <row r="343" spans="2:36" x14ac:dyDescent="0.25">
      <c r="B343" s="10" t="s">
        <v>4969</v>
      </c>
      <c r="C343" s="13">
        <v>8219</v>
      </c>
      <c r="D343" s="139"/>
      <c r="H343" s="139"/>
      <c r="I343" s="109" t="s">
        <v>5467</v>
      </c>
      <c r="J343" s="109" t="s">
        <v>3628</v>
      </c>
      <c r="AH343" s="123" t="s">
        <v>5007</v>
      </c>
      <c r="AI343" s="123">
        <v>8255</v>
      </c>
      <c r="AJ343" s="139"/>
    </row>
    <row r="344" spans="2:36" x14ac:dyDescent="0.25">
      <c r="B344" s="10" t="s">
        <v>4970</v>
      </c>
      <c r="C344" s="13">
        <v>8220</v>
      </c>
      <c r="D344" s="139"/>
      <c r="H344" s="139"/>
      <c r="I344" s="109" t="s">
        <v>5468</v>
      </c>
      <c r="J344" s="109" t="s">
        <v>3629</v>
      </c>
      <c r="AH344" s="123" t="s">
        <v>5008</v>
      </c>
      <c r="AI344" s="123">
        <v>8256</v>
      </c>
      <c r="AJ344" s="139"/>
    </row>
    <row r="345" spans="2:36" x14ac:dyDescent="0.25">
      <c r="B345" s="10" t="s">
        <v>4971</v>
      </c>
      <c r="C345" s="13">
        <v>8221</v>
      </c>
      <c r="D345" s="139"/>
      <c r="H345" s="139"/>
      <c r="I345" s="109" t="s">
        <v>5469</v>
      </c>
      <c r="J345" s="109" t="s">
        <v>3630</v>
      </c>
      <c r="AH345" s="123" t="s">
        <v>5009</v>
      </c>
      <c r="AI345" s="123">
        <v>8257</v>
      </c>
      <c r="AJ345" s="139"/>
    </row>
    <row r="346" spans="2:36" x14ac:dyDescent="0.25">
      <c r="B346" s="10" t="s">
        <v>4972</v>
      </c>
      <c r="C346" s="13">
        <v>8222</v>
      </c>
      <c r="D346" s="139"/>
      <c r="H346" s="139"/>
      <c r="I346" s="109" t="s">
        <v>5470</v>
      </c>
      <c r="J346" s="109" t="s">
        <v>3631</v>
      </c>
      <c r="AH346" s="123" t="s">
        <v>5010</v>
      </c>
      <c r="AI346" s="123">
        <v>8258</v>
      </c>
      <c r="AJ346" s="139"/>
    </row>
    <row r="347" spans="2:36" x14ac:dyDescent="0.25">
      <c r="B347" s="10" t="s">
        <v>4973</v>
      </c>
      <c r="C347" s="13">
        <v>200</v>
      </c>
      <c r="D347" s="139"/>
      <c r="H347" s="139"/>
      <c r="I347" s="109" t="s">
        <v>5471</v>
      </c>
      <c r="J347" s="109" t="s">
        <v>3632</v>
      </c>
      <c r="AH347" s="123" t="s">
        <v>5011</v>
      </c>
      <c r="AI347" s="123">
        <v>8259</v>
      </c>
      <c r="AJ347" s="139"/>
    </row>
    <row r="348" spans="2:36" x14ac:dyDescent="0.25">
      <c r="B348" s="10" t="s">
        <v>4974</v>
      </c>
      <c r="C348" s="13">
        <v>302</v>
      </c>
      <c r="D348" s="139"/>
      <c r="H348" s="139"/>
      <c r="I348" s="109" t="s">
        <v>5472</v>
      </c>
      <c r="J348" s="109" t="s">
        <v>3633</v>
      </c>
      <c r="AH348" s="123" t="s">
        <v>5012</v>
      </c>
      <c r="AI348" s="123">
        <v>8260</v>
      </c>
      <c r="AJ348" s="139"/>
    </row>
    <row r="349" spans="2:36" x14ac:dyDescent="0.25">
      <c r="B349" s="10" t="s">
        <v>4975</v>
      </c>
      <c r="C349" s="13">
        <v>8223</v>
      </c>
      <c r="D349" s="139"/>
      <c r="H349" s="139"/>
      <c r="I349" s="109" t="s">
        <v>5473</v>
      </c>
      <c r="J349" s="109" t="s">
        <v>3634</v>
      </c>
      <c r="AH349" s="123" t="s">
        <v>5013</v>
      </c>
      <c r="AI349" s="123">
        <v>8261</v>
      </c>
      <c r="AJ349" s="139"/>
    </row>
    <row r="350" spans="2:36" x14ac:dyDescent="0.25">
      <c r="B350" s="10" t="s">
        <v>4976</v>
      </c>
      <c r="C350" s="13">
        <v>8224</v>
      </c>
      <c r="D350" s="139"/>
      <c r="H350" s="139"/>
      <c r="I350" s="109" t="s">
        <v>5474</v>
      </c>
      <c r="J350" s="109" t="s">
        <v>3635</v>
      </c>
      <c r="AH350" s="123" t="s">
        <v>5014</v>
      </c>
      <c r="AI350" s="123">
        <v>8262</v>
      </c>
      <c r="AJ350" s="139"/>
    </row>
    <row r="351" spans="2:36" x14ac:dyDescent="0.25">
      <c r="B351" s="10" t="s">
        <v>4977</v>
      </c>
      <c r="C351" s="13">
        <v>8225</v>
      </c>
      <c r="D351" s="139"/>
      <c r="H351" s="139"/>
      <c r="I351" s="109" t="s">
        <v>5475</v>
      </c>
      <c r="J351" s="109" t="s">
        <v>3636</v>
      </c>
      <c r="AH351" s="123" t="s">
        <v>5015</v>
      </c>
      <c r="AI351" s="123">
        <v>8263</v>
      </c>
      <c r="AJ351" s="139"/>
    </row>
    <row r="352" spans="2:36" x14ac:dyDescent="0.25">
      <c r="B352" s="10" t="s">
        <v>4978</v>
      </c>
      <c r="C352" s="13">
        <v>8226</v>
      </c>
      <c r="D352" s="139"/>
      <c r="H352" s="139"/>
      <c r="I352" s="109" t="s">
        <v>5476</v>
      </c>
      <c r="J352" s="109" t="s">
        <v>3637</v>
      </c>
      <c r="AH352" s="123" t="s">
        <v>5016</v>
      </c>
      <c r="AI352" s="123">
        <v>8264</v>
      </c>
      <c r="AJ352" s="139"/>
    </row>
    <row r="353" spans="2:36" x14ac:dyDescent="0.25">
      <c r="B353" s="10" t="s">
        <v>4979</v>
      </c>
      <c r="C353" s="13">
        <v>8227</v>
      </c>
      <c r="D353" s="139"/>
      <c r="H353" s="139"/>
      <c r="I353" s="109" t="s">
        <v>5477</v>
      </c>
      <c r="J353" s="109" t="s">
        <v>3638</v>
      </c>
      <c r="AH353" s="123" t="s">
        <v>5017</v>
      </c>
      <c r="AI353" s="123">
        <v>8265</v>
      </c>
      <c r="AJ353" s="139"/>
    </row>
    <row r="354" spans="2:36" x14ac:dyDescent="0.25">
      <c r="B354" s="10" t="s">
        <v>4980</v>
      </c>
      <c r="C354" s="13">
        <v>8228</v>
      </c>
      <c r="D354" s="139"/>
      <c r="H354" s="139"/>
      <c r="I354" s="109" t="s">
        <v>5478</v>
      </c>
      <c r="J354" s="109" t="s">
        <v>3639</v>
      </c>
      <c r="AH354" s="123" t="s">
        <v>5018</v>
      </c>
      <c r="AI354" s="123">
        <v>8266</v>
      </c>
      <c r="AJ354" s="139"/>
    </row>
    <row r="355" spans="2:36" x14ac:dyDescent="0.25">
      <c r="B355" s="10" t="s">
        <v>4981</v>
      </c>
      <c r="C355" s="13">
        <v>8229</v>
      </c>
      <c r="D355" s="139"/>
      <c r="H355" s="139"/>
      <c r="I355" s="109" t="s">
        <v>5479</v>
      </c>
      <c r="J355" s="109" t="s">
        <v>162</v>
      </c>
      <c r="AH355" s="123" t="s">
        <v>5019</v>
      </c>
      <c r="AI355" s="123">
        <v>8267</v>
      </c>
      <c r="AJ355" s="139"/>
    </row>
    <row r="356" spans="2:36" x14ac:dyDescent="0.25">
      <c r="B356" s="10" t="s">
        <v>4982</v>
      </c>
      <c r="C356" s="13">
        <v>8230</v>
      </c>
      <c r="D356" s="139"/>
      <c r="H356" s="139"/>
      <c r="I356" s="109" t="s">
        <v>5480</v>
      </c>
      <c r="J356" s="109" t="s">
        <v>3640</v>
      </c>
      <c r="AH356" s="123" t="s">
        <v>5020</v>
      </c>
      <c r="AI356" s="123">
        <v>8268</v>
      </c>
      <c r="AJ356" s="139"/>
    </row>
    <row r="357" spans="2:36" x14ac:dyDescent="0.25">
      <c r="B357" s="10" t="s">
        <v>4983</v>
      </c>
      <c r="C357" s="13">
        <v>8231</v>
      </c>
      <c r="D357" s="139"/>
      <c r="H357" s="139"/>
      <c r="I357" s="109" t="s">
        <v>5481</v>
      </c>
      <c r="J357" s="109" t="s">
        <v>3641</v>
      </c>
      <c r="AH357" s="123" t="s">
        <v>5021</v>
      </c>
      <c r="AI357" s="123">
        <v>8269</v>
      </c>
      <c r="AJ357" s="139"/>
    </row>
    <row r="358" spans="2:36" x14ac:dyDescent="0.25">
      <c r="B358" s="10" t="s">
        <v>4984</v>
      </c>
      <c r="C358" s="13">
        <v>8232</v>
      </c>
      <c r="D358" s="139"/>
      <c r="H358" s="139"/>
      <c r="I358" s="109" t="s">
        <v>5482</v>
      </c>
      <c r="J358" s="109" t="s">
        <v>3642</v>
      </c>
      <c r="AH358" s="123" t="s">
        <v>5022</v>
      </c>
      <c r="AI358" s="123">
        <v>8270</v>
      </c>
      <c r="AJ358" s="139"/>
    </row>
    <row r="359" spans="2:36" x14ac:dyDescent="0.25">
      <c r="B359" s="10" t="s">
        <v>4985</v>
      </c>
      <c r="C359" s="13">
        <v>8233</v>
      </c>
      <c r="D359" s="139"/>
      <c r="H359" s="139"/>
      <c r="I359" s="109" t="s">
        <v>5483</v>
      </c>
      <c r="J359" s="109" t="s">
        <v>3643</v>
      </c>
      <c r="AH359" s="123" t="s">
        <v>5023</v>
      </c>
      <c r="AI359" s="123">
        <v>8271</v>
      </c>
      <c r="AJ359" s="139"/>
    </row>
    <row r="360" spans="2:36" x14ac:dyDescent="0.25">
      <c r="B360" s="10" t="s">
        <v>4986</v>
      </c>
      <c r="C360" s="13">
        <v>8234</v>
      </c>
      <c r="D360" s="139"/>
      <c r="H360" s="139"/>
      <c r="I360" s="109" t="s">
        <v>5484</v>
      </c>
      <c r="J360" s="109" t="s">
        <v>3644</v>
      </c>
      <c r="AH360" s="123" t="s">
        <v>5024</v>
      </c>
      <c r="AI360" s="123">
        <v>8272</v>
      </c>
      <c r="AJ360" s="139"/>
    </row>
    <row r="361" spans="2:36" x14ac:dyDescent="0.25">
      <c r="B361" s="10" t="s">
        <v>4987</v>
      </c>
      <c r="C361" s="13">
        <v>8235</v>
      </c>
      <c r="D361" s="139"/>
      <c r="H361" s="139"/>
      <c r="I361" s="109" t="s">
        <v>5485</v>
      </c>
      <c r="J361" s="109" t="s">
        <v>3645</v>
      </c>
      <c r="AH361" s="123" t="s">
        <v>5025</v>
      </c>
      <c r="AI361" s="123">
        <v>8273</v>
      </c>
      <c r="AJ361" s="139"/>
    </row>
    <row r="362" spans="2:36" x14ac:dyDescent="0.25">
      <c r="B362" s="10" t="s">
        <v>4988</v>
      </c>
      <c r="C362" s="13">
        <v>8236</v>
      </c>
      <c r="D362" s="139"/>
      <c r="H362" s="139"/>
      <c r="I362" s="109" t="s">
        <v>5486</v>
      </c>
      <c r="J362" s="109" t="s">
        <v>3646</v>
      </c>
      <c r="AH362" s="123" t="s">
        <v>5026</v>
      </c>
      <c r="AI362" s="123">
        <v>8274</v>
      </c>
      <c r="AJ362" s="139"/>
    </row>
    <row r="363" spans="2:36" x14ac:dyDescent="0.25">
      <c r="B363" s="10" t="s">
        <v>4989</v>
      </c>
      <c r="C363" s="13">
        <v>8237</v>
      </c>
      <c r="D363" s="139"/>
      <c r="H363" s="139"/>
      <c r="I363" s="109" t="s">
        <v>5487</v>
      </c>
      <c r="J363" s="109" t="s">
        <v>3647</v>
      </c>
      <c r="AH363" s="123" t="s">
        <v>5027</v>
      </c>
      <c r="AI363" s="123">
        <v>8275</v>
      </c>
      <c r="AJ363" s="139"/>
    </row>
    <row r="364" spans="2:36" x14ac:dyDescent="0.25">
      <c r="B364" s="10" t="s">
        <v>4990</v>
      </c>
      <c r="C364" s="13">
        <v>8238</v>
      </c>
      <c r="D364" s="139"/>
      <c r="H364" s="139"/>
      <c r="I364" s="109" t="s">
        <v>5488</v>
      </c>
      <c r="J364" s="109" t="s">
        <v>3648</v>
      </c>
      <c r="AH364" s="123" t="s">
        <v>5028</v>
      </c>
      <c r="AI364" s="123">
        <v>8276</v>
      </c>
      <c r="AJ364" s="139"/>
    </row>
    <row r="365" spans="2:36" x14ac:dyDescent="0.25">
      <c r="B365" s="10" t="s">
        <v>4991</v>
      </c>
      <c r="C365" s="13">
        <v>8239</v>
      </c>
      <c r="D365" s="139"/>
      <c r="H365" s="139"/>
      <c r="I365" s="109" t="s">
        <v>5489</v>
      </c>
      <c r="J365" s="109" t="s">
        <v>3649</v>
      </c>
      <c r="AH365" s="123" t="s">
        <v>5029</v>
      </c>
      <c r="AI365" s="123">
        <v>8277</v>
      </c>
      <c r="AJ365" s="139"/>
    </row>
    <row r="366" spans="2:36" x14ac:dyDescent="0.25">
      <c r="B366" s="10" t="s">
        <v>4992</v>
      </c>
      <c r="C366" s="13">
        <v>8240</v>
      </c>
      <c r="D366" s="139"/>
      <c r="H366" s="139"/>
      <c r="I366" s="109" t="s">
        <v>5490</v>
      </c>
      <c r="J366" s="109" t="s">
        <v>3650</v>
      </c>
      <c r="AH366" s="123" t="s">
        <v>5030</v>
      </c>
      <c r="AI366" s="123">
        <v>8278</v>
      </c>
      <c r="AJ366" s="139"/>
    </row>
    <row r="367" spans="2:36" x14ac:dyDescent="0.25">
      <c r="B367" s="10" t="s">
        <v>4993</v>
      </c>
      <c r="C367" s="13">
        <v>8241</v>
      </c>
      <c r="D367" s="139"/>
      <c r="H367" s="139"/>
      <c r="I367" s="109" t="s">
        <v>5491</v>
      </c>
      <c r="J367" s="109" t="s">
        <v>3651</v>
      </c>
      <c r="AH367" s="123" t="s">
        <v>5031</v>
      </c>
      <c r="AI367" s="123">
        <v>8279</v>
      </c>
      <c r="AJ367" s="139"/>
    </row>
    <row r="368" spans="2:36" x14ac:dyDescent="0.25">
      <c r="B368" s="10" t="s">
        <v>4994</v>
      </c>
      <c r="C368" s="13">
        <v>8242</v>
      </c>
      <c r="D368" s="139"/>
      <c r="H368" s="139"/>
      <c r="I368" s="109" t="s">
        <v>5492</v>
      </c>
      <c r="J368" s="109" t="s">
        <v>3652</v>
      </c>
      <c r="AH368" s="123" t="s">
        <v>5032</v>
      </c>
      <c r="AI368" s="123">
        <v>8280</v>
      </c>
      <c r="AJ368" s="139"/>
    </row>
    <row r="369" spans="2:36" x14ac:dyDescent="0.25">
      <c r="B369" s="10" t="s">
        <v>4995</v>
      </c>
      <c r="C369" s="13">
        <v>8243</v>
      </c>
      <c r="D369" s="139"/>
      <c r="H369" s="139"/>
      <c r="I369" s="109" t="s">
        <v>5493</v>
      </c>
      <c r="J369" s="109" t="s">
        <v>3653</v>
      </c>
      <c r="AH369" s="123" t="s">
        <v>5033</v>
      </c>
      <c r="AI369" s="123">
        <v>8281</v>
      </c>
      <c r="AJ369" s="139"/>
    </row>
    <row r="370" spans="2:36" x14ac:dyDescent="0.25">
      <c r="B370" s="10" t="s">
        <v>4996</v>
      </c>
      <c r="C370" s="13">
        <v>8244</v>
      </c>
      <c r="D370" s="139"/>
      <c r="H370" s="139"/>
      <c r="I370" s="109" t="s">
        <v>5494</v>
      </c>
      <c r="J370" s="109" t="s">
        <v>3654</v>
      </c>
      <c r="AH370" s="123" t="s">
        <v>5034</v>
      </c>
      <c r="AI370" s="123">
        <v>8282</v>
      </c>
      <c r="AJ370" s="139"/>
    </row>
    <row r="371" spans="2:36" x14ac:dyDescent="0.25">
      <c r="B371" s="10" t="s">
        <v>4997</v>
      </c>
      <c r="C371" s="13">
        <v>8245</v>
      </c>
      <c r="D371" s="139"/>
      <c r="H371" s="139"/>
      <c r="I371" s="109" t="s">
        <v>5495</v>
      </c>
      <c r="J371" s="109" t="s">
        <v>3655</v>
      </c>
      <c r="AH371" s="123" t="s">
        <v>5035</v>
      </c>
      <c r="AI371" s="123">
        <v>8283</v>
      </c>
      <c r="AJ371" s="139"/>
    </row>
    <row r="372" spans="2:36" x14ac:dyDescent="0.25">
      <c r="B372" s="10" t="s">
        <v>4998</v>
      </c>
      <c r="C372" s="13">
        <v>8246</v>
      </c>
      <c r="D372" s="139"/>
      <c r="H372" s="139"/>
      <c r="I372" s="109" t="s">
        <v>5496</v>
      </c>
      <c r="J372" s="109" t="s">
        <v>3656</v>
      </c>
      <c r="AH372" s="123" t="s">
        <v>5036</v>
      </c>
      <c r="AI372" s="123">
        <v>8284</v>
      </c>
      <c r="AJ372" s="139"/>
    </row>
    <row r="373" spans="2:36" x14ac:dyDescent="0.25">
      <c r="B373" s="10" t="s">
        <v>4999</v>
      </c>
      <c r="C373" s="13">
        <v>8247</v>
      </c>
      <c r="D373" s="139"/>
      <c r="H373" s="139"/>
      <c r="I373" s="109" t="s">
        <v>5497</v>
      </c>
      <c r="J373" s="109" t="s">
        <v>3657</v>
      </c>
      <c r="AH373" s="123" t="s">
        <v>5037</v>
      </c>
      <c r="AI373" s="123">
        <v>8285</v>
      </c>
      <c r="AJ373" s="139"/>
    </row>
    <row r="374" spans="2:36" x14ac:dyDescent="0.25">
      <c r="B374" s="10" t="s">
        <v>5000</v>
      </c>
      <c r="C374" s="13">
        <v>8248</v>
      </c>
      <c r="D374" s="139"/>
      <c r="H374" s="139"/>
      <c r="I374" s="109" t="s">
        <v>5498</v>
      </c>
      <c r="J374" s="109" t="s">
        <v>3658</v>
      </c>
      <c r="AH374" s="123" t="s">
        <v>5038</v>
      </c>
      <c r="AI374" s="123">
        <v>8286</v>
      </c>
      <c r="AJ374" s="139"/>
    </row>
    <row r="375" spans="2:36" x14ac:dyDescent="0.25">
      <c r="B375" s="10" t="s">
        <v>5001</v>
      </c>
      <c r="C375" s="13">
        <v>8249</v>
      </c>
      <c r="D375" s="139"/>
      <c r="H375" s="139"/>
      <c r="I375" s="109" t="s">
        <v>5499</v>
      </c>
      <c r="J375" s="109" t="s">
        <v>3659</v>
      </c>
      <c r="AH375" s="123" t="s">
        <v>5039</v>
      </c>
      <c r="AI375" s="123">
        <v>8287</v>
      </c>
      <c r="AJ375" s="139"/>
    </row>
    <row r="376" spans="2:36" x14ac:dyDescent="0.25">
      <c r="B376" s="10" t="s">
        <v>5002</v>
      </c>
      <c r="C376" s="13">
        <v>8250</v>
      </c>
      <c r="D376" s="139"/>
      <c r="H376" s="139"/>
      <c r="I376" s="109" t="s">
        <v>5500</v>
      </c>
      <c r="J376" s="109" t="s">
        <v>3660</v>
      </c>
      <c r="AH376" s="123" t="s">
        <v>5040</v>
      </c>
      <c r="AI376" s="123">
        <v>8288</v>
      </c>
      <c r="AJ376" s="139"/>
    </row>
    <row r="377" spans="2:36" x14ac:dyDescent="0.25">
      <c r="B377" s="10" t="s">
        <v>5003</v>
      </c>
      <c r="C377" s="13">
        <v>8251</v>
      </c>
      <c r="D377" s="139"/>
      <c r="H377" s="139"/>
      <c r="I377" s="109" t="s">
        <v>5501</v>
      </c>
      <c r="J377" s="109" t="s">
        <v>3661</v>
      </c>
      <c r="AH377" s="123" t="s">
        <v>5041</v>
      </c>
      <c r="AI377" s="123">
        <v>8289</v>
      </c>
      <c r="AJ377" s="139"/>
    </row>
    <row r="378" spans="2:36" x14ac:dyDescent="0.25">
      <c r="B378" s="10" t="s">
        <v>5004</v>
      </c>
      <c r="C378" s="13">
        <v>8252</v>
      </c>
      <c r="D378" s="139"/>
      <c r="H378" s="139"/>
      <c r="I378" s="109" t="s">
        <v>5502</v>
      </c>
      <c r="J378" s="109" t="s">
        <v>3662</v>
      </c>
      <c r="AH378" s="123" t="s">
        <v>5042</v>
      </c>
      <c r="AI378" s="123">
        <v>8290</v>
      </c>
      <c r="AJ378" s="139"/>
    </row>
    <row r="379" spans="2:36" x14ac:dyDescent="0.25">
      <c r="B379" s="10" t="s">
        <v>5005</v>
      </c>
      <c r="C379" s="13">
        <v>8253</v>
      </c>
      <c r="D379" s="139"/>
      <c r="H379" s="139"/>
      <c r="I379" s="109" t="s">
        <v>5503</v>
      </c>
      <c r="J379" s="109" t="s">
        <v>3663</v>
      </c>
      <c r="AH379" s="123" t="s">
        <v>5043</v>
      </c>
      <c r="AI379" s="123">
        <v>8291</v>
      </c>
      <c r="AJ379" s="139"/>
    </row>
    <row r="380" spans="2:36" x14ac:dyDescent="0.25">
      <c r="B380" s="10" t="s">
        <v>5006</v>
      </c>
      <c r="C380" s="13">
        <v>8254</v>
      </c>
      <c r="D380" s="139"/>
      <c r="H380" s="139"/>
      <c r="I380" s="109" t="s">
        <v>5504</v>
      </c>
      <c r="J380" s="109" t="s">
        <v>3664</v>
      </c>
      <c r="AH380" s="123" t="s">
        <v>5044</v>
      </c>
      <c r="AI380" s="123">
        <v>8292</v>
      </c>
      <c r="AJ380" s="139"/>
    </row>
    <row r="381" spans="2:36" x14ac:dyDescent="0.25">
      <c r="B381" s="10" t="s">
        <v>5007</v>
      </c>
      <c r="C381" s="13">
        <v>8255</v>
      </c>
      <c r="D381" s="139"/>
      <c r="H381" s="139"/>
      <c r="I381" s="109" t="s">
        <v>5505</v>
      </c>
      <c r="J381" s="109" t="s">
        <v>3665</v>
      </c>
      <c r="AH381" s="123" t="s">
        <v>5045</v>
      </c>
      <c r="AI381" s="123">
        <v>8293</v>
      </c>
      <c r="AJ381" s="139"/>
    </row>
    <row r="382" spans="2:36" x14ac:dyDescent="0.25">
      <c r="B382" s="10" t="s">
        <v>5008</v>
      </c>
      <c r="C382" s="13">
        <v>8256</v>
      </c>
      <c r="D382" s="139"/>
      <c r="H382" s="139"/>
      <c r="I382" s="109" t="s">
        <v>5506</v>
      </c>
      <c r="J382" s="109" t="s">
        <v>3666</v>
      </c>
      <c r="AH382" s="123" t="s">
        <v>5046</v>
      </c>
      <c r="AI382" s="123">
        <v>8294</v>
      </c>
      <c r="AJ382" s="139"/>
    </row>
    <row r="383" spans="2:36" x14ac:dyDescent="0.25">
      <c r="B383" s="10" t="s">
        <v>5009</v>
      </c>
      <c r="C383" s="13">
        <v>8257</v>
      </c>
      <c r="D383" s="139"/>
      <c r="H383" s="139"/>
      <c r="I383" s="109" t="s">
        <v>5507</v>
      </c>
      <c r="J383" s="109" t="s">
        <v>3667</v>
      </c>
      <c r="AH383" s="123" t="s">
        <v>5047</v>
      </c>
      <c r="AI383" s="123">
        <v>8295</v>
      </c>
      <c r="AJ383" s="139"/>
    </row>
    <row r="384" spans="2:36" x14ac:dyDescent="0.25">
      <c r="B384" s="10" t="s">
        <v>5010</v>
      </c>
      <c r="C384" s="13">
        <v>8258</v>
      </c>
      <c r="D384" s="139"/>
      <c r="H384" s="139"/>
      <c r="I384" s="109" t="s">
        <v>5508</v>
      </c>
      <c r="J384" s="109" t="s">
        <v>3668</v>
      </c>
      <c r="AH384" s="123" t="s">
        <v>5048</v>
      </c>
      <c r="AI384" s="123">
        <v>8296</v>
      </c>
      <c r="AJ384" s="139"/>
    </row>
    <row r="385" spans="2:36" x14ac:dyDescent="0.25">
      <c r="B385" s="10" t="s">
        <v>5011</v>
      </c>
      <c r="C385" s="13">
        <v>8259</v>
      </c>
      <c r="D385" s="139"/>
      <c r="H385" s="139"/>
      <c r="I385" s="109" t="s">
        <v>5509</v>
      </c>
      <c r="J385" s="109" t="s">
        <v>3669</v>
      </c>
      <c r="AH385" s="123" t="s">
        <v>5049</v>
      </c>
      <c r="AI385" s="123">
        <v>8297</v>
      </c>
      <c r="AJ385" s="139"/>
    </row>
    <row r="386" spans="2:36" x14ac:dyDescent="0.25">
      <c r="B386" s="10" t="s">
        <v>5012</v>
      </c>
      <c r="C386" s="13">
        <v>8260</v>
      </c>
      <c r="D386" s="139"/>
      <c r="H386" s="139"/>
      <c r="I386" s="109" t="s">
        <v>5510</v>
      </c>
      <c r="J386" s="109" t="s">
        <v>3670</v>
      </c>
      <c r="AH386" s="123" t="s">
        <v>5050</v>
      </c>
      <c r="AI386" s="123">
        <v>8298</v>
      </c>
      <c r="AJ386" s="139"/>
    </row>
    <row r="387" spans="2:36" x14ac:dyDescent="0.25">
      <c r="B387" s="10" t="s">
        <v>5013</v>
      </c>
      <c r="C387" s="13">
        <v>8261</v>
      </c>
      <c r="D387" s="139"/>
      <c r="H387" s="139"/>
      <c r="I387" s="109" t="s">
        <v>5511</v>
      </c>
      <c r="J387" s="109" t="s">
        <v>3671</v>
      </c>
      <c r="AH387" s="123" t="s">
        <v>5051</v>
      </c>
      <c r="AI387" s="123">
        <v>8299</v>
      </c>
      <c r="AJ387" s="139"/>
    </row>
    <row r="388" spans="2:36" x14ac:dyDescent="0.25">
      <c r="B388" s="10" t="s">
        <v>5014</v>
      </c>
      <c r="C388" s="13">
        <v>8262</v>
      </c>
      <c r="D388" s="139"/>
      <c r="H388" s="139"/>
      <c r="I388" s="109" t="s">
        <v>5512</v>
      </c>
      <c r="J388" s="109" t="s">
        <v>3672</v>
      </c>
      <c r="AH388" s="123" t="s">
        <v>5052</v>
      </c>
      <c r="AI388" s="123">
        <v>8300</v>
      </c>
      <c r="AJ388" s="139"/>
    </row>
    <row r="389" spans="2:36" x14ac:dyDescent="0.25">
      <c r="B389" s="10" t="s">
        <v>5015</v>
      </c>
      <c r="C389" s="13">
        <v>8263</v>
      </c>
      <c r="D389" s="139"/>
      <c r="H389" s="139"/>
      <c r="I389" s="109" t="s">
        <v>5513</v>
      </c>
      <c r="J389" s="109" t="s">
        <v>3673</v>
      </c>
      <c r="AH389" s="123" t="s">
        <v>5053</v>
      </c>
      <c r="AI389" s="123">
        <v>8301</v>
      </c>
      <c r="AJ389" s="139"/>
    </row>
    <row r="390" spans="2:36" x14ac:dyDescent="0.25">
      <c r="B390" s="10" t="s">
        <v>5016</v>
      </c>
      <c r="C390" s="13">
        <v>8264</v>
      </c>
      <c r="D390" s="139"/>
      <c r="H390" s="139"/>
      <c r="I390" s="109" t="s">
        <v>5514</v>
      </c>
      <c r="J390" s="109" t="s">
        <v>3674</v>
      </c>
      <c r="AH390" s="123" t="s">
        <v>5054</v>
      </c>
      <c r="AI390" s="123">
        <v>8302</v>
      </c>
      <c r="AJ390" s="139"/>
    </row>
    <row r="391" spans="2:36" x14ac:dyDescent="0.25">
      <c r="B391" s="10" t="s">
        <v>5017</v>
      </c>
      <c r="C391" s="13">
        <v>8265</v>
      </c>
      <c r="D391" s="139"/>
      <c r="H391" s="139"/>
      <c r="I391" s="109" t="s">
        <v>5515</v>
      </c>
      <c r="J391" s="109" t="s">
        <v>3675</v>
      </c>
      <c r="AH391" s="123" t="s">
        <v>5055</v>
      </c>
      <c r="AI391" s="123">
        <v>8303</v>
      </c>
      <c r="AJ391" s="139"/>
    </row>
    <row r="392" spans="2:36" x14ac:dyDescent="0.25">
      <c r="B392" s="10" t="s">
        <v>5018</v>
      </c>
      <c r="C392" s="13">
        <v>8266</v>
      </c>
      <c r="D392" s="139"/>
      <c r="H392" s="139"/>
      <c r="I392" s="109" t="s">
        <v>5516</v>
      </c>
      <c r="J392" s="109" t="s">
        <v>3676</v>
      </c>
      <c r="AH392" s="123" t="s">
        <v>5056</v>
      </c>
      <c r="AI392" s="123">
        <v>8304</v>
      </c>
      <c r="AJ392" s="139"/>
    </row>
    <row r="393" spans="2:36" x14ac:dyDescent="0.25">
      <c r="B393" s="10" t="s">
        <v>5019</v>
      </c>
      <c r="C393" s="13">
        <v>8267</v>
      </c>
      <c r="D393" s="139"/>
      <c r="H393" s="139"/>
      <c r="I393" s="109" t="s">
        <v>5517</v>
      </c>
      <c r="J393" s="109" t="s">
        <v>3677</v>
      </c>
      <c r="AH393" s="123" t="s">
        <v>5057</v>
      </c>
      <c r="AI393" s="123">
        <v>8305</v>
      </c>
      <c r="AJ393" s="139"/>
    </row>
    <row r="394" spans="2:36" x14ac:dyDescent="0.25">
      <c r="B394" s="10" t="s">
        <v>5020</v>
      </c>
      <c r="C394" s="13">
        <v>8268</v>
      </c>
      <c r="D394" s="139"/>
      <c r="H394" s="139"/>
      <c r="I394" s="109" t="s">
        <v>5518</v>
      </c>
      <c r="J394" s="109" t="s">
        <v>3678</v>
      </c>
      <c r="AH394" s="123" t="s">
        <v>5058</v>
      </c>
      <c r="AI394" s="123">
        <v>8306</v>
      </c>
      <c r="AJ394" s="139"/>
    </row>
    <row r="395" spans="2:36" x14ac:dyDescent="0.25">
      <c r="B395" s="10" t="s">
        <v>5021</v>
      </c>
      <c r="C395" s="13">
        <v>8269</v>
      </c>
      <c r="D395" s="139"/>
      <c r="H395" s="139"/>
      <c r="I395" s="109" t="s">
        <v>5519</v>
      </c>
      <c r="J395" s="109" t="s">
        <v>3679</v>
      </c>
      <c r="AH395" s="123" t="s">
        <v>5059</v>
      </c>
      <c r="AI395" s="123">
        <v>8307</v>
      </c>
      <c r="AJ395" s="139"/>
    </row>
    <row r="396" spans="2:36" x14ac:dyDescent="0.25">
      <c r="B396" s="10" t="s">
        <v>5022</v>
      </c>
      <c r="C396" s="13">
        <v>8270</v>
      </c>
      <c r="D396" s="139"/>
      <c r="H396" s="139"/>
      <c r="I396" s="109" t="s">
        <v>5520</v>
      </c>
      <c r="J396" s="109" t="s">
        <v>3680</v>
      </c>
      <c r="AH396" s="123" t="s">
        <v>5060</v>
      </c>
      <c r="AI396" s="123">
        <v>8308</v>
      </c>
      <c r="AJ396" s="139"/>
    </row>
    <row r="397" spans="2:36" x14ac:dyDescent="0.25">
      <c r="B397" s="10" t="s">
        <v>5023</v>
      </c>
      <c r="C397" s="13">
        <v>8271</v>
      </c>
      <c r="D397" s="139"/>
      <c r="H397" s="139"/>
      <c r="I397" s="109" t="s">
        <v>5521</v>
      </c>
      <c r="J397" s="109" t="s">
        <v>3681</v>
      </c>
      <c r="AH397" s="123" t="s">
        <v>5061</v>
      </c>
      <c r="AI397" s="123">
        <v>8309</v>
      </c>
      <c r="AJ397" s="139"/>
    </row>
    <row r="398" spans="2:36" x14ac:dyDescent="0.25">
      <c r="B398" s="10" t="s">
        <v>5024</v>
      </c>
      <c r="C398" s="13">
        <v>8272</v>
      </c>
      <c r="D398" s="139"/>
      <c r="H398" s="139"/>
      <c r="I398" s="109" t="s">
        <v>5522</v>
      </c>
      <c r="J398" s="109" t="s">
        <v>3682</v>
      </c>
      <c r="AH398" s="123" t="s">
        <v>5062</v>
      </c>
      <c r="AI398" s="123">
        <v>8310</v>
      </c>
      <c r="AJ398" s="139"/>
    </row>
    <row r="399" spans="2:36" x14ac:dyDescent="0.25">
      <c r="B399" s="10" t="s">
        <v>5025</v>
      </c>
      <c r="C399" s="13">
        <v>8273</v>
      </c>
      <c r="D399" s="139"/>
      <c r="H399" s="139"/>
      <c r="I399" s="109" t="s">
        <v>5523</v>
      </c>
      <c r="J399" s="109" t="s">
        <v>3683</v>
      </c>
      <c r="AH399" s="123" t="s">
        <v>5063</v>
      </c>
      <c r="AI399" s="123">
        <v>8311</v>
      </c>
      <c r="AJ399" s="139"/>
    </row>
    <row r="400" spans="2:36" x14ac:dyDescent="0.25">
      <c r="B400" s="10" t="s">
        <v>5026</v>
      </c>
      <c r="C400" s="13">
        <v>8274</v>
      </c>
      <c r="D400" s="139"/>
      <c r="H400" s="139"/>
      <c r="I400" s="109" t="s">
        <v>5524</v>
      </c>
      <c r="J400" s="109" t="s">
        <v>3684</v>
      </c>
      <c r="AH400" s="123" t="s">
        <v>5064</v>
      </c>
      <c r="AI400" s="123">
        <v>8312</v>
      </c>
      <c r="AJ400" s="139"/>
    </row>
    <row r="401" spans="2:36" x14ac:dyDescent="0.25">
      <c r="B401" s="10" t="s">
        <v>5027</v>
      </c>
      <c r="C401" s="13">
        <v>8275</v>
      </c>
      <c r="D401" s="139"/>
      <c r="H401" s="139"/>
      <c r="I401" s="109" t="s">
        <v>5525</v>
      </c>
      <c r="J401" s="109" t="s">
        <v>3685</v>
      </c>
      <c r="AH401" s="123" t="s">
        <v>5065</v>
      </c>
      <c r="AI401" s="123">
        <v>8313</v>
      </c>
      <c r="AJ401" s="139"/>
    </row>
    <row r="402" spans="2:36" x14ac:dyDescent="0.25">
      <c r="B402" s="10" t="s">
        <v>5028</v>
      </c>
      <c r="C402" s="13">
        <v>8276</v>
      </c>
      <c r="D402" s="139"/>
      <c r="H402" s="139"/>
      <c r="I402" s="109" t="s">
        <v>5526</v>
      </c>
      <c r="J402" s="109" t="s">
        <v>3686</v>
      </c>
      <c r="AH402" s="123" t="s">
        <v>5066</v>
      </c>
      <c r="AI402" s="123">
        <v>8314</v>
      </c>
      <c r="AJ402" s="139"/>
    </row>
    <row r="403" spans="2:36" x14ac:dyDescent="0.25">
      <c r="B403" s="10" t="s">
        <v>5029</v>
      </c>
      <c r="C403" s="13">
        <v>8277</v>
      </c>
      <c r="D403" s="139"/>
      <c r="H403" s="139"/>
      <c r="I403" s="109" t="s">
        <v>5527</v>
      </c>
      <c r="J403" s="109" t="s">
        <v>3687</v>
      </c>
      <c r="AH403" s="123" t="s">
        <v>5067</v>
      </c>
      <c r="AI403" s="123">
        <v>8315</v>
      </c>
      <c r="AJ403" s="139"/>
    </row>
    <row r="404" spans="2:36" x14ac:dyDescent="0.25">
      <c r="B404" s="10" t="s">
        <v>5030</v>
      </c>
      <c r="C404" s="13">
        <v>8278</v>
      </c>
      <c r="D404" s="139"/>
      <c r="H404" s="139"/>
      <c r="I404" s="109" t="s">
        <v>5528</v>
      </c>
      <c r="J404" s="109" t="s">
        <v>3688</v>
      </c>
      <c r="AH404" s="123" t="s">
        <v>5068</v>
      </c>
      <c r="AI404" s="123">
        <v>8316</v>
      </c>
      <c r="AJ404" s="139"/>
    </row>
    <row r="405" spans="2:36" x14ac:dyDescent="0.25">
      <c r="B405" s="10" t="s">
        <v>5031</v>
      </c>
      <c r="C405" s="13">
        <v>8279</v>
      </c>
      <c r="D405" s="139"/>
      <c r="H405" s="139"/>
      <c r="I405" s="109" t="s">
        <v>5529</v>
      </c>
      <c r="J405" s="109" t="s">
        <v>3689</v>
      </c>
      <c r="AH405" s="123" t="s">
        <v>5069</v>
      </c>
      <c r="AI405" s="123">
        <v>8317</v>
      </c>
      <c r="AJ405" s="139"/>
    </row>
    <row r="406" spans="2:36" x14ac:dyDescent="0.25">
      <c r="B406" s="10" t="s">
        <v>5032</v>
      </c>
      <c r="C406" s="13">
        <v>8280</v>
      </c>
      <c r="D406" s="139"/>
      <c r="H406" s="139"/>
      <c r="I406" s="109" t="s">
        <v>5530</v>
      </c>
      <c r="J406" s="109" t="s">
        <v>3690</v>
      </c>
      <c r="AH406" s="123" t="s">
        <v>5070</v>
      </c>
      <c r="AI406" s="123">
        <v>8318</v>
      </c>
      <c r="AJ406" s="139"/>
    </row>
    <row r="407" spans="2:36" x14ac:dyDescent="0.25">
      <c r="B407" s="10" t="s">
        <v>5033</v>
      </c>
      <c r="C407" s="13">
        <v>8281</v>
      </c>
      <c r="D407" s="139"/>
      <c r="H407" s="139"/>
      <c r="I407" s="109" t="s">
        <v>5531</v>
      </c>
      <c r="J407" s="109" t="s">
        <v>3691</v>
      </c>
      <c r="AH407" s="123" t="s">
        <v>5071</v>
      </c>
      <c r="AI407" s="123">
        <v>8319</v>
      </c>
      <c r="AJ407" s="139"/>
    </row>
    <row r="408" spans="2:36" x14ac:dyDescent="0.25">
      <c r="B408" s="10" t="s">
        <v>5034</v>
      </c>
      <c r="C408" s="13">
        <v>8282</v>
      </c>
      <c r="D408" s="139"/>
      <c r="H408" s="139"/>
      <c r="I408" s="109" t="s">
        <v>5532</v>
      </c>
      <c r="J408" s="109" t="s">
        <v>3692</v>
      </c>
      <c r="AH408" s="123" t="s">
        <v>5072</v>
      </c>
      <c r="AI408" s="123">
        <v>8320</v>
      </c>
      <c r="AJ408" s="139"/>
    </row>
    <row r="409" spans="2:36" x14ac:dyDescent="0.25">
      <c r="B409" s="10" t="s">
        <v>5035</v>
      </c>
      <c r="C409" s="13">
        <v>8283</v>
      </c>
      <c r="D409" s="139"/>
      <c r="H409" s="139"/>
      <c r="I409" s="109" t="s">
        <v>5533</v>
      </c>
      <c r="J409" s="109" t="s">
        <v>3693</v>
      </c>
      <c r="AH409" s="123" t="s">
        <v>5073</v>
      </c>
      <c r="AI409" s="123">
        <v>8321</v>
      </c>
      <c r="AJ409" s="139"/>
    </row>
    <row r="410" spans="2:36" x14ac:dyDescent="0.25">
      <c r="B410" s="10" t="s">
        <v>5036</v>
      </c>
      <c r="C410" s="13">
        <v>8284</v>
      </c>
      <c r="D410" s="139"/>
      <c r="H410" s="139"/>
      <c r="I410" s="109" t="s">
        <v>5534</v>
      </c>
      <c r="J410" s="109" t="s">
        <v>3694</v>
      </c>
      <c r="AH410" s="123" t="s">
        <v>5074</v>
      </c>
      <c r="AI410" s="123">
        <v>8322</v>
      </c>
      <c r="AJ410" s="139"/>
    </row>
    <row r="411" spans="2:36" x14ac:dyDescent="0.25">
      <c r="B411" s="10" t="s">
        <v>5037</v>
      </c>
      <c r="C411" s="13">
        <v>8285</v>
      </c>
      <c r="D411" s="139"/>
      <c r="H411" s="139"/>
      <c r="I411" s="109" t="s">
        <v>5535</v>
      </c>
      <c r="J411" s="109" t="s">
        <v>3695</v>
      </c>
      <c r="AH411" s="123" t="s">
        <v>5075</v>
      </c>
      <c r="AI411" s="123">
        <v>8323</v>
      </c>
      <c r="AJ411" s="139"/>
    </row>
    <row r="412" spans="2:36" x14ac:dyDescent="0.25">
      <c r="B412" s="10" t="s">
        <v>5038</v>
      </c>
      <c r="C412" s="13">
        <v>8286</v>
      </c>
      <c r="D412" s="139"/>
      <c r="H412" s="139"/>
      <c r="I412" s="109" t="s">
        <v>5536</v>
      </c>
      <c r="J412" s="109" t="s">
        <v>3696</v>
      </c>
      <c r="AH412" s="123" t="s">
        <v>5076</v>
      </c>
      <c r="AI412" s="123">
        <v>8324</v>
      </c>
      <c r="AJ412" s="139"/>
    </row>
    <row r="413" spans="2:36" x14ac:dyDescent="0.25">
      <c r="B413" s="10" t="s">
        <v>5039</v>
      </c>
      <c r="C413" s="13">
        <v>8287</v>
      </c>
      <c r="D413" s="139"/>
      <c r="H413" s="139"/>
      <c r="I413" s="109" t="s">
        <v>5537</v>
      </c>
      <c r="J413" s="109" t="s">
        <v>3697</v>
      </c>
      <c r="AH413" s="123" t="s">
        <v>5077</v>
      </c>
      <c r="AI413" s="123">
        <v>8325</v>
      </c>
      <c r="AJ413" s="139"/>
    </row>
    <row r="414" spans="2:36" x14ac:dyDescent="0.25">
      <c r="B414" s="10" t="s">
        <v>5040</v>
      </c>
      <c r="C414" s="13">
        <v>8288</v>
      </c>
      <c r="D414" s="139"/>
      <c r="H414" s="139"/>
      <c r="I414" s="109" t="s">
        <v>5538</v>
      </c>
      <c r="J414" s="109" t="s">
        <v>3698</v>
      </c>
      <c r="AH414" s="123" t="s">
        <v>5078</v>
      </c>
      <c r="AI414" s="123">
        <v>8326</v>
      </c>
      <c r="AJ414" s="139"/>
    </row>
    <row r="415" spans="2:36" x14ac:dyDescent="0.25">
      <c r="B415" s="10" t="s">
        <v>5041</v>
      </c>
      <c r="C415" s="13">
        <v>8289</v>
      </c>
      <c r="D415" s="139"/>
      <c r="H415" s="139"/>
      <c r="I415" s="109" t="s">
        <v>5539</v>
      </c>
      <c r="J415" s="109" t="s">
        <v>3699</v>
      </c>
      <c r="AH415" s="123" t="s">
        <v>5079</v>
      </c>
      <c r="AI415" s="123">
        <v>8327</v>
      </c>
      <c r="AJ415" s="139"/>
    </row>
    <row r="416" spans="2:36" x14ac:dyDescent="0.25">
      <c r="B416" s="10" t="s">
        <v>5042</v>
      </c>
      <c r="C416" s="13">
        <v>8290</v>
      </c>
      <c r="D416" s="139"/>
      <c r="H416" s="139"/>
      <c r="I416" s="109" t="s">
        <v>5540</v>
      </c>
      <c r="J416" s="109" t="s">
        <v>3700</v>
      </c>
      <c r="AH416" s="123" t="s">
        <v>5080</v>
      </c>
      <c r="AI416" s="123">
        <v>8328</v>
      </c>
      <c r="AJ416" s="139"/>
    </row>
    <row r="417" spans="2:36" x14ac:dyDescent="0.25">
      <c r="B417" s="10" t="s">
        <v>5043</v>
      </c>
      <c r="C417" s="13">
        <v>8291</v>
      </c>
      <c r="D417" s="139"/>
      <c r="H417" s="139"/>
      <c r="I417" s="109" t="s">
        <v>5541</v>
      </c>
      <c r="J417" s="109" t="s">
        <v>3701</v>
      </c>
      <c r="AH417" s="123" t="s">
        <v>5081</v>
      </c>
      <c r="AI417" s="123">
        <v>8329</v>
      </c>
      <c r="AJ417" s="139"/>
    </row>
    <row r="418" spans="2:36" x14ac:dyDescent="0.25">
      <c r="B418" s="10" t="s">
        <v>5044</v>
      </c>
      <c r="C418" s="13">
        <v>8292</v>
      </c>
      <c r="D418" s="139"/>
      <c r="H418" s="139"/>
      <c r="I418" s="109" t="s">
        <v>5542</v>
      </c>
      <c r="J418" s="109" t="s">
        <v>3702</v>
      </c>
      <c r="AH418" s="123" t="s">
        <v>5082</v>
      </c>
      <c r="AI418" s="123">
        <v>8330</v>
      </c>
      <c r="AJ418" s="139"/>
    </row>
    <row r="419" spans="2:36" x14ac:dyDescent="0.25">
      <c r="B419" s="10" t="s">
        <v>5045</v>
      </c>
      <c r="C419" s="13">
        <v>8293</v>
      </c>
      <c r="D419" s="139"/>
      <c r="H419" s="139"/>
      <c r="I419" s="109" t="s">
        <v>5543</v>
      </c>
      <c r="J419" s="109" t="s">
        <v>3703</v>
      </c>
      <c r="AH419" s="123" t="s">
        <v>5083</v>
      </c>
      <c r="AI419" s="123">
        <v>8331</v>
      </c>
      <c r="AJ419" s="139"/>
    </row>
    <row r="420" spans="2:36" x14ac:dyDescent="0.25">
      <c r="B420" s="10" t="s">
        <v>5046</v>
      </c>
      <c r="C420" s="13">
        <v>8294</v>
      </c>
      <c r="D420" s="139"/>
      <c r="H420" s="139"/>
      <c r="I420" s="109" t="s">
        <v>5544</v>
      </c>
      <c r="J420" s="109" t="s">
        <v>3704</v>
      </c>
      <c r="AH420" s="123" t="s">
        <v>5084</v>
      </c>
      <c r="AI420" s="123">
        <v>8332</v>
      </c>
      <c r="AJ420" s="139"/>
    </row>
    <row r="421" spans="2:36" x14ac:dyDescent="0.25">
      <c r="B421" s="10" t="s">
        <v>5047</v>
      </c>
      <c r="C421" s="13">
        <v>8295</v>
      </c>
      <c r="D421" s="139"/>
      <c r="H421" s="139"/>
      <c r="I421" s="109" t="s">
        <v>5545</v>
      </c>
      <c r="J421" s="109" t="s">
        <v>3705</v>
      </c>
      <c r="AH421" s="123" t="s">
        <v>5085</v>
      </c>
      <c r="AI421" s="123">
        <v>8333</v>
      </c>
      <c r="AJ421" s="139"/>
    </row>
    <row r="422" spans="2:36" x14ac:dyDescent="0.25">
      <c r="B422" s="10" t="s">
        <v>5048</v>
      </c>
      <c r="C422" s="13">
        <v>8296</v>
      </c>
      <c r="D422" s="139"/>
      <c r="H422" s="139"/>
      <c r="I422" s="109" t="s">
        <v>5546</v>
      </c>
      <c r="J422" s="109" t="s">
        <v>3706</v>
      </c>
      <c r="AH422" s="123" t="s">
        <v>5086</v>
      </c>
      <c r="AI422" s="123">
        <v>8334</v>
      </c>
      <c r="AJ422" s="139"/>
    </row>
    <row r="423" spans="2:36" x14ac:dyDescent="0.25">
      <c r="B423" s="10" t="s">
        <v>5049</v>
      </c>
      <c r="C423" s="13">
        <v>8297</v>
      </c>
      <c r="D423" s="139"/>
      <c r="H423" s="139"/>
      <c r="I423" s="109" t="s">
        <v>5547</v>
      </c>
      <c r="J423" s="109" t="s">
        <v>3707</v>
      </c>
      <c r="AH423" s="123" t="s">
        <v>5087</v>
      </c>
      <c r="AI423" s="123">
        <v>8335</v>
      </c>
      <c r="AJ423" s="139"/>
    </row>
    <row r="424" spans="2:36" x14ac:dyDescent="0.25">
      <c r="B424" s="10" t="s">
        <v>5050</v>
      </c>
      <c r="C424" s="13">
        <v>8298</v>
      </c>
      <c r="D424" s="139"/>
      <c r="H424" s="139"/>
      <c r="I424" s="109" t="s">
        <v>5548</v>
      </c>
      <c r="J424" s="109" t="s">
        <v>3708</v>
      </c>
      <c r="AH424" s="123" t="s">
        <v>5088</v>
      </c>
      <c r="AI424" s="123">
        <v>8336</v>
      </c>
      <c r="AJ424" s="139"/>
    </row>
    <row r="425" spans="2:36" x14ac:dyDescent="0.25">
      <c r="B425" s="10" t="s">
        <v>5051</v>
      </c>
      <c r="C425" s="13">
        <v>8299</v>
      </c>
      <c r="D425" s="139"/>
      <c r="H425" s="139"/>
      <c r="I425" s="109" t="s">
        <v>5549</v>
      </c>
      <c r="J425" s="109" t="s">
        <v>3709</v>
      </c>
      <c r="AH425" s="123" t="s">
        <v>5089</v>
      </c>
      <c r="AI425" s="123">
        <v>8337</v>
      </c>
      <c r="AJ425" s="139"/>
    </row>
    <row r="426" spans="2:36" x14ac:dyDescent="0.25">
      <c r="B426" s="10" t="s">
        <v>5052</v>
      </c>
      <c r="C426" s="13">
        <v>8300</v>
      </c>
      <c r="D426" s="139"/>
      <c r="H426" s="139"/>
      <c r="I426" s="109" t="s">
        <v>5550</v>
      </c>
      <c r="J426" s="109" t="s">
        <v>3710</v>
      </c>
      <c r="AH426" s="123" t="s">
        <v>5090</v>
      </c>
      <c r="AI426" s="123">
        <v>8338</v>
      </c>
      <c r="AJ426" s="139"/>
    </row>
    <row r="427" spans="2:36" x14ac:dyDescent="0.25">
      <c r="B427" s="10" t="s">
        <v>5053</v>
      </c>
      <c r="C427" s="13">
        <v>8301</v>
      </c>
      <c r="D427" s="139"/>
      <c r="H427" s="139"/>
      <c r="I427" s="109" t="s">
        <v>5551</v>
      </c>
      <c r="J427" s="109" t="s">
        <v>3711</v>
      </c>
      <c r="AH427" s="123" t="s">
        <v>5091</v>
      </c>
      <c r="AI427" s="123">
        <v>8339</v>
      </c>
      <c r="AJ427" s="139"/>
    </row>
    <row r="428" spans="2:36" x14ac:dyDescent="0.25">
      <c r="B428" s="10" t="s">
        <v>5054</v>
      </c>
      <c r="C428" s="13">
        <v>8302</v>
      </c>
      <c r="D428" s="139"/>
      <c r="H428" s="139"/>
      <c r="I428" s="109" t="s">
        <v>5552</v>
      </c>
      <c r="J428" s="109" t="s">
        <v>3712</v>
      </c>
      <c r="AH428" s="123" t="s">
        <v>5092</v>
      </c>
      <c r="AI428" s="123">
        <v>8340</v>
      </c>
      <c r="AJ428" s="139"/>
    </row>
    <row r="429" spans="2:36" x14ac:dyDescent="0.25">
      <c r="B429" s="10" t="s">
        <v>5055</v>
      </c>
      <c r="C429" s="13">
        <v>8303</v>
      </c>
      <c r="D429" s="139"/>
      <c r="H429" s="139"/>
      <c r="I429" s="109" t="s">
        <v>5553</v>
      </c>
      <c r="J429" s="109" t="s">
        <v>3713</v>
      </c>
      <c r="AH429" s="123" t="s">
        <v>5093</v>
      </c>
      <c r="AI429" s="123">
        <v>8341</v>
      </c>
      <c r="AJ429" s="139"/>
    </row>
    <row r="430" spans="2:36" x14ac:dyDescent="0.25">
      <c r="B430" s="10" t="s">
        <v>5056</v>
      </c>
      <c r="C430" s="13">
        <v>8304</v>
      </c>
      <c r="D430" s="139"/>
      <c r="H430" s="139"/>
      <c r="I430" s="109" t="s">
        <v>5554</v>
      </c>
      <c r="J430" s="109" t="s">
        <v>3714</v>
      </c>
      <c r="AH430" s="123" t="s">
        <v>5094</v>
      </c>
      <c r="AI430" s="123">
        <v>8342</v>
      </c>
      <c r="AJ430" s="139"/>
    </row>
    <row r="431" spans="2:36" x14ac:dyDescent="0.25">
      <c r="B431" s="10" t="s">
        <v>5057</v>
      </c>
      <c r="C431" s="13">
        <v>8305</v>
      </c>
      <c r="D431" s="139"/>
      <c r="H431" s="139"/>
      <c r="I431" s="109" t="s">
        <v>5555</v>
      </c>
      <c r="J431" s="109" t="s">
        <v>3715</v>
      </c>
      <c r="AH431" s="123" t="s">
        <v>5095</v>
      </c>
      <c r="AI431" s="123">
        <v>8343</v>
      </c>
      <c r="AJ431" s="139"/>
    </row>
    <row r="432" spans="2:36" x14ac:dyDescent="0.25">
      <c r="B432" s="10" t="s">
        <v>5058</v>
      </c>
      <c r="C432" s="13">
        <v>8306</v>
      </c>
      <c r="D432" s="139"/>
      <c r="H432" s="139"/>
      <c r="I432" s="109" t="s">
        <v>5556</v>
      </c>
      <c r="J432" s="109" t="s">
        <v>3716</v>
      </c>
      <c r="AH432" s="123" t="s">
        <v>5096</v>
      </c>
      <c r="AI432" s="123">
        <v>8344</v>
      </c>
      <c r="AJ432" s="139"/>
    </row>
    <row r="433" spans="2:36" x14ac:dyDescent="0.25">
      <c r="B433" s="10" t="s">
        <v>5059</v>
      </c>
      <c r="C433" s="13">
        <v>8307</v>
      </c>
      <c r="D433" s="139"/>
      <c r="H433" s="139"/>
      <c r="I433" s="109" t="s">
        <v>5557</v>
      </c>
      <c r="J433" s="109" t="s">
        <v>3717</v>
      </c>
      <c r="AH433" s="123" t="s">
        <v>5097</v>
      </c>
      <c r="AI433" s="123">
        <v>8345</v>
      </c>
      <c r="AJ433" s="139"/>
    </row>
    <row r="434" spans="2:36" x14ac:dyDescent="0.25">
      <c r="B434" s="10" t="s">
        <v>5060</v>
      </c>
      <c r="C434" s="13">
        <v>8308</v>
      </c>
      <c r="D434" s="139"/>
      <c r="H434" s="139"/>
      <c r="I434" s="109" t="s">
        <v>5558</v>
      </c>
      <c r="J434" s="109" t="s">
        <v>3718</v>
      </c>
      <c r="AH434" s="123" t="s">
        <v>5098</v>
      </c>
      <c r="AI434" s="123">
        <v>8346</v>
      </c>
      <c r="AJ434" s="139"/>
    </row>
    <row r="435" spans="2:36" x14ac:dyDescent="0.25">
      <c r="B435" s="10" t="s">
        <v>5061</v>
      </c>
      <c r="C435" s="13">
        <v>8309</v>
      </c>
      <c r="D435" s="139"/>
      <c r="H435" s="139"/>
      <c r="I435" s="109" t="s">
        <v>5559</v>
      </c>
      <c r="J435" s="109" t="s">
        <v>3719</v>
      </c>
      <c r="AH435" s="123" t="s">
        <v>5099</v>
      </c>
      <c r="AI435" s="123">
        <v>8347</v>
      </c>
      <c r="AJ435" s="139"/>
    </row>
    <row r="436" spans="2:36" x14ac:dyDescent="0.25">
      <c r="B436" s="10" t="s">
        <v>5062</v>
      </c>
      <c r="C436" s="13">
        <v>8310</v>
      </c>
      <c r="D436" s="139"/>
      <c r="H436" s="139"/>
      <c r="I436" s="109" t="s">
        <v>5560</v>
      </c>
      <c r="J436" s="109" t="s">
        <v>3720</v>
      </c>
      <c r="AH436" s="123" t="s">
        <v>5100</v>
      </c>
      <c r="AI436" s="123">
        <v>8348</v>
      </c>
      <c r="AJ436" s="139"/>
    </row>
    <row r="437" spans="2:36" x14ac:dyDescent="0.25">
      <c r="B437" s="10" t="s">
        <v>5063</v>
      </c>
      <c r="C437" s="13">
        <v>8311</v>
      </c>
      <c r="D437" s="139"/>
      <c r="H437" s="139"/>
      <c r="I437" s="109" t="s">
        <v>5561</v>
      </c>
      <c r="J437" s="109" t="s">
        <v>3721</v>
      </c>
      <c r="AH437" s="123" t="s">
        <v>5101</v>
      </c>
      <c r="AI437" s="123">
        <v>8349</v>
      </c>
      <c r="AJ437" s="139"/>
    </row>
    <row r="438" spans="2:36" x14ac:dyDescent="0.25">
      <c r="B438" s="10" t="s">
        <v>5064</v>
      </c>
      <c r="C438" s="13">
        <v>8312</v>
      </c>
      <c r="D438" s="139"/>
      <c r="H438" s="139"/>
      <c r="I438" s="109" t="s">
        <v>5562</v>
      </c>
      <c r="J438" s="109" t="s">
        <v>3722</v>
      </c>
      <c r="AH438" s="123" t="s">
        <v>5102</v>
      </c>
      <c r="AI438" s="123">
        <v>8350</v>
      </c>
      <c r="AJ438" s="139"/>
    </row>
    <row r="439" spans="2:36" x14ac:dyDescent="0.25">
      <c r="B439" s="10" t="s">
        <v>5065</v>
      </c>
      <c r="C439" s="13">
        <v>8313</v>
      </c>
      <c r="D439" s="139"/>
      <c r="H439" s="139"/>
      <c r="I439" s="109" t="s">
        <v>5563</v>
      </c>
      <c r="J439" s="109" t="s">
        <v>3723</v>
      </c>
      <c r="AH439" s="123" t="s">
        <v>5103</v>
      </c>
      <c r="AI439" s="123">
        <v>8351</v>
      </c>
      <c r="AJ439" s="139"/>
    </row>
    <row r="440" spans="2:36" x14ac:dyDescent="0.25">
      <c r="B440" s="10" t="s">
        <v>5066</v>
      </c>
      <c r="C440" s="13">
        <v>8314</v>
      </c>
      <c r="D440" s="139"/>
      <c r="H440" s="139"/>
      <c r="I440" s="109" t="s">
        <v>5564</v>
      </c>
      <c r="J440" s="109" t="s">
        <v>3724</v>
      </c>
      <c r="AH440" s="123" t="s">
        <v>5104</v>
      </c>
      <c r="AI440" s="123">
        <v>8352</v>
      </c>
      <c r="AJ440" s="139"/>
    </row>
    <row r="441" spans="2:36" x14ac:dyDescent="0.25">
      <c r="B441" s="10" t="s">
        <v>5067</v>
      </c>
      <c r="C441" s="13">
        <v>8315</v>
      </c>
      <c r="D441" s="139"/>
      <c r="H441" s="139"/>
      <c r="I441" s="109" t="s">
        <v>5565</v>
      </c>
      <c r="J441" s="109" t="s">
        <v>3725</v>
      </c>
      <c r="AH441" s="123" t="s">
        <v>5105</v>
      </c>
      <c r="AI441" s="123">
        <v>8353</v>
      </c>
      <c r="AJ441" s="139"/>
    </row>
    <row r="442" spans="2:36" x14ac:dyDescent="0.25">
      <c r="B442" s="10" t="s">
        <v>5068</v>
      </c>
      <c r="C442" s="13">
        <v>8316</v>
      </c>
      <c r="D442" s="139"/>
      <c r="H442" s="139"/>
      <c r="I442" s="109" t="s">
        <v>5566</v>
      </c>
      <c r="J442" s="109" t="s">
        <v>3726</v>
      </c>
      <c r="AH442" s="123" t="s">
        <v>5106</v>
      </c>
      <c r="AI442" s="123">
        <v>8354</v>
      </c>
      <c r="AJ442" s="139"/>
    </row>
    <row r="443" spans="2:36" x14ac:dyDescent="0.25">
      <c r="B443" s="10" t="s">
        <v>5069</v>
      </c>
      <c r="C443" s="13">
        <v>8317</v>
      </c>
      <c r="D443" s="139"/>
      <c r="H443" s="139"/>
      <c r="I443" s="109" t="s">
        <v>5567</v>
      </c>
      <c r="J443" s="109" t="s">
        <v>3727</v>
      </c>
      <c r="AH443" s="123" t="s">
        <v>5107</v>
      </c>
      <c r="AI443" s="123">
        <v>8355</v>
      </c>
      <c r="AJ443" s="139"/>
    </row>
    <row r="444" spans="2:36" x14ac:dyDescent="0.25">
      <c r="B444" s="10" t="s">
        <v>5070</v>
      </c>
      <c r="C444" s="13">
        <v>8318</v>
      </c>
      <c r="D444" s="139"/>
      <c r="H444" s="139"/>
      <c r="I444" s="109" t="s">
        <v>5568</v>
      </c>
      <c r="J444" s="109" t="s">
        <v>3728</v>
      </c>
      <c r="AH444" s="123" t="s">
        <v>5108</v>
      </c>
      <c r="AI444" s="123">
        <v>8356</v>
      </c>
      <c r="AJ444" s="139"/>
    </row>
    <row r="445" spans="2:36" x14ac:dyDescent="0.25">
      <c r="B445" s="10" t="s">
        <v>5071</v>
      </c>
      <c r="C445" s="13">
        <v>8319</v>
      </c>
      <c r="D445" s="139"/>
      <c r="H445" s="139"/>
      <c r="I445" s="109" t="s">
        <v>5569</v>
      </c>
      <c r="J445" s="109" t="s">
        <v>3729</v>
      </c>
      <c r="AH445" s="123" t="s">
        <v>5109</v>
      </c>
      <c r="AI445" s="123">
        <v>8357</v>
      </c>
      <c r="AJ445" s="139"/>
    </row>
    <row r="446" spans="2:36" x14ac:dyDescent="0.25">
      <c r="B446" s="10" t="s">
        <v>5072</v>
      </c>
      <c r="C446" s="13">
        <v>8320</v>
      </c>
      <c r="D446" s="139"/>
      <c r="H446" s="139"/>
      <c r="I446" s="109" t="s">
        <v>5570</v>
      </c>
      <c r="J446" s="109" t="s">
        <v>3730</v>
      </c>
      <c r="AH446" s="123" t="s">
        <v>5110</v>
      </c>
      <c r="AI446" s="123">
        <v>8358</v>
      </c>
      <c r="AJ446" s="139"/>
    </row>
    <row r="447" spans="2:36" x14ac:dyDescent="0.25">
      <c r="B447" s="10" t="s">
        <v>5073</v>
      </c>
      <c r="C447" s="13">
        <v>8321</v>
      </c>
      <c r="D447" s="139"/>
      <c r="H447" s="139"/>
      <c r="I447" s="109" t="s">
        <v>5571</v>
      </c>
      <c r="J447" s="109" t="s">
        <v>3731</v>
      </c>
      <c r="AH447" s="123" t="s">
        <v>5111</v>
      </c>
      <c r="AI447" s="123">
        <v>8359</v>
      </c>
      <c r="AJ447" s="139"/>
    </row>
    <row r="448" spans="2:36" x14ac:dyDescent="0.25">
      <c r="B448" s="10" t="s">
        <v>5074</v>
      </c>
      <c r="C448" s="13">
        <v>8322</v>
      </c>
      <c r="D448" s="139"/>
      <c r="H448" s="139"/>
      <c r="I448" s="109" t="s">
        <v>5572</v>
      </c>
      <c r="J448" s="109" t="s">
        <v>3732</v>
      </c>
      <c r="AH448" s="123" t="s">
        <v>5112</v>
      </c>
      <c r="AI448" s="123">
        <v>8360</v>
      </c>
      <c r="AJ448" s="139"/>
    </row>
    <row r="449" spans="2:36" x14ac:dyDescent="0.25">
      <c r="B449" s="10" t="s">
        <v>5075</v>
      </c>
      <c r="C449" s="13">
        <v>8323</v>
      </c>
      <c r="D449" s="139"/>
      <c r="H449" s="139"/>
      <c r="I449" s="109" t="s">
        <v>5573</v>
      </c>
      <c r="J449" s="109" t="s">
        <v>3733</v>
      </c>
      <c r="AH449" s="123" t="s">
        <v>5113</v>
      </c>
      <c r="AI449" s="123">
        <v>8361</v>
      </c>
      <c r="AJ449" s="139"/>
    </row>
    <row r="450" spans="2:36" x14ac:dyDescent="0.25">
      <c r="B450" s="10" t="s">
        <v>5076</v>
      </c>
      <c r="C450" s="13">
        <v>8324</v>
      </c>
      <c r="D450" s="139"/>
      <c r="H450" s="139"/>
      <c r="I450" s="109" t="s">
        <v>5574</v>
      </c>
      <c r="J450" s="109" t="s">
        <v>3734</v>
      </c>
      <c r="AH450" s="123" t="s">
        <v>5114</v>
      </c>
      <c r="AI450" s="123">
        <v>8362</v>
      </c>
      <c r="AJ450" s="139"/>
    </row>
    <row r="451" spans="2:36" x14ac:dyDescent="0.25">
      <c r="B451" s="10" t="s">
        <v>5077</v>
      </c>
      <c r="C451" s="13">
        <v>8325</v>
      </c>
      <c r="D451" s="139"/>
      <c r="H451" s="139"/>
      <c r="I451" s="109" t="s">
        <v>5575</v>
      </c>
      <c r="J451" s="109" t="s">
        <v>3735</v>
      </c>
      <c r="AH451" s="123" t="s">
        <v>5115</v>
      </c>
      <c r="AI451" s="123">
        <v>8363</v>
      </c>
      <c r="AJ451" s="139"/>
    </row>
    <row r="452" spans="2:36" x14ac:dyDescent="0.25">
      <c r="B452" s="10" t="s">
        <v>5078</v>
      </c>
      <c r="C452" s="13">
        <v>8326</v>
      </c>
      <c r="D452" s="139"/>
      <c r="H452" s="139"/>
      <c r="I452" s="109" t="s">
        <v>5576</v>
      </c>
      <c r="J452" s="109" t="s">
        <v>3736</v>
      </c>
      <c r="AH452" s="123" t="s">
        <v>5116</v>
      </c>
      <c r="AI452" s="123">
        <v>8364</v>
      </c>
      <c r="AJ452" s="139"/>
    </row>
    <row r="453" spans="2:36" x14ac:dyDescent="0.25">
      <c r="B453" s="10" t="s">
        <v>5079</v>
      </c>
      <c r="C453" s="13">
        <v>8327</v>
      </c>
      <c r="D453" s="139"/>
      <c r="H453" s="139"/>
      <c r="I453" s="109" t="s">
        <v>5577</v>
      </c>
      <c r="J453" s="109" t="s">
        <v>3737</v>
      </c>
      <c r="AH453" s="123" t="s">
        <v>5117</v>
      </c>
      <c r="AI453" s="123">
        <v>99</v>
      </c>
      <c r="AJ453" s="139"/>
    </row>
    <row r="454" spans="2:36" x14ac:dyDescent="0.25">
      <c r="B454" s="10" t="s">
        <v>5080</v>
      </c>
      <c r="C454" s="13">
        <v>8328</v>
      </c>
      <c r="D454" s="139"/>
      <c r="H454" s="139"/>
      <c r="I454" s="109" t="s">
        <v>5578</v>
      </c>
      <c r="J454" s="109" t="s">
        <v>3738</v>
      </c>
      <c r="AH454" s="123" t="s">
        <v>5118</v>
      </c>
      <c r="AI454" s="123">
        <v>61</v>
      </c>
      <c r="AJ454" s="139"/>
    </row>
    <row r="455" spans="2:36" x14ac:dyDescent="0.25">
      <c r="B455" s="10" t="s">
        <v>5081</v>
      </c>
      <c r="C455" s="13">
        <v>8329</v>
      </c>
      <c r="D455" s="139"/>
      <c r="H455" s="139"/>
      <c r="I455" s="109" t="s">
        <v>5579</v>
      </c>
      <c r="J455" s="109" t="s">
        <v>3739</v>
      </c>
      <c r="AH455" s="123" t="s">
        <v>5119</v>
      </c>
      <c r="AI455" s="123">
        <v>62</v>
      </c>
      <c r="AJ455" s="139"/>
    </row>
    <row r="456" spans="2:36" x14ac:dyDescent="0.25">
      <c r="B456" s="10" t="s">
        <v>5082</v>
      </c>
      <c r="C456" s="13">
        <v>8330</v>
      </c>
      <c r="D456" s="139"/>
      <c r="H456" s="139"/>
      <c r="I456" s="109" t="s">
        <v>5580</v>
      </c>
      <c r="J456" s="109" t="s">
        <v>3740</v>
      </c>
      <c r="AH456" s="123" t="s">
        <v>5120</v>
      </c>
      <c r="AI456" s="123">
        <v>63</v>
      </c>
      <c r="AJ456" s="139"/>
    </row>
    <row r="457" spans="2:36" x14ac:dyDescent="0.25">
      <c r="B457" s="10" t="s">
        <v>5083</v>
      </c>
      <c r="C457" s="13">
        <v>8331</v>
      </c>
      <c r="D457" s="139"/>
      <c r="H457" s="139"/>
      <c r="I457" s="109" t="s">
        <v>5581</v>
      </c>
      <c r="J457" s="109" t="s">
        <v>3741</v>
      </c>
      <c r="AH457" s="123" t="s">
        <v>5121</v>
      </c>
      <c r="AI457" s="123">
        <v>999</v>
      </c>
      <c r="AJ457" s="139"/>
    </row>
    <row r="458" spans="2:36" x14ac:dyDescent="0.25">
      <c r="B458" s="10" t="s">
        <v>5084</v>
      </c>
      <c r="C458" s="13">
        <v>8332</v>
      </c>
      <c r="D458" s="139"/>
      <c r="H458" s="139"/>
      <c r="I458" s="109" t="s">
        <v>5582</v>
      </c>
      <c r="J458" s="109" t="s">
        <v>3742</v>
      </c>
      <c r="AH458" s="123" t="s">
        <v>5122</v>
      </c>
      <c r="AI458" s="123">
        <v>202</v>
      </c>
      <c r="AJ458" s="139"/>
    </row>
    <row r="459" spans="2:36" x14ac:dyDescent="0.25">
      <c r="B459" s="10" t="s">
        <v>5085</v>
      </c>
      <c r="C459" s="13">
        <v>8333</v>
      </c>
      <c r="D459" s="139"/>
      <c r="H459" s="139"/>
      <c r="I459" s="109" t="s">
        <v>5583</v>
      </c>
      <c r="J459" s="109" t="s">
        <v>3743</v>
      </c>
      <c r="AH459" s="123" t="s">
        <v>5123</v>
      </c>
      <c r="AI459" s="123">
        <v>600</v>
      </c>
      <c r="AJ459" s="139"/>
    </row>
    <row r="460" spans="2:36" x14ac:dyDescent="0.25">
      <c r="B460" s="10" t="s">
        <v>5086</v>
      </c>
      <c r="C460" s="13">
        <v>8334</v>
      </c>
      <c r="D460" s="139"/>
      <c r="H460" s="139"/>
      <c r="I460" s="109" t="s">
        <v>5584</v>
      </c>
      <c r="J460" s="109" t="s">
        <v>3744</v>
      </c>
      <c r="AH460" s="123" t="s">
        <v>5124</v>
      </c>
      <c r="AI460" s="123">
        <v>800</v>
      </c>
      <c r="AJ460" s="139"/>
    </row>
    <row r="461" spans="2:36" x14ac:dyDescent="0.25">
      <c r="B461" s="10" t="s">
        <v>5087</v>
      </c>
      <c r="C461" s="13">
        <v>8335</v>
      </c>
      <c r="D461" s="139"/>
      <c r="H461" s="139"/>
      <c r="I461" s="109" t="s">
        <v>5585</v>
      </c>
      <c r="J461" s="109" t="s">
        <v>3745</v>
      </c>
      <c r="AH461" s="123" t="s">
        <v>5125</v>
      </c>
      <c r="AI461" s="123">
        <v>900</v>
      </c>
      <c r="AJ461" s="139"/>
    </row>
    <row r="462" spans="2:36" x14ac:dyDescent="0.25">
      <c r="B462" s="10" t="s">
        <v>5088</v>
      </c>
      <c r="C462" s="13">
        <v>8336</v>
      </c>
      <c r="D462" s="139"/>
      <c r="H462" s="139"/>
      <c r="I462" s="109" t="s">
        <v>5586</v>
      </c>
      <c r="J462" s="109" t="s">
        <v>3746</v>
      </c>
    </row>
    <row r="463" spans="2:36" x14ac:dyDescent="0.25">
      <c r="B463" s="10" t="s">
        <v>5089</v>
      </c>
      <c r="C463" s="13">
        <v>8337</v>
      </c>
      <c r="D463" s="139"/>
      <c r="H463" s="139"/>
      <c r="I463" s="109" t="s">
        <v>5587</v>
      </c>
      <c r="J463" s="109" t="s">
        <v>3747</v>
      </c>
    </row>
    <row r="464" spans="2:36" x14ac:dyDescent="0.25">
      <c r="B464" s="10" t="s">
        <v>5090</v>
      </c>
      <c r="C464" s="13">
        <v>8338</v>
      </c>
      <c r="D464" s="139"/>
      <c r="H464" s="139"/>
      <c r="I464" s="109" t="s">
        <v>5588</v>
      </c>
      <c r="J464" s="109" t="s">
        <v>3748</v>
      </c>
    </row>
    <row r="465" spans="2:10" x14ac:dyDescent="0.25">
      <c r="B465" s="10" t="s">
        <v>5091</v>
      </c>
      <c r="C465" s="13">
        <v>8339</v>
      </c>
      <c r="D465" s="139"/>
      <c r="H465" s="139"/>
      <c r="I465" s="109" t="s">
        <v>5589</v>
      </c>
      <c r="J465" s="109" t="s">
        <v>3749</v>
      </c>
    </row>
    <row r="466" spans="2:10" x14ac:dyDescent="0.25">
      <c r="B466" s="10" t="s">
        <v>5092</v>
      </c>
      <c r="C466" s="13">
        <v>8340</v>
      </c>
      <c r="D466" s="139"/>
      <c r="H466" s="139"/>
      <c r="I466" s="109" t="s">
        <v>5590</v>
      </c>
      <c r="J466" s="109" t="s">
        <v>3750</v>
      </c>
    </row>
    <row r="467" spans="2:10" x14ac:dyDescent="0.25">
      <c r="B467" s="10" t="s">
        <v>5093</v>
      </c>
      <c r="C467" s="13">
        <v>8341</v>
      </c>
      <c r="D467" s="139"/>
      <c r="H467" s="139"/>
      <c r="I467" s="109" t="s">
        <v>5591</v>
      </c>
      <c r="J467" s="109" t="s">
        <v>3751</v>
      </c>
    </row>
    <row r="468" spans="2:10" x14ac:dyDescent="0.25">
      <c r="B468" s="10" t="s">
        <v>5094</v>
      </c>
      <c r="C468" s="13">
        <v>8342</v>
      </c>
      <c r="D468" s="139"/>
      <c r="H468" s="139"/>
      <c r="I468" s="109" t="s">
        <v>5592</v>
      </c>
      <c r="J468" s="109" t="s">
        <v>3752</v>
      </c>
    </row>
    <row r="469" spans="2:10" x14ac:dyDescent="0.25">
      <c r="B469" s="10" t="s">
        <v>5095</v>
      </c>
      <c r="C469" s="13">
        <v>8343</v>
      </c>
      <c r="D469" s="139"/>
      <c r="H469" s="139"/>
      <c r="I469" s="109" t="s">
        <v>5593</v>
      </c>
      <c r="J469" s="109" t="s">
        <v>3753</v>
      </c>
    </row>
    <row r="470" spans="2:10" x14ac:dyDescent="0.25">
      <c r="B470" s="10" t="s">
        <v>5096</v>
      </c>
      <c r="C470" s="13">
        <v>8344</v>
      </c>
      <c r="D470" s="139"/>
      <c r="H470" s="139"/>
      <c r="I470" s="109" t="s">
        <v>5594</v>
      </c>
      <c r="J470" s="109" t="s">
        <v>3754</v>
      </c>
    </row>
    <row r="471" spans="2:10" x14ac:dyDescent="0.25">
      <c r="B471" s="10" t="s">
        <v>5097</v>
      </c>
      <c r="C471" s="13">
        <v>8345</v>
      </c>
      <c r="D471" s="139"/>
      <c r="H471" s="139"/>
      <c r="I471" s="109" t="s">
        <v>5595</v>
      </c>
      <c r="J471" s="109" t="s">
        <v>3755</v>
      </c>
    </row>
    <row r="472" spans="2:10" x14ac:dyDescent="0.25">
      <c r="B472" s="10" t="s">
        <v>5098</v>
      </c>
      <c r="C472" s="13">
        <v>8346</v>
      </c>
      <c r="D472" s="139"/>
      <c r="H472" s="139"/>
      <c r="I472" s="109" t="s">
        <v>5596</v>
      </c>
      <c r="J472" s="109" t="s">
        <v>3756</v>
      </c>
    </row>
    <row r="473" spans="2:10" x14ac:dyDescent="0.25">
      <c r="B473" s="10" t="s">
        <v>5099</v>
      </c>
      <c r="C473" s="13">
        <v>8347</v>
      </c>
      <c r="D473" s="139"/>
      <c r="H473" s="139"/>
      <c r="I473" s="109" t="s">
        <v>5597</v>
      </c>
      <c r="J473" s="109" t="s">
        <v>3757</v>
      </c>
    </row>
    <row r="474" spans="2:10" x14ac:dyDescent="0.25">
      <c r="B474" s="10" t="s">
        <v>5100</v>
      </c>
      <c r="C474" s="13">
        <v>8348</v>
      </c>
      <c r="D474" s="139"/>
      <c r="H474" s="139"/>
      <c r="I474" s="109" t="s">
        <v>5598</v>
      </c>
      <c r="J474" s="109" t="s">
        <v>3758</v>
      </c>
    </row>
    <row r="475" spans="2:10" x14ac:dyDescent="0.25">
      <c r="B475" s="10" t="s">
        <v>5101</v>
      </c>
      <c r="C475" s="13">
        <v>8349</v>
      </c>
      <c r="D475" s="139"/>
      <c r="H475" s="139"/>
      <c r="I475" s="109" t="s">
        <v>5599</v>
      </c>
      <c r="J475" s="109" t="s">
        <v>3759</v>
      </c>
    </row>
    <row r="476" spans="2:10" x14ac:dyDescent="0.25">
      <c r="B476" s="10" t="s">
        <v>5102</v>
      </c>
      <c r="C476" s="13">
        <v>8350</v>
      </c>
      <c r="D476" s="139"/>
      <c r="H476" s="139"/>
      <c r="I476" s="109" t="s">
        <v>5600</v>
      </c>
      <c r="J476" s="109" t="s">
        <v>3760</v>
      </c>
    </row>
    <row r="477" spans="2:10" x14ac:dyDescent="0.25">
      <c r="B477" s="10" t="s">
        <v>5103</v>
      </c>
      <c r="C477" s="13">
        <v>8351</v>
      </c>
      <c r="D477" s="139"/>
      <c r="H477" s="139"/>
      <c r="I477" s="109" t="s">
        <v>5601</v>
      </c>
      <c r="J477" s="109" t="s">
        <v>3761</v>
      </c>
    </row>
    <row r="478" spans="2:10" x14ac:dyDescent="0.25">
      <c r="B478" s="10" t="s">
        <v>5104</v>
      </c>
      <c r="C478" s="13">
        <v>8352</v>
      </c>
      <c r="D478" s="139"/>
      <c r="H478" s="139"/>
      <c r="I478" s="109" t="s">
        <v>5602</v>
      </c>
      <c r="J478" s="109" t="s">
        <v>3762</v>
      </c>
    </row>
    <row r="479" spans="2:10" x14ac:dyDescent="0.25">
      <c r="B479" s="10" t="s">
        <v>5105</v>
      </c>
      <c r="C479" s="13">
        <v>8353</v>
      </c>
      <c r="D479" s="139"/>
      <c r="H479" s="139"/>
      <c r="I479" s="109" t="s">
        <v>5603</v>
      </c>
      <c r="J479" s="109" t="s">
        <v>3763</v>
      </c>
    </row>
    <row r="480" spans="2:10" x14ac:dyDescent="0.25">
      <c r="B480" s="10" t="s">
        <v>5106</v>
      </c>
      <c r="C480" s="13">
        <v>8354</v>
      </c>
      <c r="D480" s="139"/>
      <c r="H480" s="139"/>
      <c r="I480" s="109" t="s">
        <v>5604</v>
      </c>
      <c r="J480" s="109" t="s">
        <v>3764</v>
      </c>
    </row>
    <row r="481" spans="2:10" x14ac:dyDescent="0.25">
      <c r="B481" s="10" t="s">
        <v>5107</v>
      </c>
      <c r="C481" s="13">
        <v>8355</v>
      </c>
      <c r="D481" s="139"/>
      <c r="H481" s="139"/>
      <c r="I481" s="109" t="s">
        <v>5605</v>
      </c>
      <c r="J481" s="109" t="s">
        <v>3765</v>
      </c>
    </row>
    <row r="482" spans="2:10" x14ac:dyDescent="0.25">
      <c r="B482" s="10" t="s">
        <v>5108</v>
      </c>
      <c r="C482" s="13">
        <v>8356</v>
      </c>
      <c r="D482" s="139"/>
      <c r="H482" s="139"/>
      <c r="I482" s="109" t="s">
        <v>5606</v>
      </c>
      <c r="J482" s="109" t="s">
        <v>3766</v>
      </c>
    </row>
    <row r="483" spans="2:10" x14ac:dyDescent="0.25">
      <c r="B483" s="10" t="s">
        <v>5109</v>
      </c>
      <c r="C483" s="13">
        <v>8357</v>
      </c>
      <c r="D483" s="139"/>
      <c r="H483" s="139"/>
      <c r="I483" s="109" t="s">
        <v>5607</v>
      </c>
      <c r="J483" s="109" t="s">
        <v>3767</v>
      </c>
    </row>
    <row r="484" spans="2:10" x14ac:dyDescent="0.25">
      <c r="B484" s="10" t="s">
        <v>5110</v>
      </c>
      <c r="C484" s="13">
        <v>8358</v>
      </c>
      <c r="D484" s="139"/>
      <c r="H484" s="139"/>
      <c r="I484" s="109" t="s">
        <v>5608</v>
      </c>
      <c r="J484" s="109" t="s">
        <v>3768</v>
      </c>
    </row>
    <row r="485" spans="2:10" x14ac:dyDescent="0.25">
      <c r="B485" s="10" t="s">
        <v>5111</v>
      </c>
      <c r="C485" s="13">
        <v>8359</v>
      </c>
      <c r="D485" s="139"/>
      <c r="H485" s="139"/>
      <c r="I485" s="109" t="s">
        <v>5609</v>
      </c>
      <c r="J485" s="109" t="s">
        <v>3769</v>
      </c>
    </row>
    <row r="486" spans="2:10" x14ac:dyDescent="0.25">
      <c r="B486" s="10" t="s">
        <v>5112</v>
      </c>
      <c r="C486" s="13">
        <v>8360</v>
      </c>
      <c r="D486" s="139"/>
      <c r="H486" s="139"/>
      <c r="I486" s="109" t="s">
        <v>5610</v>
      </c>
      <c r="J486" s="109" t="s">
        <v>3770</v>
      </c>
    </row>
    <row r="487" spans="2:10" x14ac:dyDescent="0.25">
      <c r="B487" s="10" t="s">
        <v>5113</v>
      </c>
      <c r="C487" s="13">
        <v>8361</v>
      </c>
      <c r="D487" s="139"/>
      <c r="H487" s="139"/>
      <c r="I487" s="109" t="s">
        <v>5611</v>
      </c>
      <c r="J487" s="109" t="s">
        <v>3771</v>
      </c>
    </row>
    <row r="488" spans="2:10" x14ac:dyDescent="0.25">
      <c r="B488" s="10" t="s">
        <v>5114</v>
      </c>
      <c r="C488" s="13">
        <v>8362</v>
      </c>
      <c r="D488" s="139"/>
      <c r="H488" s="139"/>
      <c r="I488" s="109" t="s">
        <v>5612</v>
      </c>
      <c r="J488" s="109" t="s">
        <v>3772</v>
      </c>
    </row>
    <row r="489" spans="2:10" x14ac:dyDescent="0.25">
      <c r="B489" s="10" t="s">
        <v>5115</v>
      </c>
      <c r="C489" s="13">
        <v>8363</v>
      </c>
      <c r="D489" s="139"/>
      <c r="H489" s="139"/>
      <c r="I489" s="109" t="s">
        <v>5613</v>
      </c>
      <c r="J489" s="109" t="s">
        <v>3773</v>
      </c>
    </row>
    <row r="490" spans="2:10" x14ac:dyDescent="0.25">
      <c r="B490" s="10" t="s">
        <v>5116</v>
      </c>
      <c r="C490" s="13">
        <v>8364</v>
      </c>
      <c r="D490" s="139"/>
      <c r="H490" s="139"/>
      <c r="I490" s="109" t="s">
        <v>5614</v>
      </c>
      <c r="J490" s="109" t="s">
        <v>3774</v>
      </c>
    </row>
    <row r="491" spans="2:10" x14ac:dyDescent="0.25">
      <c r="B491" s="10" t="s">
        <v>5117</v>
      </c>
      <c r="C491" s="13">
        <v>99</v>
      </c>
      <c r="D491" s="139"/>
      <c r="H491" s="139"/>
      <c r="I491" s="109" t="s">
        <v>5615</v>
      </c>
      <c r="J491" s="109" t="s">
        <v>3775</v>
      </c>
    </row>
    <row r="492" spans="2:10" x14ac:dyDescent="0.25">
      <c r="B492" s="10" t="s">
        <v>5118</v>
      </c>
      <c r="C492" s="13">
        <v>61</v>
      </c>
      <c r="D492" s="139"/>
      <c r="H492" s="139"/>
      <c r="I492" s="109" t="s">
        <v>5616</v>
      </c>
      <c r="J492" s="109" t="s">
        <v>3776</v>
      </c>
    </row>
    <row r="493" spans="2:10" x14ac:dyDescent="0.25">
      <c r="B493" s="10" t="s">
        <v>5119</v>
      </c>
      <c r="C493" s="13">
        <v>62</v>
      </c>
      <c r="D493" s="139"/>
      <c r="H493" s="139"/>
      <c r="I493" s="109" t="s">
        <v>5617</v>
      </c>
      <c r="J493" s="109" t="s">
        <v>3777</v>
      </c>
    </row>
    <row r="494" spans="2:10" x14ac:dyDescent="0.25">
      <c r="B494" s="10" t="s">
        <v>5120</v>
      </c>
      <c r="C494" s="13">
        <v>63</v>
      </c>
      <c r="D494" s="139"/>
      <c r="H494" s="139"/>
      <c r="I494" s="109" t="s">
        <v>5618</v>
      </c>
      <c r="J494" s="109" t="s">
        <v>3778</v>
      </c>
    </row>
    <row r="495" spans="2:10" x14ac:dyDescent="0.25">
      <c r="B495" s="10" t="s">
        <v>5121</v>
      </c>
      <c r="C495" s="13">
        <v>999</v>
      </c>
      <c r="D495" s="139"/>
      <c r="H495" s="139"/>
      <c r="I495" s="109" t="s">
        <v>5619</v>
      </c>
      <c r="J495" s="109" t="s">
        <v>3779</v>
      </c>
    </row>
    <row r="496" spans="2:10" x14ac:dyDescent="0.25">
      <c r="B496" s="10" t="s">
        <v>5122</v>
      </c>
      <c r="C496" s="13">
        <v>202</v>
      </c>
      <c r="D496" s="139"/>
      <c r="H496" s="139"/>
      <c r="I496" s="109" t="s">
        <v>5620</v>
      </c>
      <c r="J496" s="109" t="s">
        <v>3780</v>
      </c>
    </row>
    <row r="497" spans="2:10" x14ac:dyDescent="0.25">
      <c r="B497" s="10" t="s">
        <v>5123</v>
      </c>
      <c r="C497" s="13">
        <v>600</v>
      </c>
      <c r="D497" s="139"/>
      <c r="H497" s="139"/>
      <c r="I497" s="109" t="s">
        <v>5621</v>
      </c>
      <c r="J497" s="109" t="s">
        <v>3781</v>
      </c>
    </row>
    <row r="498" spans="2:10" x14ac:dyDescent="0.25">
      <c r="B498" s="10" t="s">
        <v>5124</v>
      </c>
      <c r="C498" s="13">
        <v>800</v>
      </c>
      <c r="D498" s="139"/>
      <c r="H498" s="139"/>
      <c r="I498" s="109" t="s">
        <v>5622</v>
      </c>
      <c r="J498" s="109" t="s">
        <v>3782</v>
      </c>
    </row>
    <row r="499" spans="2:10" ht="15.75" thickBot="1" x14ac:dyDescent="0.3">
      <c r="B499" s="11" t="s">
        <v>5125</v>
      </c>
      <c r="C499" s="14">
        <v>900</v>
      </c>
      <c r="D499" s="139"/>
      <c r="H499" s="139"/>
      <c r="I499" s="109" t="s">
        <v>5623</v>
      </c>
      <c r="J499" s="109" t="s">
        <v>3783</v>
      </c>
    </row>
    <row r="500" spans="2:10" ht="15.75" thickBot="1" x14ac:dyDescent="0.3">
      <c r="H500" s="139"/>
      <c r="I500" s="109" t="s">
        <v>5624</v>
      </c>
      <c r="J500" s="109" t="s">
        <v>3784</v>
      </c>
    </row>
    <row r="501" spans="2:10" ht="16.5" thickBot="1" x14ac:dyDescent="0.3">
      <c r="B501" s="76" t="s">
        <v>55</v>
      </c>
      <c r="C501" s="17"/>
      <c r="H501" s="139"/>
      <c r="I501" s="109" t="s">
        <v>5625</v>
      </c>
      <c r="J501" s="109" t="s">
        <v>3785</v>
      </c>
    </row>
    <row r="502" spans="2:10" x14ac:dyDescent="0.25">
      <c r="B502" s="20" t="s">
        <v>56</v>
      </c>
      <c r="C502" s="18" t="s">
        <v>57</v>
      </c>
      <c r="H502" s="139"/>
      <c r="I502" s="109" t="s">
        <v>5626</v>
      </c>
      <c r="J502" s="109" t="s">
        <v>3786</v>
      </c>
    </row>
    <row r="503" spans="2:10" x14ac:dyDescent="0.25">
      <c r="B503" s="21" t="s">
        <v>58</v>
      </c>
      <c r="C503" s="18" t="s">
        <v>59</v>
      </c>
      <c r="H503" s="139"/>
      <c r="I503" s="109" t="s">
        <v>5627</v>
      </c>
      <c r="J503" s="109" t="s">
        <v>3787</v>
      </c>
    </row>
    <row r="504" spans="2:10" x14ac:dyDescent="0.25">
      <c r="B504" s="21" t="s">
        <v>3263</v>
      </c>
      <c r="C504" s="18" t="s">
        <v>60</v>
      </c>
      <c r="H504" s="139"/>
      <c r="I504" s="109" t="s">
        <v>5628</v>
      </c>
      <c r="J504" s="109" t="s">
        <v>3788</v>
      </c>
    </row>
    <row r="505" spans="2:10" ht="24" x14ac:dyDescent="0.25">
      <c r="B505" s="21" t="s">
        <v>3262</v>
      </c>
      <c r="C505" s="18" t="s">
        <v>62</v>
      </c>
      <c r="H505" s="139"/>
      <c r="I505" s="109" t="s">
        <v>5629</v>
      </c>
      <c r="J505" s="109" t="s">
        <v>3789</v>
      </c>
    </row>
    <row r="506" spans="2:10" x14ac:dyDescent="0.25">
      <c r="B506" s="21" t="s">
        <v>61</v>
      </c>
      <c r="C506" s="18" t="s">
        <v>63</v>
      </c>
      <c r="H506" s="139"/>
      <c r="I506" s="109" t="s">
        <v>5630</v>
      </c>
      <c r="J506" s="109" t="s">
        <v>3790</v>
      </c>
    </row>
    <row r="507" spans="2:10" x14ac:dyDescent="0.25">
      <c r="B507" s="21" t="s">
        <v>64</v>
      </c>
      <c r="C507" s="18" t="s">
        <v>65</v>
      </c>
      <c r="H507" s="139"/>
      <c r="I507" s="109" t="s">
        <v>5631</v>
      </c>
      <c r="J507" s="109" t="s">
        <v>3791</v>
      </c>
    </row>
    <row r="508" spans="2:10" x14ac:dyDescent="0.25">
      <c r="B508" s="21" t="s">
        <v>66</v>
      </c>
      <c r="C508" s="18" t="s">
        <v>67</v>
      </c>
      <c r="H508" s="139"/>
      <c r="I508" s="109" t="s">
        <v>5632</v>
      </c>
      <c r="J508" s="109" t="s">
        <v>3792</v>
      </c>
    </row>
    <row r="509" spans="2:10" x14ac:dyDescent="0.25">
      <c r="B509" s="21" t="s">
        <v>68</v>
      </c>
      <c r="C509" s="18" t="s">
        <v>69</v>
      </c>
      <c r="H509" s="139"/>
      <c r="I509" s="109" t="s">
        <v>5633</v>
      </c>
      <c r="J509" s="109" t="s">
        <v>3793</v>
      </c>
    </row>
    <row r="510" spans="2:10" x14ac:dyDescent="0.25">
      <c r="B510" s="21" t="s">
        <v>70</v>
      </c>
      <c r="C510" s="18" t="s">
        <v>71</v>
      </c>
      <c r="H510" s="139"/>
      <c r="I510" s="109" t="s">
        <v>5634</v>
      </c>
      <c r="J510" s="109" t="s">
        <v>3794</v>
      </c>
    </row>
    <row r="511" spans="2:10" x14ac:dyDescent="0.25">
      <c r="B511" s="21" t="s">
        <v>72</v>
      </c>
      <c r="C511" s="18" t="s">
        <v>73</v>
      </c>
      <c r="H511" s="139"/>
      <c r="I511" s="109" t="s">
        <v>5635</v>
      </c>
      <c r="J511" s="109" t="s">
        <v>3795</v>
      </c>
    </row>
    <row r="512" spans="2:10" x14ac:dyDescent="0.25">
      <c r="B512" s="21" t="s">
        <v>74</v>
      </c>
      <c r="C512" s="18" t="s">
        <v>75</v>
      </c>
      <c r="H512" s="139"/>
      <c r="I512" s="109" t="s">
        <v>5636</v>
      </c>
      <c r="J512" s="109" t="s">
        <v>3796</v>
      </c>
    </row>
    <row r="513" spans="2:10" x14ac:dyDescent="0.25">
      <c r="B513" s="21" t="s">
        <v>76</v>
      </c>
      <c r="C513" s="18" t="s">
        <v>77</v>
      </c>
      <c r="H513" s="139"/>
      <c r="I513" s="109" t="s">
        <v>5637</v>
      </c>
      <c r="J513" s="109" t="s">
        <v>3797</v>
      </c>
    </row>
    <row r="514" spans="2:10" x14ac:dyDescent="0.25">
      <c r="B514" s="21" t="s">
        <v>78</v>
      </c>
      <c r="C514" s="18" t="s">
        <v>79</v>
      </c>
      <c r="H514" s="139"/>
      <c r="I514" s="109" t="s">
        <v>5638</v>
      </c>
      <c r="J514" s="109" t="s">
        <v>3798</v>
      </c>
    </row>
    <row r="515" spans="2:10" x14ac:dyDescent="0.25">
      <c r="B515" s="21" t="s">
        <v>80</v>
      </c>
      <c r="C515" s="18" t="s">
        <v>81</v>
      </c>
      <c r="H515" s="139"/>
      <c r="I515" s="109" t="s">
        <v>5639</v>
      </c>
      <c r="J515" s="109" t="s">
        <v>3799</v>
      </c>
    </row>
    <row r="516" spans="2:10" x14ac:dyDescent="0.25">
      <c r="B516" s="21" t="s">
        <v>82</v>
      </c>
      <c r="C516" s="18" t="s">
        <v>83</v>
      </c>
      <c r="H516" s="139"/>
      <c r="I516" s="109" t="s">
        <v>5640</v>
      </c>
      <c r="J516" s="109" t="s">
        <v>3800</v>
      </c>
    </row>
    <row r="517" spans="2:10" x14ac:dyDescent="0.25">
      <c r="B517" s="21" t="s">
        <v>84</v>
      </c>
      <c r="C517" s="18" t="s">
        <v>85</v>
      </c>
      <c r="H517" s="139"/>
      <c r="I517" s="109" t="s">
        <v>5641</v>
      </c>
      <c r="J517" s="109" t="s">
        <v>3801</v>
      </c>
    </row>
    <row r="518" spans="2:10" x14ac:dyDescent="0.25">
      <c r="B518" s="21" t="s">
        <v>86</v>
      </c>
      <c r="C518" s="18" t="s">
        <v>86</v>
      </c>
      <c r="H518" s="139"/>
      <c r="I518" s="109" t="s">
        <v>5642</v>
      </c>
      <c r="J518" s="109" t="s">
        <v>3802</v>
      </c>
    </row>
    <row r="519" spans="2:10" x14ac:dyDescent="0.25">
      <c r="B519" s="21" t="s">
        <v>87</v>
      </c>
      <c r="C519" s="18" t="s">
        <v>88</v>
      </c>
      <c r="H519" s="139"/>
      <c r="I519" s="109" t="s">
        <v>5643</v>
      </c>
      <c r="J519" s="109" t="s">
        <v>3803</v>
      </c>
    </row>
    <row r="520" spans="2:10" x14ac:dyDescent="0.25">
      <c r="B520" s="21" t="s">
        <v>89</v>
      </c>
      <c r="C520" s="18" t="s">
        <v>90</v>
      </c>
      <c r="H520" s="139"/>
      <c r="I520" s="109" t="s">
        <v>5644</v>
      </c>
      <c r="J520" s="109" t="s">
        <v>3804</v>
      </c>
    </row>
    <row r="521" spans="2:10" x14ac:dyDescent="0.25">
      <c r="B521" s="21" t="s">
        <v>91</v>
      </c>
      <c r="C521" s="18" t="s">
        <v>92</v>
      </c>
      <c r="H521" s="139"/>
      <c r="I521" s="109" t="s">
        <v>5645</v>
      </c>
      <c r="J521" s="109" t="s">
        <v>3805</v>
      </c>
    </row>
    <row r="522" spans="2:10" x14ac:dyDescent="0.25">
      <c r="B522" s="21" t="s">
        <v>93</v>
      </c>
      <c r="C522" s="18" t="s">
        <v>94</v>
      </c>
      <c r="H522" s="139"/>
      <c r="I522" s="109" t="s">
        <v>5646</v>
      </c>
      <c r="J522" s="109" t="s">
        <v>3806</v>
      </c>
    </row>
    <row r="523" spans="2:10" x14ac:dyDescent="0.25">
      <c r="B523" s="21" t="s">
        <v>95</v>
      </c>
      <c r="C523" s="18" t="s">
        <v>96</v>
      </c>
      <c r="H523" s="139"/>
      <c r="I523" s="109" t="s">
        <v>5647</v>
      </c>
      <c r="J523" s="109" t="s">
        <v>3807</v>
      </c>
    </row>
    <row r="524" spans="2:10" x14ac:dyDescent="0.25">
      <c r="B524" s="21" t="s">
        <v>97</v>
      </c>
      <c r="C524" s="18" t="s">
        <v>98</v>
      </c>
      <c r="H524" s="139"/>
      <c r="I524" s="109" t="s">
        <v>5648</v>
      </c>
      <c r="J524" s="109" t="s">
        <v>3808</v>
      </c>
    </row>
    <row r="525" spans="2:10" x14ac:dyDescent="0.25">
      <c r="B525" s="21" t="s">
        <v>99</v>
      </c>
      <c r="C525" s="18" t="s">
        <v>100</v>
      </c>
      <c r="H525" s="139"/>
      <c r="I525" s="109" t="s">
        <v>5649</v>
      </c>
      <c r="J525" s="109" t="s">
        <v>3809</v>
      </c>
    </row>
    <row r="526" spans="2:10" x14ac:dyDescent="0.25">
      <c r="B526" s="21" t="s">
        <v>101</v>
      </c>
      <c r="C526" s="18" t="s">
        <v>102</v>
      </c>
      <c r="H526" s="139"/>
      <c r="I526" s="109" t="s">
        <v>5650</v>
      </c>
      <c r="J526" s="109" t="s">
        <v>3810</v>
      </c>
    </row>
    <row r="527" spans="2:10" x14ac:dyDescent="0.25">
      <c r="B527" s="21" t="s">
        <v>103</v>
      </c>
      <c r="C527" s="18" t="s">
        <v>104</v>
      </c>
      <c r="H527" s="139"/>
      <c r="I527" s="109" t="s">
        <v>5651</v>
      </c>
      <c r="J527" s="109" t="s">
        <v>3811</v>
      </c>
    </row>
    <row r="528" spans="2:10" x14ac:dyDescent="0.25">
      <c r="B528" s="21" t="s">
        <v>105</v>
      </c>
      <c r="C528" s="18" t="s">
        <v>106</v>
      </c>
      <c r="H528" s="139"/>
      <c r="I528" s="109" t="s">
        <v>5652</v>
      </c>
      <c r="J528" s="109" t="s">
        <v>3812</v>
      </c>
    </row>
    <row r="529" spans="2:10" x14ac:dyDescent="0.25">
      <c r="B529" s="21" t="s">
        <v>107</v>
      </c>
      <c r="C529" s="18" t="s">
        <v>108</v>
      </c>
      <c r="H529" s="139"/>
      <c r="I529" s="109" t="s">
        <v>5653</v>
      </c>
      <c r="J529" s="109" t="s">
        <v>3813</v>
      </c>
    </row>
    <row r="530" spans="2:10" x14ac:dyDescent="0.25">
      <c r="B530" s="21" t="s">
        <v>109</v>
      </c>
      <c r="C530" s="18" t="s">
        <v>110</v>
      </c>
      <c r="H530" s="139"/>
      <c r="I530" s="109" t="s">
        <v>5654</v>
      </c>
      <c r="J530" s="109" t="s">
        <v>3814</v>
      </c>
    </row>
    <row r="531" spans="2:10" x14ac:dyDescent="0.25">
      <c r="B531" s="21" t="s">
        <v>111</v>
      </c>
      <c r="C531" s="18" t="s">
        <v>112</v>
      </c>
      <c r="H531" s="139"/>
      <c r="I531" s="109" t="s">
        <v>5655</v>
      </c>
      <c r="J531" s="109" t="s">
        <v>3815</v>
      </c>
    </row>
    <row r="532" spans="2:10" x14ac:dyDescent="0.25">
      <c r="B532" s="21" t="s">
        <v>113</v>
      </c>
      <c r="C532" s="18" t="s">
        <v>114</v>
      </c>
      <c r="H532" s="139"/>
      <c r="I532" s="109" t="s">
        <v>5656</v>
      </c>
      <c r="J532" s="109" t="s">
        <v>3816</v>
      </c>
    </row>
    <row r="533" spans="2:10" x14ac:dyDescent="0.25">
      <c r="B533" s="21" t="s">
        <v>115</v>
      </c>
      <c r="C533" s="18" t="s">
        <v>116</v>
      </c>
      <c r="H533" s="139"/>
      <c r="I533" s="109" t="s">
        <v>5657</v>
      </c>
      <c r="J533" s="109" t="s">
        <v>3817</v>
      </c>
    </row>
    <row r="534" spans="2:10" x14ac:dyDescent="0.25">
      <c r="B534" s="21" t="s">
        <v>117</v>
      </c>
      <c r="C534" s="18" t="s">
        <v>118</v>
      </c>
      <c r="H534" s="139"/>
      <c r="I534" s="109" t="s">
        <v>5658</v>
      </c>
      <c r="J534" s="109" t="s">
        <v>3818</v>
      </c>
    </row>
    <row r="535" spans="2:10" x14ac:dyDescent="0.25">
      <c r="B535" s="21" t="s">
        <v>119</v>
      </c>
      <c r="C535" s="18" t="s">
        <v>120</v>
      </c>
      <c r="H535" s="139"/>
      <c r="I535" s="109" t="s">
        <v>5659</v>
      </c>
      <c r="J535" s="109" t="s">
        <v>3819</v>
      </c>
    </row>
    <row r="536" spans="2:10" ht="24" x14ac:dyDescent="0.25">
      <c r="B536" s="21" t="s">
        <v>121</v>
      </c>
      <c r="C536" s="18" t="s">
        <v>122</v>
      </c>
      <c r="H536" s="139"/>
      <c r="I536" s="109" t="s">
        <v>5660</v>
      </c>
      <c r="J536" s="109" t="s">
        <v>3820</v>
      </c>
    </row>
    <row r="537" spans="2:10" ht="24" x14ac:dyDescent="0.25">
      <c r="B537" s="21" t="s">
        <v>123</v>
      </c>
      <c r="C537" s="18" t="s">
        <v>124</v>
      </c>
      <c r="H537" s="139"/>
      <c r="I537" s="109" t="s">
        <v>5661</v>
      </c>
      <c r="J537" s="109" t="s">
        <v>3821</v>
      </c>
    </row>
    <row r="538" spans="2:10" ht="24" x14ac:dyDescent="0.25">
      <c r="B538" s="21" t="s">
        <v>125</v>
      </c>
      <c r="C538" s="18" t="s">
        <v>126</v>
      </c>
      <c r="H538" s="139"/>
      <c r="I538" s="109" t="s">
        <v>5662</v>
      </c>
      <c r="J538" s="109" t="s">
        <v>3822</v>
      </c>
    </row>
    <row r="539" spans="2:10" x14ac:dyDescent="0.25">
      <c r="B539" s="21" t="s">
        <v>127</v>
      </c>
      <c r="C539" s="18" t="s">
        <v>128</v>
      </c>
      <c r="H539" s="139"/>
      <c r="I539" s="109" t="s">
        <v>5663</v>
      </c>
      <c r="J539" s="109" t="s">
        <v>3823</v>
      </c>
    </row>
    <row r="540" spans="2:10" ht="24" x14ac:dyDescent="0.25">
      <c r="B540" s="21" t="s">
        <v>129</v>
      </c>
      <c r="C540" s="18" t="s">
        <v>130</v>
      </c>
      <c r="H540" s="139"/>
      <c r="I540" s="109" t="s">
        <v>5664</v>
      </c>
      <c r="J540" s="109" t="s">
        <v>3824</v>
      </c>
    </row>
    <row r="541" spans="2:10" x14ac:dyDescent="0.25">
      <c r="B541" s="21" t="s">
        <v>131</v>
      </c>
      <c r="C541" s="18" t="s">
        <v>132</v>
      </c>
      <c r="H541" s="139"/>
      <c r="I541" s="109" t="s">
        <v>5665</v>
      </c>
      <c r="J541" s="109" t="s">
        <v>3825</v>
      </c>
    </row>
    <row r="542" spans="2:10" x14ac:dyDescent="0.25">
      <c r="B542" s="21" t="s">
        <v>133</v>
      </c>
      <c r="C542" s="18" t="s">
        <v>134</v>
      </c>
      <c r="H542" s="139"/>
      <c r="I542" s="109" t="s">
        <v>5666</v>
      </c>
      <c r="J542" s="109" t="s">
        <v>3826</v>
      </c>
    </row>
    <row r="543" spans="2:10" x14ac:dyDescent="0.25">
      <c r="B543" s="21" t="s">
        <v>135</v>
      </c>
      <c r="C543" s="18" t="s">
        <v>136</v>
      </c>
      <c r="H543" s="139"/>
      <c r="I543" s="109" t="s">
        <v>5667</v>
      </c>
      <c r="J543" s="109" t="s">
        <v>3827</v>
      </c>
    </row>
    <row r="544" spans="2:10" x14ac:dyDescent="0.25">
      <c r="B544" s="21" t="s">
        <v>137</v>
      </c>
      <c r="C544" s="18" t="s">
        <v>138</v>
      </c>
      <c r="H544" s="139"/>
      <c r="I544" s="109" t="s">
        <v>5668</v>
      </c>
      <c r="J544" s="109" t="s">
        <v>3828</v>
      </c>
    </row>
    <row r="545" spans="2:10" x14ac:dyDescent="0.25">
      <c r="B545" s="21" t="s">
        <v>139</v>
      </c>
      <c r="C545" s="18" t="s">
        <v>139</v>
      </c>
      <c r="H545" s="139"/>
      <c r="I545" s="109" t="s">
        <v>5669</v>
      </c>
      <c r="J545" s="109" t="s">
        <v>3829</v>
      </c>
    </row>
    <row r="546" spans="2:10" x14ac:dyDescent="0.25">
      <c r="B546" s="21" t="s">
        <v>140</v>
      </c>
      <c r="C546" s="18" t="s">
        <v>141</v>
      </c>
      <c r="H546" s="139"/>
      <c r="I546" s="109" t="s">
        <v>5670</v>
      </c>
      <c r="J546" s="109" t="s">
        <v>3830</v>
      </c>
    </row>
    <row r="547" spans="2:10" ht="15.75" thickBot="1" x14ac:dyDescent="0.3">
      <c r="B547" s="22" t="s">
        <v>142</v>
      </c>
      <c r="C547" s="19" t="s">
        <v>143</v>
      </c>
      <c r="H547" s="139"/>
      <c r="I547" s="109" t="s">
        <v>5671</v>
      </c>
      <c r="J547" s="109" t="s">
        <v>3831</v>
      </c>
    </row>
    <row r="548" spans="2:10" ht="15.75" thickBot="1" x14ac:dyDescent="0.3">
      <c r="H548" s="139"/>
      <c r="I548" s="109" t="s">
        <v>5672</v>
      </c>
      <c r="J548" s="109" t="s">
        <v>3832</v>
      </c>
    </row>
    <row r="549" spans="2:10" ht="16.5" thickBot="1" x14ac:dyDescent="0.3">
      <c r="B549" s="76" t="s">
        <v>3276</v>
      </c>
      <c r="C549" s="17"/>
      <c r="D549" s="107"/>
      <c r="H549" s="139"/>
      <c r="I549" s="109" t="s">
        <v>5673</v>
      </c>
      <c r="J549" s="109" t="s">
        <v>3833</v>
      </c>
    </row>
    <row r="550" spans="2:10" x14ac:dyDescent="0.25">
      <c r="B550" s="106" t="s">
        <v>6176</v>
      </c>
      <c r="C550" s="105">
        <v>751</v>
      </c>
      <c r="D550" s="106"/>
      <c r="H550" s="139"/>
      <c r="I550" s="109" t="s">
        <v>5674</v>
      </c>
      <c r="J550" s="109" t="s">
        <v>3834</v>
      </c>
    </row>
    <row r="551" spans="2:10" x14ac:dyDescent="0.25">
      <c r="B551" s="106" t="s">
        <v>6177</v>
      </c>
      <c r="C551" s="105">
        <v>1075</v>
      </c>
      <c r="D551" s="106"/>
      <c r="E551" s="139"/>
      <c r="H551" s="139"/>
      <c r="I551" s="109" t="s">
        <v>5675</v>
      </c>
      <c r="J551" s="109" t="s">
        <v>3835</v>
      </c>
    </row>
    <row r="552" spans="2:10" x14ac:dyDescent="0.25">
      <c r="B552" s="106" t="s">
        <v>6178</v>
      </c>
      <c r="C552" s="105">
        <v>521</v>
      </c>
      <c r="D552" s="106"/>
      <c r="E552" s="139"/>
      <c r="H552" s="139"/>
      <c r="I552" s="109" t="s">
        <v>5676</v>
      </c>
      <c r="J552" s="109" t="s">
        <v>3836</v>
      </c>
    </row>
    <row r="553" spans="2:10" x14ac:dyDescent="0.25">
      <c r="B553" s="106" t="s">
        <v>6179</v>
      </c>
      <c r="C553" s="105">
        <v>842</v>
      </c>
      <c r="D553" s="106"/>
      <c r="E553" s="139"/>
      <c r="H553" s="139"/>
      <c r="I553" s="109" t="s">
        <v>5677</v>
      </c>
      <c r="J553" s="109" t="s">
        <v>3837</v>
      </c>
    </row>
    <row r="554" spans="2:10" x14ac:dyDescent="0.25">
      <c r="B554" s="106" t="s">
        <v>6180</v>
      </c>
      <c r="C554" s="105">
        <v>843</v>
      </c>
      <c r="D554" s="106"/>
      <c r="E554" s="139"/>
      <c r="H554" s="139"/>
      <c r="I554" s="109" t="s">
        <v>5678</v>
      </c>
      <c r="J554" s="109" t="s">
        <v>3838</v>
      </c>
    </row>
    <row r="555" spans="2:10" x14ac:dyDescent="0.25">
      <c r="B555" s="106" t="s">
        <v>6181</v>
      </c>
      <c r="C555" s="105">
        <v>1407</v>
      </c>
      <c r="D555" s="106"/>
      <c r="E555" s="139"/>
      <c r="H555" s="139"/>
      <c r="I555" s="109" t="s">
        <v>5679</v>
      </c>
      <c r="J555" s="109" t="s">
        <v>3839</v>
      </c>
    </row>
    <row r="556" spans="2:10" x14ac:dyDescent="0.25">
      <c r="B556" s="106" t="s">
        <v>6182</v>
      </c>
      <c r="C556" s="105">
        <v>460</v>
      </c>
      <c r="D556" s="106"/>
      <c r="E556" s="139"/>
      <c r="H556" s="139"/>
      <c r="I556" s="109" t="s">
        <v>5680</v>
      </c>
      <c r="J556" s="109" t="s">
        <v>3840</v>
      </c>
    </row>
    <row r="557" spans="2:10" x14ac:dyDescent="0.25">
      <c r="B557" s="106" t="s">
        <v>6183</v>
      </c>
      <c r="C557" s="105">
        <v>287</v>
      </c>
      <c r="D557" s="106"/>
      <c r="E557" s="139"/>
      <c r="H557" s="139"/>
      <c r="I557" s="109" t="s">
        <v>5681</v>
      </c>
      <c r="J557" s="109" t="s">
        <v>3841</v>
      </c>
    </row>
    <row r="558" spans="2:10" x14ac:dyDescent="0.25">
      <c r="B558" s="106" t="s">
        <v>6184</v>
      </c>
      <c r="C558" s="105">
        <v>1290</v>
      </c>
      <c r="D558" s="106"/>
      <c r="E558" s="139"/>
      <c r="H558" s="139"/>
      <c r="I558" s="109" t="s">
        <v>5682</v>
      </c>
      <c r="J558" s="109" t="s">
        <v>3842</v>
      </c>
    </row>
    <row r="559" spans="2:10" x14ac:dyDescent="0.25">
      <c r="B559" s="106" t="s">
        <v>6185</v>
      </c>
      <c r="C559" s="105">
        <v>734</v>
      </c>
      <c r="D559" s="106"/>
      <c r="E559" s="139"/>
      <c r="H559" s="139"/>
      <c r="I559" s="109" t="s">
        <v>5683</v>
      </c>
      <c r="J559" s="109" t="s">
        <v>3843</v>
      </c>
    </row>
    <row r="560" spans="2:10" x14ac:dyDescent="0.25">
      <c r="B560" s="106" t="s">
        <v>6186</v>
      </c>
      <c r="C560" s="105">
        <v>1449</v>
      </c>
      <c r="D560" s="106"/>
      <c r="E560" s="139"/>
      <c r="H560" s="139"/>
      <c r="I560" s="109" t="s">
        <v>5684</v>
      </c>
      <c r="J560" s="109" t="s">
        <v>3844</v>
      </c>
    </row>
    <row r="561" spans="2:10" x14ac:dyDescent="0.25">
      <c r="B561" s="106" t="s">
        <v>6187</v>
      </c>
      <c r="C561" s="105">
        <v>1224</v>
      </c>
      <c r="D561" s="106"/>
      <c r="E561" s="139"/>
      <c r="H561" s="139"/>
      <c r="I561" s="109" t="s">
        <v>5685</v>
      </c>
      <c r="J561" s="109" t="s">
        <v>3845</v>
      </c>
    </row>
    <row r="562" spans="2:10" x14ac:dyDescent="0.25">
      <c r="B562" s="106" t="s">
        <v>6188</v>
      </c>
      <c r="C562" s="105">
        <v>1227</v>
      </c>
      <c r="D562" s="106"/>
      <c r="E562" s="139"/>
      <c r="H562" s="139"/>
      <c r="I562" s="109" t="s">
        <v>5686</v>
      </c>
      <c r="J562" s="109" t="s">
        <v>3846</v>
      </c>
    </row>
    <row r="563" spans="2:10" x14ac:dyDescent="0.25">
      <c r="B563" s="106" t="s">
        <v>6189</v>
      </c>
      <c r="C563" s="105">
        <v>861</v>
      </c>
      <c r="D563" s="106"/>
      <c r="E563" s="139"/>
      <c r="H563" s="139"/>
      <c r="I563" s="109" t="s">
        <v>5687</v>
      </c>
      <c r="J563" s="109" t="s">
        <v>3847</v>
      </c>
    </row>
    <row r="564" spans="2:10" x14ac:dyDescent="0.25">
      <c r="B564" s="106" t="s">
        <v>6190</v>
      </c>
      <c r="C564" s="105">
        <v>785</v>
      </c>
      <c r="D564" s="106"/>
      <c r="E564" s="139"/>
      <c r="H564" s="139"/>
      <c r="I564" s="109" t="s">
        <v>5688</v>
      </c>
      <c r="J564" s="109" t="s">
        <v>3848</v>
      </c>
    </row>
    <row r="565" spans="2:10" x14ac:dyDescent="0.25">
      <c r="B565" s="106" t="s">
        <v>6191</v>
      </c>
      <c r="C565" s="105">
        <v>1441</v>
      </c>
      <c r="D565" s="106"/>
      <c r="E565" s="139"/>
      <c r="H565" s="139"/>
      <c r="I565" s="109" t="s">
        <v>5689</v>
      </c>
      <c r="J565" s="109" t="s">
        <v>3849</v>
      </c>
    </row>
    <row r="566" spans="2:10" x14ac:dyDescent="0.25">
      <c r="B566" s="106" t="s">
        <v>6192</v>
      </c>
      <c r="C566" s="105">
        <v>204</v>
      </c>
      <c r="D566" s="106"/>
      <c r="E566" s="139"/>
      <c r="H566" s="139"/>
      <c r="I566" s="109" t="s">
        <v>5690</v>
      </c>
      <c r="J566" s="109" t="s">
        <v>3850</v>
      </c>
    </row>
    <row r="567" spans="2:10" x14ac:dyDescent="0.25">
      <c r="B567" s="106" t="s">
        <v>6193</v>
      </c>
      <c r="C567" s="105">
        <v>985</v>
      </c>
      <c r="D567" s="106"/>
      <c r="E567" s="139"/>
      <c r="H567" s="139"/>
      <c r="I567" s="109" t="s">
        <v>5691</v>
      </c>
      <c r="J567" s="109" t="s">
        <v>3851</v>
      </c>
    </row>
    <row r="568" spans="2:10" x14ac:dyDescent="0.25">
      <c r="B568" s="106" t="s">
        <v>6194</v>
      </c>
      <c r="C568" s="105">
        <v>1169</v>
      </c>
      <c r="D568" s="106"/>
      <c r="E568" s="139"/>
      <c r="H568" s="139"/>
      <c r="I568" s="109" t="s">
        <v>5692</v>
      </c>
      <c r="J568" s="109" t="s">
        <v>3852</v>
      </c>
    </row>
    <row r="569" spans="2:10" x14ac:dyDescent="0.25">
      <c r="B569" s="106" t="s">
        <v>6195</v>
      </c>
      <c r="C569" s="105">
        <v>1167</v>
      </c>
      <c r="D569" s="106"/>
      <c r="E569" s="139"/>
      <c r="H569" s="139"/>
      <c r="I569" s="109" t="s">
        <v>5693</v>
      </c>
      <c r="J569" s="109" t="s">
        <v>3853</v>
      </c>
    </row>
    <row r="570" spans="2:10" x14ac:dyDescent="0.25">
      <c r="B570" s="106" t="s">
        <v>6196</v>
      </c>
      <c r="C570" s="105">
        <v>659</v>
      </c>
      <c r="D570" s="106"/>
      <c r="E570" s="139"/>
      <c r="H570" s="139"/>
      <c r="I570" s="109" t="s">
        <v>5694</v>
      </c>
      <c r="J570" s="109" t="s">
        <v>3854</v>
      </c>
    </row>
    <row r="571" spans="2:10" x14ac:dyDescent="0.25">
      <c r="B571" s="106" t="s">
        <v>6197</v>
      </c>
      <c r="C571" s="105">
        <v>314</v>
      </c>
      <c r="D571" s="106"/>
      <c r="E571" s="139"/>
      <c r="H571" s="139"/>
      <c r="I571" s="109" t="s">
        <v>5695</v>
      </c>
      <c r="J571" s="109" t="s">
        <v>3855</v>
      </c>
    </row>
    <row r="572" spans="2:10" x14ac:dyDescent="0.25">
      <c r="B572" s="106" t="s">
        <v>6198</v>
      </c>
      <c r="C572" s="105">
        <v>311</v>
      </c>
      <c r="D572" s="106"/>
      <c r="E572" s="139"/>
      <c r="H572" s="139"/>
      <c r="I572" s="109" t="s">
        <v>5696</v>
      </c>
      <c r="J572" s="109" t="s">
        <v>3856</v>
      </c>
    </row>
    <row r="573" spans="2:10" x14ac:dyDescent="0.25">
      <c r="B573" s="106" t="s">
        <v>6199</v>
      </c>
      <c r="C573" s="105">
        <v>23</v>
      </c>
      <c r="D573" s="106"/>
      <c r="E573" s="139"/>
      <c r="H573" s="139"/>
      <c r="I573" s="109" t="s">
        <v>5697</v>
      </c>
      <c r="J573" s="109" t="s">
        <v>3857</v>
      </c>
    </row>
    <row r="574" spans="2:10" x14ac:dyDescent="0.25">
      <c r="B574" s="106" t="s">
        <v>6200</v>
      </c>
      <c r="C574" s="105">
        <v>284</v>
      </c>
      <c r="D574" s="106"/>
      <c r="E574" s="139"/>
      <c r="H574" s="139"/>
      <c r="I574" s="109" t="s">
        <v>5698</v>
      </c>
      <c r="J574" s="109" t="s">
        <v>3858</v>
      </c>
    </row>
    <row r="575" spans="2:10" x14ac:dyDescent="0.25">
      <c r="B575" s="106" t="s">
        <v>6201</v>
      </c>
      <c r="C575" s="105">
        <v>175</v>
      </c>
      <c r="D575" s="106"/>
      <c r="E575" s="139"/>
      <c r="H575" s="139"/>
      <c r="I575" s="109" t="s">
        <v>5699</v>
      </c>
      <c r="J575" s="109" t="s">
        <v>3859</v>
      </c>
    </row>
    <row r="576" spans="2:10" x14ac:dyDescent="0.25">
      <c r="B576" s="106" t="s">
        <v>6202</v>
      </c>
      <c r="C576" s="105">
        <v>515</v>
      </c>
      <c r="D576" s="106"/>
      <c r="E576" s="139"/>
      <c r="H576" s="139"/>
      <c r="I576" s="109" t="s">
        <v>5700</v>
      </c>
      <c r="J576" s="109" t="s">
        <v>3860</v>
      </c>
    </row>
    <row r="577" spans="2:10" x14ac:dyDescent="0.25">
      <c r="B577" s="106" t="s">
        <v>6203</v>
      </c>
      <c r="C577" s="105">
        <v>71</v>
      </c>
      <c r="D577" s="106"/>
      <c r="E577" s="139"/>
      <c r="H577" s="139"/>
      <c r="I577" s="109" t="s">
        <v>5701</v>
      </c>
      <c r="J577" s="109" t="s">
        <v>3861</v>
      </c>
    </row>
    <row r="578" spans="2:10" x14ac:dyDescent="0.25">
      <c r="B578" s="106" t="s">
        <v>6204</v>
      </c>
      <c r="C578" s="105">
        <v>197</v>
      </c>
      <c r="D578" s="106"/>
      <c r="E578" s="139"/>
      <c r="H578" s="139"/>
      <c r="I578" s="109" t="s">
        <v>5702</v>
      </c>
      <c r="J578" s="109" t="s">
        <v>3862</v>
      </c>
    </row>
    <row r="579" spans="2:10" x14ac:dyDescent="0.25">
      <c r="B579" s="106" t="s">
        <v>6205</v>
      </c>
      <c r="C579" s="105">
        <v>450</v>
      </c>
      <c r="D579" s="106"/>
      <c r="E579" s="139"/>
      <c r="H579" s="139"/>
      <c r="I579" s="109" t="s">
        <v>5703</v>
      </c>
      <c r="J579" s="109" t="s">
        <v>3863</v>
      </c>
    </row>
    <row r="580" spans="2:10" x14ac:dyDescent="0.25">
      <c r="B580" s="106" t="s">
        <v>6206</v>
      </c>
      <c r="C580" s="105">
        <v>1397</v>
      </c>
      <c r="D580" s="106"/>
      <c r="E580" s="139"/>
      <c r="H580" s="139"/>
      <c r="I580" s="109" t="s">
        <v>5704</v>
      </c>
      <c r="J580" s="109" t="s">
        <v>3864</v>
      </c>
    </row>
    <row r="581" spans="2:10" x14ac:dyDescent="0.25">
      <c r="B581" s="106" t="s">
        <v>6207</v>
      </c>
      <c r="C581" s="105">
        <v>119</v>
      </c>
      <c r="D581" s="106"/>
      <c r="E581" s="139"/>
      <c r="H581" s="139"/>
      <c r="I581" s="109" t="s">
        <v>5705</v>
      </c>
      <c r="J581" s="109" t="s">
        <v>3865</v>
      </c>
    </row>
    <row r="582" spans="2:10" x14ac:dyDescent="0.25">
      <c r="B582" s="106" t="s">
        <v>6208</v>
      </c>
      <c r="C582" s="105">
        <v>591</v>
      </c>
      <c r="D582" s="106"/>
      <c r="E582" s="139"/>
      <c r="H582" s="139"/>
      <c r="I582" s="109" t="s">
        <v>5706</v>
      </c>
      <c r="J582" s="109" t="s">
        <v>3866</v>
      </c>
    </row>
    <row r="583" spans="2:10" x14ac:dyDescent="0.25">
      <c r="B583" s="106" t="s">
        <v>6209</v>
      </c>
      <c r="C583" s="105">
        <v>545</v>
      </c>
      <c r="D583" s="106"/>
      <c r="E583" s="139"/>
      <c r="H583" s="139"/>
      <c r="I583" s="109" t="s">
        <v>5707</v>
      </c>
      <c r="J583" s="109" t="s">
        <v>3867</v>
      </c>
    </row>
    <row r="584" spans="2:10" x14ac:dyDescent="0.25">
      <c r="B584" s="106" t="s">
        <v>6210</v>
      </c>
      <c r="C584" s="105">
        <v>561</v>
      </c>
      <c r="D584" s="106"/>
      <c r="E584" s="139"/>
      <c r="H584" s="139"/>
      <c r="I584" s="109" t="s">
        <v>5708</v>
      </c>
      <c r="J584" s="109" t="s">
        <v>3868</v>
      </c>
    </row>
    <row r="585" spans="2:10" x14ac:dyDescent="0.25">
      <c r="B585" s="106" t="s">
        <v>6211</v>
      </c>
      <c r="C585" s="105">
        <v>467</v>
      </c>
      <c r="D585" s="106"/>
      <c r="E585" s="139"/>
      <c r="H585" s="139"/>
      <c r="I585" s="109" t="s">
        <v>5709</v>
      </c>
      <c r="J585" s="109" t="s">
        <v>3869</v>
      </c>
    </row>
    <row r="586" spans="2:10" x14ac:dyDescent="0.25">
      <c r="B586" s="106" t="s">
        <v>6212</v>
      </c>
      <c r="C586" s="105">
        <v>573</v>
      </c>
      <c r="D586" s="106"/>
      <c r="E586" s="139"/>
      <c r="H586" s="139"/>
      <c r="I586" s="109" t="s">
        <v>5710</v>
      </c>
      <c r="J586" s="109" t="s">
        <v>3870</v>
      </c>
    </row>
    <row r="587" spans="2:10" x14ac:dyDescent="0.25">
      <c r="B587" s="106" t="s">
        <v>6213</v>
      </c>
      <c r="C587" s="105">
        <v>575</v>
      </c>
      <c r="D587" s="106"/>
      <c r="E587" s="139"/>
      <c r="H587" s="139"/>
      <c r="I587" s="109" t="s">
        <v>5711</v>
      </c>
      <c r="J587" s="109" t="s">
        <v>3871</v>
      </c>
    </row>
    <row r="588" spans="2:10" x14ac:dyDescent="0.25">
      <c r="B588" s="106" t="s">
        <v>6214</v>
      </c>
      <c r="C588" s="105">
        <v>597</v>
      </c>
      <c r="D588" s="106"/>
      <c r="E588" s="139"/>
      <c r="H588" s="139"/>
      <c r="I588" s="109" t="s">
        <v>5712</v>
      </c>
      <c r="J588" s="109" t="s">
        <v>3872</v>
      </c>
    </row>
    <row r="589" spans="2:10" x14ac:dyDescent="0.25">
      <c r="B589" s="106" t="s">
        <v>6215</v>
      </c>
      <c r="C589" s="105">
        <v>452</v>
      </c>
      <c r="D589" s="106"/>
      <c r="E589" s="139"/>
      <c r="H589" s="139"/>
      <c r="I589" s="109" t="s">
        <v>5713</v>
      </c>
      <c r="J589" s="109" t="s">
        <v>3873</v>
      </c>
    </row>
    <row r="590" spans="2:10" x14ac:dyDescent="0.25">
      <c r="B590" s="106" t="s">
        <v>6216</v>
      </c>
      <c r="C590" s="105">
        <v>565</v>
      </c>
      <c r="D590" s="106"/>
      <c r="E590" s="139"/>
      <c r="H590" s="139"/>
      <c r="I590" s="109" t="s">
        <v>5714</v>
      </c>
      <c r="J590" s="109" t="s">
        <v>3874</v>
      </c>
    </row>
    <row r="591" spans="2:10" x14ac:dyDescent="0.25">
      <c r="B591" s="106" t="s">
        <v>6217</v>
      </c>
      <c r="C591" s="105">
        <v>694</v>
      </c>
      <c r="D591" s="106"/>
      <c r="E591" s="139"/>
      <c r="H591" s="139"/>
      <c r="I591" s="109" t="s">
        <v>5715</v>
      </c>
      <c r="J591" s="109" t="s">
        <v>3875</v>
      </c>
    </row>
    <row r="592" spans="2:10" x14ac:dyDescent="0.25">
      <c r="B592" s="106" t="s">
        <v>6218</v>
      </c>
      <c r="C592" s="105">
        <v>804</v>
      </c>
      <c r="D592" s="106"/>
      <c r="E592" s="139"/>
      <c r="H592" s="139"/>
      <c r="I592" s="109" t="s">
        <v>5716</v>
      </c>
      <c r="J592" s="109" t="s">
        <v>3876</v>
      </c>
    </row>
    <row r="593" spans="2:10" x14ac:dyDescent="0.25">
      <c r="B593" s="106" t="s">
        <v>6219</v>
      </c>
      <c r="C593" s="105">
        <v>68</v>
      </c>
      <c r="D593" s="106"/>
      <c r="E593" s="139"/>
      <c r="H593" s="139"/>
      <c r="I593" s="109" t="s">
        <v>5717</v>
      </c>
      <c r="J593" s="109" t="s">
        <v>3877</v>
      </c>
    </row>
    <row r="594" spans="2:10" x14ac:dyDescent="0.25">
      <c r="B594" s="106" t="s">
        <v>6220</v>
      </c>
      <c r="C594" s="105">
        <v>1036</v>
      </c>
      <c r="D594" s="106"/>
      <c r="E594" s="139"/>
      <c r="H594" s="139"/>
      <c r="I594" s="109" t="s">
        <v>5718</v>
      </c>
      <c r="J594" s="109" t="s">
        <v>3878</v>
      </c>
    </row>
    <row r="595" spans="2:10" x14ac:dyDescent="0.25">
      <c r="B595" s="106" t="s">
        <v>6221</v>
      </c>
      <c r="C595" s="105">
        <v>1405</v>
      </c>
      <c r="D595" s="106"/>
      <c r="E595" s="139"/>
      <c r="H595" s="139"/>
      <c r="I595" s="109" t="s">
        <v>5719</v>
      </c>
      <c r="J595" s="109" t="s">
        <v>3879</v>
      </c>
    </row>
    <row r="596" spans="2:10" x14ac:dyDescent="0.25">
      <c r="B596" s="106" t="s">
        <v>6222</v>
      </c>
      <c r="C596" s="105">
        <v>1418</v>
      </c>
      <c r="D596" s="106"/>
      <c r="E596" s="139"/>
      <c r="H596" s="139"/>
      <c r="I596" s="109" t="s">
        <v>5720</v>
      </c>
      <c r="J596" s="109" t="s">
        <v>3880</v>
      </c>
    </row>
    <row r="597" spans="2:10" x14ac:dyDescent="0.25">
      <c r="B597" s="106" t="s">
        <v>6223</v>
      </c>
      <c r="C597" s="105">
        <v>1368</v>
      </c>
      <c r="D597" s="106"/>
      <c r="E597" s="139"/>
      <c r="H597" s="139"/>
      <c r="I597" s="109" t="s">
        <v>5721</v>
      </c>
      <c r="J597" s="109" t="s">
        <v>3881</v>
      </c>
    </row>
    <row r="598" spans="2:10" x14ac:dyDescent="0.25">
      <c r="B598" s="106" t="s">
        <v>6224</v>
      </c>
      <c r="C598" s="105">
        <v>1197</v>
      </c>
      <c r="D598" s="106"/>
      <c r="E598" s="139"/>
      <c r="H598" s="139"/>
      <c r="I598" s="109" t="s">
        <v>5722</v>
      </c>
      <c r="J598" s="109" t="s">
        <v>3882</v>
      </c>
    </row>
    <row r="599" spans="2:10" x14ac:dyDescent="0.25">
      <c r="B599" s="106" t="s">
        <v>6225</v>
      </c>
      <c r="C599" s="105">
        <v>1309</v>
      </c>
      <c r="D599" s="106"/>
      <c r="E599" s="139"/>
      <c r="H599" s="139"/>
      <c r="I599" s="109" t="s">
        <v>5723</v>
      </c>
      <c r="J599" s="109" t="s">
        <v>3883</v>
      </c>
    </row>
    <row r="600" spans="2:10" x14ac:dyDescent="0.25">
      <c r="B600" s="106" t="s">
        <v>6226</v>
      </c>
      <c r="C600" s="105">
        <v>1193</v>
      </c>
      <c r="D600" s="106"/>
      <c r="E600" s="139"/>
      <c r="H600" s="139"/>
      <c r="I600" s="109" t="s">
        <v>5724</v>
      </c>
      <c r="J600" s="109" t="s">
        <v>3884</v>
      </c>
    </row>
    <row r="601" spans="2:10" x14ac:dyDescent="0.25">
      <c r="B601" s="106" t="s">
        <v>6227</v>
      </c>
      <c r="C601" s="105">
        <v>1195</v>
      </c>
      <c r="D601" s="106"/>
      <c r="E601" s="139"/>
      <c r="H601" s="139"/>
      <c r="I601" s="109" t="s">
        <v>5725</v>
      </c>
      <c r="J601" s="109" t="s">
        <v>3885</v>
      </c>
    </row>
    <row r="602" spans="2:10" x14ac:dyDescent="0.25">
      <c r="B602" s="106" t="s">
        <v>6228</v>
      </c>
      <c r="C602" s="105">
        <v>1453</v>
      </c>
      <c r="D602" s="106"/>
      <c r="E602" s="139"/>
      <c r="H602" s="139"/>
      <c r="I602" s="109" t="s">
        <v>5726</v>
      </c>
      <c r="J602" s="109" t="s">
        <v>3886</v>
      </c>
    </row>
    <row r="603" spans="2:10" x14ac:dyDescent="0.25">
      <c r="B603" s="106" t="s">
        <v>6229</v>
      </c>
      <c r="C603" s="105">
        <v>1171</v>
      </c>
      <c r="D603" s="106"/>
      <c r="E603" s="139"/>
      <c r="H603" s="139"/>
      <c r="I603" s="109" t="s">
        <v>5727</v>
      </c>
      <c r="J603" s="109" t="s">
        <v>3887</v>
      </c>
    </row>
    <row r="604" spans="2:10" x14ac:dyDescent="0.25">
      <c r="B604" s="106" t="s">
        <v>6230</v>
      </c>
      <c r="C604" s="105">
        <v>1172</v>
      </c>
      <c r="D604" s="106"/>
      <c r="E604" s="139"/>
      <c r="H604" s="139"/>
      <c r="I604" s="109" t="s">
        <v>5728</v>
      </c>
      <c r="J604" s="109" t="s">
        <v>3888</v>
      </c>
    </row>
    <row r="605" spans="2:10" x14ac:dyDescent="0.25">
      <c r="B605" s="106" t="s">
        <v>6231</v>
      </c>
      <c r="C605" s="105">
        <v>1401</v>
      </c>
      <c r="D605" s="106"/>
      <c r="E605" s="139"/>
      <c r="H605" s="139"/>
      <c r="I605" s="109" t="s">
        <v>5729</v>
      </c>
      <c r="J605" s="109" t="s">
        <v>3889</v>
      </c>
    </row>
    <row r="606" spans="2:10" x14ac:dyDescent="0.25">
      <c r="B606" s="106" t="s">
        <v>6232</v>
      </c>
      <c r="C606" s="105">
        <v>712</v>
      </c>
      <c r="D606" s="106"/>
      <c r="E606" s="139"/>
      <c r="H606" s="139"/>
      <c r="I606" s="109" t="s">
        <v>5730</v>
      </c>
      <c r="J606" s="109" t="s">
        <v>3890</v>
      </c>
    </row>
    <row r="607" spans="2:10" x14ac:dyDescent="0.25">
      <c r="B607" s="106" t="s">
        <v>6233</v>
      </c>
      <c r="C607" s="105">
        <v>747</v>
      </c>
      <c r="D607" s="106"/>
      <c r="E607" s="139"/>
      <c r="H607" s="139"/>
      <c r="I607" s="109" t="s">
        <v>5731</v>
      </c>
      <c r="J607" s="109" t="s">
        <v>3891</v>
      </c>
    </row>
    <row r="608" spans="2:10" x14ac:dyDescent="0.25">
      <c r="B608" s="106" t="s">
        <v>6234</v>
      </c>
      <c r="C608" s="105">
        <v>746</v>
      </c>
      <c r="D608" s="106"/>
      <c r="E608" s="139"/>
      <c r="H608" s="139"/>
      <c r="I608" s="109" t="s">
        <v>5732</v>
      </c>
      <c r="J608" s="109" t="s">
        <v>3892</v>
      </c>
    </row>
    <row r="609" spans="2:10" x14ac:dyDescent="0.25">
      <c r="B609" s="106" t="s">
        <v>6235</v>
      </c>
      <c r="C609" s="105">
        <v>944</v>
      </c>
      <c r="D609" s="106"/>
      <c r="E609" s="139"/>
      <c r="H609" s="139"/>
      <c r="I609" s="109" t="s">
        <v>5733</v>
      </c>
      <c r="J609" s="109" t="s">
        <v>3893</v>
      </c>
    </row>
    <row r="610" spans="2:10" x14ac:dyDescent="0.25">
      <c r="B610" s="106" t="s">
        <v>6236</v>
      </c>
      <c r="C610" s="105">
        <v>714</v>
      </c>
      <c r="D610" s="106"/>
      <c r="E610" s="139"/>
      <c r="H610" s="139"/>
      <c r="I610" s="109" t="s">
        <v>5734</v>
      </c>
      <c r="J610" s="109" t="s">
        <v>3894</v>
      </c>
    </row>
    <row r="611" spans="2:10" x14ac:dyDescent="0.25">
      <c r="B611" s="106" t="s">
        <v>6237</v>
      </c>
      <c r="C611" s="105">
        <v>987</v>
      </c>
      <c r="D611" s="106"/>
      <c r="E611" s="139"/>
      <c r="H611" s="139"/>
      <c r="I611" s="109" t="s">
        <v>5735</v>
      </c>
      <c r="J611" s="109" t="s">
        <v>3895</v>
      </c>
    </row>
    <row r="612" spans="2:10" x14ac:dyDescent="0.25">
      <c r="B612" s="106" t="s">
        <v>6238</v>
      </c>
      <c r="C612" s="105">
        <v>880</v>
      </c>
      <c r="D612" s="106"/>
      <c r="E612" s="139"/>
      <c r="H612" s="139"/>
      <c r="I612" s="109" t="s">
        <v>5736</v>
      </c>
      <c r="J612" s="109" t="s">
        <v>3896</v>
      </c>
    </row>
    <row r="613" spans="2:10" x14ac:dyDescent="0.25">
      <c r="B613" s="106" t="s">
        <v>6239</v>
      </c>
      <c r="C613" s="105">
        <v>939</v>
      </c>
      <c r="D613" s="106"/>
      <c r="E613" s="139"/>
      <c r="H613" s="139"/>
      <c r="I613" s="109" t="s">
        <v>5737</v>
      </c>
      <c r="J613" s="109" t="s">
        <v>3897</v>
      </c>
    </row>
    <row r="614" spans="2:10" x14ac:dyDescent="0.25">
      <c r="B614" s="106" t="s">
        <v>6240</v>
      </c>
      <c r="C614" s="105">
        <v>1038</v>
      </c>
      <c r="D614" s="106"/>
      <c r="E614" s="139"/>
      <c r="H614" s="139"/>
      <c r="I614" s="109" t="s">
        <v>5738</v>
      </c>
      <c r="J614" s="109" t="s">
        <v>3898</v>
      </c>
    </row>
    <row r="615" spans="2:10" x14ac:dyDescent="0.25">
      <c r="B615" s="106" t="s">
        <v>6241</v>
      </c>
      <c r="C615" s="105">
        <v>347</v>
      </c>
      <c r="D615" s="106"/>
      <c r="E615" s="139"/>
      <c r="H615" s="139"/>
      <c r="I615" s="109" t="s">
        <v>5739</v>
      </c>
      <c r="J615" s="109" t="s">
        <v>3899</v>
      </c>
    </row>
    <row r="616" spans="2:10" x14ac:dyDescent="0.25">
      <c r="B616" s="106" t="s">
        <v>6242</v>
      </c>
      <c r="C616" s="105">
        <v>1108</v>
      </c>
      <c r="D616" s="106"/>
      <c r="E616" s="139"/>
      <c r="H616" s="139"/>
      <c r="I616" s="109" t="s">
        <v>5740</v>
      </c>
      <c r="J616" s="109" t="s">
        <v>3900</v>
      </c>
    </row>
    <row r="617" spans="2:10" x14ac:dyDescent="0.25">
      <c r="B617" s="106" t="s">
        <v>6243</v>
      </c>
      <c r="C617" s="105">
        <v>911</v>
      </c>
      <c r="D617" s="106"/>
      <c r="E617" s="139"/>
      <c r="H617" s="139"/>
      <c r="I617" s="109" t="s">
        <v>5741</v>
      </c>
      <c r="J617" s="109" t="s">
        <v>3902</v>
      </c>
    </row>
    <row r="618" spans="2:10" x14ac:dyDescent="0.25">
      <c r="B618" s="106" t="s">
        <v>6244</v>
      </c>
      <c r="C618" s="105">
        <v>791</v>
      </c>
      <c r="D618" s="106"/>
      <c r="E618" s="139"/>
      <c r="H618" s="139"/>
      <c r="I618" s="109" t="s">
        <v>5742</v>
      </c>
      <c r="J618" s="109" t="s">
        <v>3903</v>
      </c>
    </row>
    <row r="619" spans="2:10" x14ac:dyDescent="0.25">
      <c r="B619" s="106" t="s">
        <v>6245</v>
      </c>
      <c r="C619" s="105">
        <v>449</v>
      </c>
      <c r="D619" s="106"/>
      <c r="E619" s="139"/>
      <c r="H619" s="139"/>
      <c r="I619" s="109" t="s">
        <v>5743</v>
      </c>
      <c r="J619" s="109" t="s">
        <v>3904</v>
      </c>
    </row>
    <row r="620" spans="2:10" x14ac:dyDescent="0.25">
      <c r="B620" s="106" t="s">
        <v>6246</v>
      </c>
      <c r="C620" s="105">
        <v>823</v>
      </c>
      <c r="D620" s="106"/>
      <c r="E620" s="139"/>
      <c r="H620" s="139"/>
      <c r="I620" s="109" t="s">
        <v>5744</v>
      </c>
      <c r="J620" s="109" t="s">
        <v>3905</v>
      </c>
    </row>
    <row r="621" spans="2:10" x14ac:dyDescent="0.25">
      <c r="B621" s="106" t="s">
        <v>6247</v>
      </c>
      <c r="C621" s="105">
        <v>48</v>
      </c>
      <c r="D621" s="106"/>
      <c r="E621" s="139"/>
      <c r="H621" s="139"/>
      <c r="I621" s="109" t="s">
        <v>5745</v>
      </c>
      <c r="J621" s="109" t="s">
        <v>3906</v>
      </c>
    </row>
    <row r="622" spans="2:10" x14ac:dyDescent="0.25">
      <c r="B622" s="106" t="s">
        <v>6248</v>
      </c>
      <c r="C622" s="105">
        <v>672</v>
      </c>
      <c r="D622" s="106"/>
      <c r="E622" s="139"/>
      <c r="H622" s="139"/>
      <c r="I622" s="109" t="s">
        <v>5746</v>
      </c>
      <c r="J622" s="109" t="s">
        <v>3907</v>
      </c>
    </row>
    <row r="623" spans="2:10" x14ac:dyDescent="0.25">
      <c r="B623" s="106" t="s">
        <v>6249</v>
      </c>
      <c r="C623" s="105">
        <v>343</v>
      </c>
      <c r="D623" s="106"/>
      <c r="E623" s="139"/>
      <c r="H623" s="139"/>
      <c r="I623" s="109" t="s">
        <v>5747</v>
      </c>
      <c r="J623" s="109" t="s">
        <v>3908</v>
      </c>
    </row>
    <row r="624" spans="2:10" x14ac:dyDescent="0.25">
      <c r="B624" s="106" t="s">
        <v>6250</v>
      </c>
      <c r="C624" s="105">
        <v>1322</v>
      </c>
      <c r="D624" s="106"/>
      <c r="E624" s="139"/>
      <c r="H624" s="139"/>
      <c r="I624" s="109" t="s">
        <v>5748</v>
      </c>
      <c r="J624" s="109" t="s">
        <v>3189</v>
      </c>
    </row>
    <row r="625" spans="2:10" x14ac:dyDescent="0.25">
      <c r="B625" s="106" t="s">
        <v>6251</v>
      </c>
      <c r="C625" s="105">
        <v>1317</v>
      </c>
      <c r="D625" s="106"/>
      <c r="E625" s="139"/>
      <c r="H625" s="139"/>
      <c r="I625" s="109" t="s">
        <v>5749</v>
      </c>
      <c r="J625" s="109" t="s">
        <v>3909</v>
      </c>
    </row>
    <row r="626" spans="2:10" x14ac:dyDescent="0.25">
      <c r="B626" s="106" t="s">
        <v>6252</v>
      </c>
      <c r="C626" s="105">
        <v>1330</v>
      </c>
      <c r="D626" s="106"/>
      <c r="E626" s="139"/>
      <c r="H626" s="139"/>
      <c r="I626" s="109" t="s">
        <v>5750</v>
      </c>
      <c r="J626" s="109" t="s">
        <v>3910</v>
      </c>
    </row>
    <row r="627" spans="2:10" x14ac:dyDescent="0.25">
      <c r="B627" s="106" t="s">
        <v>6253</v>
      </c>
      <c r="C627" s="105">
        <v>1327</v>
      </c>
      <c r="D627" s="106"/>
      <c r="E627" s="139"/>
      <c r="H627" s="139"/>
      <c r="I627" s="109" t="s">
        <v>5751</v>
      </c>
      <c r="J627" s="109" t="s">
        <v>3911</v>
      </c>
    </row>
    <row r="628" spans="2:10" x14ac:dyDescent="0.25">
      <c r="B628" s="106" t="s">
        <v>6254</v>
      </c>
      <c r="C628" s="105">
        <v>1098</v>
      </c>
      <c r="D628" s="106"/>
      <c r="E628" s="139"/>
      <c r="H628" s="139"/>
      <c r="I628" s="109" t="s">
        <v>5752</v>
      </c>
      <c r="J628" s="109" t="s">
        <v>3912</v>
      </c>
    </row>
    <row r="629" spans="2:10" x14ac:dyDescent="0.25">
      <c r="B629" s="106" t="s">
        <v>6255</v>
      </c>
      <c r="C629" s="105">
        <v>1121</v>
      </c>
      <c r="D629" s="106"/>
      <c r="E629" s="139"/>
      <c r="H629" s="139"/>
      <c r="I629" s="109" t="s">
        <v>5558</v>
      </c>
      <c r="J629" s="109" t="s">
        <v>3718</v>
      </c>
    </row>
    <row r="630" spans="2:10" x14ac:dyDescent="0.25">
      <c r="B630" s="106" t="s">
        <v>6256</v>
      </c>
      <c r="C630" s="105">
        <v>487</v>
      </c>
      <c r="D630" s="106"/>
      <c r="E630" s="139"/>
      <c r="H630" s="139"/>
      <c r="I630" s="109" t="s">
        <v>5753</v>
      </c>
      <c r="J630" s="109" t="s">
        <v>3913</v>
      </c>
    </row>
    <row r="631" spans="2:10" x14ac:dyDescent="0.25">
      <c r="B631" s="106" t="s">
        <v>6257</v>
      </c>
      <c r="C631" s="105">
        <v>1483</v>
      </c>
      <c r="D631" s="106"/>
      <c r="E631" s="139"/>
      <c r="H631" s="139"/>
      <c r="I631" s="109" t="s">
        <v>5754</v>
      </c>
      <c r="J631" s="109" t="s">
        <v>3914</v>
      </c>
    </row>
    <row r="632" spans="2:10" x14ac:dyDescent="0.25">
      <c r="B632" s="106" t="s">
        <v>6258</v>
      </c>
      <c r="C632" s="105">
        <v>233</v>
      </c>
      <c r="D632" s="106"/>
      <c r="E632" s="139"/>
      <c r="H632" s="139"/>
      <c r="I632" s="109" t="s">
        <v>5755</v>
      </c>
      <c r="J632" s="109" t="s">
        <v>3915</v>
      </c>
    </row>
    <row r="633" spans="2:10" x14ac:dyDescent="0.25">
      <c r="B633" s="106" t="s">
        <v>6259</v>
      </c>
      <c r="C633" s="105">
        <v>1463</v>
      </c>
      <c r="D633" s="106"/>
      <c r="E633" s="139"/>
      <c r="H633" s="139"/>
      <c r="I633" s="109" t="s">
        <v>5756</v>
      </c>
      <c r="J633" s="109" t="s">
        <v>3916</v>
      </c>
    </row>
    <row r="634" spans="2:10" x14ac:dyDescent="0.25">
      <c r="B634" s="106" t="s">
        <v>6260</v>
      </c>
      <c r="C634" s="105">
        <v>1426</v>
      </c>
      <c r="D634" s="106"/>
      <c r="E634" s="139"/>
      <c r="H634" s="139"/>
      <c r="I634" s="109" t="s">
        <v>5757</v>
      </c>
      <c r="J634" s="109" t="s">
        <v>3917</v>
      </c>
    </row>
    <row r="635" spans="2:10" x14ac:dyDescent="0.25">
      <c r="B635" s="106" t="s">
        <v>6261</v>
      </c>
      <c r="C635" s="105">
        <v>908</v>
      </c>
      <c r="D635" s="106"/>
      <c r="E635" s="139"/>
      <c r="H635" s="139"/>
      <c r="I635" s="109" t="s">
        <v>5758</v>
      </c>
      <c r="J635" s="109" t="s">
        <v>3918</v>
      </c>
    </row>
    <row r="636" spans="2:10" x14ac:dyDescent="0.25">
      <c r="B636" s="106" t="s">
        <v>6262</v>
      </c>
      <c r="C636" s="105">
        <v>906</v>
      </c>
      <c r="D636" s="106"/>
      <c r="E636" s="139"/>
      <c r="H636" s="139"/>
      <c r="I636" s="109" t="s">
        <v>5759</v>
      </c>
      <c r="J636" s="109" t="s">
        <v>3919</v>
      </c>
    </row>
    <row r="637" spans="2:10" x14ac:dyDescent="0.25">
      <c r="B637" s="106" t="s">
        <v>6263</v>
      </c>
      <c r="C637" s="105">
        <v>946</v>
      </c>
      <c r="D637" s="106"/>
      <c r="E637" s="139"/>
      <c r="H637" s="139"/>
      <c r="I637" s="109" t="s">
        <v>5760</v>
      </c>
      <c r="J637" s="109" t="s">
        <v>3920</v>
      </c>
    </row>
    <row r="638" spans="2:10" x14ac:dyDescent="0.25">
      <c r="B638" s="106" t="s">
        <v>6264</v>
      </c>
      <c r="C638" s="105">
        <v>1247</v>
      </c>
      <c r="D638" s="106"/>
      <c r="E638" s="139"/>
      <c r="H638" s="139"/>
      <c r="I638" s="109" t="s">
        <v>5761</v>
      </c>
      <c r="J638" s="109" t="s">
        <v>3921</v>
      </c>
    </row>
    <row r="639" spans="2:10" x14ac:dyDescent="0.25">
      <c r="B639" s="106" t="s">
        <v>6265</v>
      </c>
      <c r="C639" s="105">
        <v>1375</v>
      </c>
      <c r="D639" s="106"/>
      <c r="E639" s="139"/>
      <c r="H639" s="139"/>
      <c r="I639" s="109" t="s">
        <v>5762</v>
      </c>
      <c r="J639" s="109" t="s">
        <v>3922</v>
      </c>
    </row>
    <row r="640" spans="2:10" x14ac:dyDescent="0.25">
      <c r="B640" s="106" t="s">
        <v>6266</v>
      </c>
      <c r="C640" s="105">
        <v>1455</v>
      </c>
      <c r="D640" s="106"/>
      <c r="E640" s="139"/>
      <c r="H640" s="139"/>
      <c r="I640" s="109" t="s">
        <v>5763</v>
      </c>
      <c r="J640" s="109" t="s">
        <v>3923</v>
      </c>
    </row>
    <row r="641" spans="2:10" x14ac:dyDescent="0.25">
      <c r="B641" s="106" t="s">
        <v>6267</v>
      </c>
      <c r="C641" s="105">
        <v>852</v>
      </c>
      <c r="D641" s="106"/>
      <c r="E641" s="139"/>
      <c r="H641" s="139"/>
      <c r="I641" s="109" t="s">
        <v>5764</v>
      </c>
      <c r="J641" s="109" t="s">
        <v>3924</v>
      </c>
    </row>
    <row r="642" spans="2:10" x14ac:dyDescent="0.25">
      <c r="B642" s="106" t="s">
        <v>6268</v>
      </c>
      <c r="C642" s="105">
        <v>1301</v>
      </c>
      <c r="D642" s="106"/>
      <c r="E642" s="139"/>
      <c r="H642" s="139"/>
      <c r="I642" s="109" t="s">
        <v>5765</v>
      </c>
      <c r="J642" s="109" t="s">
        <v>3925</v>
      </c>
    </row>
    <row r="643" spans="2:10" x14ac:dyDescent="0.25">
      <c r="B643" s="106" t="s">
        <v>6269</v>
      </c>
      <c r="C643" s="105">
        <v>1292</v>
      </c>
      <c r="D643" s="106"/>
      <c r="E643" s="139"/>
      <c r="H643" s="139"/>
      <c r="I643" s="109" t="s">
        <v>5766</v>
      </c>
      <c r="J643" s="109" t="s">
        <v>3926</v>
      </c>
    </row>
    <row r="644" spans="2:10" x14ac:dyDescent="0.25">
      <c r="B644" s="106" t="s">
        <v>6270</v>
      </c>
      <c r="C644" s="105">
        <v>1149</v>
      </c>
      <c r="D644" s="106"/>
      <c r="E644" s="139"/>
      <c r="H644" s="139"/>
      <c r="I644" s="109" t="s">
        <v>5767</v>
      </c>
      <c r="J644" s="109" t="s">
        <v>3927</v>
      </c>
    </row>
    <row r="645" spans="2:10" x14ac:dyDescent="0.25">
      <c r="B645" s="106" t="s">
        <v>6271</v>
      </c>
      <c r="C645" s="105">
        <v>1186</v>
      </c>
      <c r="D645" s="106"/>
      <c r="E645" s="139"/>
      <c r="H645" s="139"/>
      <c r="I645" s="109" t="s">
        <v>5768</v>
      </c>
      <c r="J645" s="109" t="s">
        <v>3928</v>
      </c>
    </row>
    <row r="646" spans="2:10" x14ac:dyDescent="0.25">
      <c r="B646" s="106" t="s">
        <v>6272</v>
      </c>
      <c r="C646" s="105">
        <v>49</v>
      </c>
      <c r="D646" s="106"/>
      <c r="E646" s="139"/>
      <c r="H646" s="139"/>
      <c r="I646" s="109" t="s">
        <v>5769</v>
      </c>
      <c r="J646" s="109" t="s">
        <v>3929</v>
      </c>
    </row>
    <row r="647" spans="2:10" x14ac:dyDescent="0.25">
      <c r="B647" s="106" t="s">
        <v>6273</v>
      </c>
      <c r="C647" s="105">
        <v>269</v>
      </c>
      <c r="D647" s="106"/>
      <c r="E647" s="139"/>
      <c r="H647" s="139"/>
      <c r="I647" s="109" t="s">
        <v>5770</v>
      </c>
      <c r="J647" s="109" t="s">
        <v>3930</v>
      </c>
    </row>
    <row r="648" spans="2:10" x14ac:dyDescent="0.25">
      <c r="B648" s="106" t="s">
        <v>6274</v>
      </c>
      <c r="C648" s="105">
        <v>531</v>
      </c>
      <c r="D648" s="106"/>
      <c r="E648" s="139"/>
      <c r="H648" s="139"/>
      <c r="I648" s="109" t="s">
        <v>5771</v>
      </c>
      <c r="J648" s="109" t="s">
        <v>3931</v>
      </c>
    </row>
    <row r="649" spans="2:10" x14ac:dyDescent="0.25">
      <c r="B649" s="106" t="s">
        <v>6275</v>
      </c>
      <c r="C649" s="105">
        <v>1383</v>
      </c>
      <c r="D649" s="106"/>
      <c r="E649" s="139"/>
      <c r="H649" s="139"/>
      <c r="I649" s="109" t="s">
        <v>5772</v>
      </c>
      <c r="J649" s="109" t="s">
        <v>3932</v>
      </c>
    </row>
    <row r="650" spans="2:10" x14ac:dyDescent="0.25">
      <c r="B650" s="106" t="s">
        <v>6276</v>
      </c>
      <c r="C650" s="105">
        <v>1384</v>
      </c>
      <c r="D650" s="106"/>
      <c r="E650" s="139"/>
      <c r="H650" s="139"/>
      <c r="I650" s="109" t="s">
        <v>5773</v>
      </c>
      <c r="J650" s="109" t="s">
        <v>3933</v>
      </c>
    </row>
    <row r="651" spans="2:10" x14ac:dyDescent="0.25">
      <c r="B651" s="106" t="s">
        <v>6277</v>
      </c>
      <c r="C651" s="105">
        <v>439</v>
      </c>
      <c r="D651" s="106"/>
      <c r="E651" s="139"/>
      <c r="H651" s="139"/>
      <c r="I651" s="109" t="s">
        <v>5774</v>
      </c>
      <c r="J651" s="109" t="s">
        <v>3934</v>
      </c>
    </row>
    <row r="652" spans="2:10" x14ac:dyDescent="0.25">
      <c r="B652" s="106" t="s">
        <v>6278</v>
      </c>
      <c r="C652" s="105">
        <v>483</v>
      </c>
      <c r="D652" s="106"/>
      <c r="E652" s="139"/>
      <c r="H652" s="139"/>
      <c r="I652" s="109" t="s">
        <v>5775</v>
      </c>
      <c r="J652" s="109" t="s">
        <v>3935</v>
      </c>
    </row>
    <row r="653" spans="2:10" x14ac:dyDescent="0.25">
      <c r="B653" s="106" t="s">
        <v>6279</v>
      </c>
      <c r="C653" s="105">
        <v>479</v>
      </c>
      <c r="D653" s="106"/>
      <c r="E653" s="139"/>
      <c r="H653" s="139"/>
      <c r="I653" s="109" t="s">
        <v>5776</v>
      </c>
      <c r="J653" s="109" t="s">
        <v>3936</v>
      </c>
    </row>
    <row r="654" spans="2:10" x14ac:dyDescent="0.25">
      <c r="B654" s="106" t="s">
        <v>6280</v>
      </c>
      <c r="C654" s="105">
        <v>1178</v>
      </c>
      <c r="D654" s="106"/>
      <c r="E654" s="139"/>
      <c r="H654" s="139"/>
      <c r="I654" s="109" t="s">
        <v>5777</v>
      </c>
      <c r="J654" s="109" t="s">
        <v>3937</v>
      </c>
    </row>
    <row r="655" spans="2:10" x14ac:dyDescent="0.25">
      <c r="B655" s="106" t="s">
        <v>6281</v>
      </c>
      <c r="C655" s="105">
        <v>1280</v>
      </c>
      <c r="D655" s="106"/>
      <c r="E655" s="139"/>
      <c r="H655" s="139"/>
      <c r="I655" s="109" t="s">
        <v>5778</v>
      </c>
      <c r="J655" s="109" t="s">
        <v>3938</v>
      </c>
    </row>
    <row r="656" spans="2:10" x14ac:dyDescent="0.25">
      <c r="B656" s="106" t="s">
        <v>6282</v>
      </c>
      <c r="C656" s="105">
        <v>593</v>
      </c>
      <c r="D656" s="106"/>
      <c r="E656" s="139"/>
      <c r="H656" s="139"/>
      <c r="I656" s="109" t="s">
        <v>5779</v>
      </c>
      <c r="J656" s="109" t="s">
        <v>3939</v>
      </c>
    </row>
    <row r="657" spans="2:10" x14ac:dyDescent="0.25">
      <c r="B657" s="106" t="s">
        <v>6283</v>
      </c>
      <c r="C657" s="105">
        <v>6</v>
      </c>
      <c r="D657" s="106"/>
      <c r="E657" s="139"/>
      <c r="H657" s="139"/>
      <c r="I657" s="109" t="s">
        <v>5780</v>
      </c>
      <c r="J657" s="109" t="s">
        <v>3940</v>
      </c>
    </row>
    <row r="658" spans="2:10" x14ac:dyDescent="0.25">
      <c r="B658" s="106" t="s">
        <v>6284</v>
      </c>
      <c r="C658" s="105">
        <v>4</v>
      </c>
      <c r="D658" s="106"/>
      <c r="E658" s="139"/>
      <c r="H658" s="139"/>
      <c r="I658" s="109" t="s">
        <v>5781</v>
      </c>
      <c r="J658" s="109" t="s">
        <v>3941</v>
      </c>
    </row>
    <row r="659" spans="2:10" x14ac:dyDescent="0.25">
      <c r="B659" s="106" t="s">
        <v>6285</v>
      </c>
      <c r="C659" s="105">
        <v>5</v>
      </c>
      <c r="D659" s="106"/>
      <c r="E659" s="139"/>
      <c r="H659" s="139"/>
      <c r="I659" s="109" t="s">
        <v>5782</v>
      </c>
      <c r="J659" s="109" t="s">
        <v>3942</v>
      </c>
    </row>
    <row r="660" spans="2:10" x14ac:dyDescent="0.25">
      <c r="B660" s="106" t="s">
        <v>6286</v>
      </c>
      <c r="C660" s="105">
        <v>166</v>
      </c>
      <c r="D660" s="106"/>
      <c r="E660" s="139"/>
      <c r="H660" s="139"/>
      <c r="I660" s="109" t="s">
        <v>5783</v>
      </c>
      <c r="J660" s="109" t="s">
        <v>3943</v>
      </c>
    </row>
    <row r="661" spans="2:10" x14ac:dyDescent="0.25">
      <c r="B661" s="106" t="s">
        <v>6287</v>
      </c>
      <c r="C661" s="105">
        <v>167</v>
      </c>
      <c r="D661" s="106"/>
      <c r="E661" s="139"/>
      <c r="H661" s="139"/>
      <c r="I661" s="109" t="s">
        <v>5784</v>
      </c>
      <c r="J661" s="109" t="s">
        <v>3944</v>
      </c>
    </row>
    <row r="662" spans="2:10" x14ac:dyDescent="0.25">
      <c r="B662" s="106" t="s">
        <v>6288</v>
      </c>
      <c r="C662" s="105">
        <v>381</v>
      </c>
      <c r="D662" s="106"/>
      <c r="E662" s="139"/>
      <c r="H662" s="139"/>
      <c r="I662" s="109" t="s">
        <v>5785</v>
      </c>
      <c r="J662" s="109" t="s">
        <v>3945</v>
      </c>
    </row>
    <row r="663" spans="2:10" x14ac:dyDescent="0.25">
      <c r="B663" s="106" t="s">
        <v>6289</v>
      </c>
      <c r="C663" s="105">
        <v>385</v>
      </c>
      <c r="D663" s="106"/>
      <c r="E663" s="139"/>
      <c r="H663" s="139"/>
      <c r="I663" s="109" t="s">
        <v>5786</v>
      </c>
      <c r="J663" s="109" t="s">
        <v>3946</v>
      </c>
    </row>
    <row r="664" spans="2:10" x14ac:dyDescent="0.25">
      <c r="B664" s="106" t="s">
        <v>6290</v>
      </c>
      <c r="C664" s="105">
        <v>377</v>
      </c>
      <c r="D664" s="106"/>
      <c r="E664" s="139"/>
      <c r="H664" s="139"/>
      <c r="I664" s="109" t="s">
        <v>5787</v>
      </c>
      <c r="J664" s="109" t="s">
        <v>3947</v>
      </c>
    </row>
    <row r="665" spans="2:10" x14ac:dyDescent="0.25">
      <c r="B665" s="106" t="s">
        <v>6291</v>
      </c>
      <c r="C665" s="105">
        <v>1437</v>
      </c>
      <c r="D665" s="106"/>
      <c r="E665" s="139"/>
      <c r="H665" s="139"/>
      <c r="I665" s="109" t="s">
        <v>5788</v>
      </c>
      <c r="J665" s="109" t="s">
        <v>3948</v>
      </c>
    </row>
    <row r="666" spans="2:10" x14ac:dyDescent="0.25">
      <c r="B666" s="106" t="s">
        <v>6292</v>
      </c>
      <c r="C666" s="105">
        <v>952</v>
      </c>
      <c r="D666" s="106"/>
      <c r="E666" s="139"/>
      <c r="H666" s="139"/>
      <c r="I666" s="109" t="s">
        <v>5789</v>
      </c>
      <c r="J666" s="109" t="s">
        <v>3949</v>
      </c>
    </row>
    <row r="667" spans="2:10" x14ac:dyDescent="0.25">
      <c r="B667" s="106" t="s">
        <v>6293</v>
      </c>
      <c r="C667" s="105">
        <v>1188</v>
      </c>
      <c r="D667" s="106"/>
      <c r="E667" s="139"/>
      <c r="H667" s="139"/>
      <c r="I667" s="109" t="s">
        <v>5790</v>
      </c>
      <c r="J667" s="109" t="s">
        <v>3950</v>
      </c>
    </row>
    <row r="668" spans="2:10" x14ac:dyDescent="0.25">
      <c r="B668" s="106" t="s">
        <v>6294</v>
      </c>
      <c r="C668" s="105">
        <v>1307</v>
      </c>
      <c r="D668" s="106"/>
      <c r="E668" s="139"/>
      <c r="H668" s="139"/>
      <c r="I668" s="109" t="s">
        <v>5791</v>
      </c>
      <c r="J668" s="109" t="s">
        <v>3951</v>
      </c>
    </row>
    <row r="669" spans="2:10" x14ac:dyDescent="0.25">
      <c r="B669" s="106" t="s">
        <v>6295</v>
      </c>
      <c r="C669" s="105">
        <v>892</v>
      </c>
      <c r="D669" s="106"/>
      <c r="E669" s="139"/>
      <c r="H669" s="139"/>
      <c r="I669" s="109" t="s">
        <v>5792</v>
      </c>
      <c r="J669" s="109" t="s">
        <v>3952</v>
      </c>
    </row>
    <row r="670" spans="2:10" x14ac:dyDescent="0.25">
      <c r="B670" s="106" t="s">
        <v>6296</v>
      </c>
      <c r="C670" s="105">
        <v>397</v>
      </c>
      <c r="D670" s="106"/>
      <c r="E670" s="139"/>
      <c r="H670" s="139"/>
      <c r="I670" s="109" t="s">
        <v>5793</v>
      </c>
      <c r="J670" s="109" t="s">
        <v>3953</v>
      </c>
    </row>
    <row r="671" spans="2:10" x14ac:dyDescent="0.25">
      <c r="B671" s="106" t="s">
        <v>6297</v>
      </c>
      <c r="C671" s="105">
        <v>1025</v>
      </c>
      <c r="D671" s="106"/>
      <c r="E671" s="139"/>
      <c r="H671" s="139"/>
      <c r="I671" s="109" t="s">
        <v>5794</v>
      </c>
      <c r="J671" s="109" t="s">
        <v>3954</v>
      </c>
    </row>
    <row r="672" spans="2:10" x14ac:dyDescent="0.25">
      <c r="B672" s="106" t="s">
        <v>6298</v>
      </c>
      <c r="C672" s="105">
        <v>766</v>
      </c>
      <c r="D672" s="106"/>
      <c r="E672" s="139"/>
      <c r="H672" s="139"/>
      <c r="I672" s="109" t="s">
        <v>5795</v>
      </c>
      <c r="J672" s="109" t="s">
        <v>3955</v>
      </c>
    </row>
    <row r="673" spans="2:10" x14ac:dyDescent="0.25">
      <c r="B673" s="106" t="s">
        <v>6299</v>
      </c>
      <c r="C673" s="105">
        <v>764</v>
      </c>
      <c r="D673" s="106"/>
      <c r="E673" s="139"/>
      <c r="H673" s="139"/>
      <c r="I673" s="109" t="s">
        <v>5796</v>
      </c>
      <c r="J673" s="109" t="s">
        <v>3956</v>
      </c>
    </row>
    <row r="674" spans="2:10" x14ac:dyDescent="0.25">
      <c r="B674" s="106" t="s">
        <v>6300</v>
      </c>
      <c r="C674" s="105">
        <v>768</v>
      </c>
      <c r="D674" s="106"/>
      <c r="E674" s="139"/>
      <c r="H674" s="139"/>
      <c r="I674" s="109" t="s">
        <v>5797</v>
      </c>
      <c r="J674" s="109" t="s">
        <v>3957</v>
      </c>
    </row>
    <row r="675" spans="2:10" x14ac:dyDescent="0.25">
      <c r="B675" s="106" t="s">
        <v>6301</v>
      </c>
      <c r="C675" s="105">
        <v>770</v>
      </c>
      <c r="D675" s="106"/>
      <c r="E675" s="139"/>
      <c r="H675" s="139"/>
      <c r="I675" s="109" t="s">
        <v>5798</v>
      </c>
      <c r="J675" s="109" t="s">
        <v>3958</v>
      </c>
    </row>
    <row r="676" spans="2:10" x14ac:dyDescent="0.25">
      <c r="B676" s="106" t="s">
        <v>6302</v>
      </c>
      <c r="C676" s="105">
        <v>1161</v>
      </c>
      <c r="D676" s="106"/>
      <c r="E676" s="139"/>
      <c r="H676" s="139"/>
      <c r="I676" s="109" t="s">
        <v>5799</v>
      </c>
      <c r="J676" s="109" t="s">
        <v>3959</v>
      </c>
    </row>
    <row r="677" spans="2:10" x14ac:dyDescent="0.25">
      <c r="B677" s="106" t="s">
        <v>6303</v>
      </c>
      <c r="C677" s="105">
        <v>776</v>
      </c>
      <c r="D677" s="106"/>
      <c r="E677" s="139"/>
      <c r="H677" s="139"/>
      <c r="I677" s="109" t="s">
        <v>5800</v>
      </c>
      <c r="J677" s="109" t="s">
        <v>3960</v>
      </c>
    </row>
    <row r="678" spans="2:10" x14ac:dyDescent="0.25">
      <c r="B678" s="106" t="s">
        <v>6304</v>
      </c>
      <c r="C678" s="105">
        <v>778</v>
      </c>
      <c r="D678" s="106"/>
      <c r="E678" s="139"/>
      <c r="H678" s="139"/>
      <c r="I678" s="109" t="s">
        <v>5801</v>
      </c>
      <c r="J678" s="109" t="s">
        <v>3961</v>
      </c>
    </row>
    <row r="679" spans="2:10" x14ac:dyDescent="0.25">
      <c r="B679" s="106" t="s">
        <v>6305</v>
      </c>
      <c r="C679" s="105">
        <v>24</v>
      </c>
      <c r="D679" s="106"/>
      <c r="E679" s="139"/>
      <c r="H679" s="139"/>
      <c r="I679" s="109" t="s">
        <v>5802</v>
      </c>
      <c r="J679" s="109" t="s">
        <v>3962</v>
      </c>
    </row>
    <row r="680" spans="2:10" x14ac:dyDescent="0.25">
      <c r="B680" s="106" t="s">
        <v>6306</v>
      </c>
      <c r="C680" s="105">
        <v>848</v>
      </c>
      <c r="D680" s="106"/>
      <c r="E680" s="139"/>
      <c r="H680" s="139"/>
      <c r="I680" s="109" t="s">
        <v>5803</v>
      </c>
      <c r="J680" s="109" t="s">
        <v>3963</v>
      </c>
    </row>
    <row r="681" spans="2:10" x14ac:dyDescent="0.25">
      <c r="B681" s="106" t="s">
        <v>6307</v>
      </c>
      <c r="C681" s="105">
        <v>808</v>
      </c>
      <c r="D681" s="106"/>
      <c r="E681" s="139"/>
      <c r="H681" s="139"/>
      <c r="I681" s="109" t="s">
        <v>5804</v>
      </c>
      <c r="J681" s="109" t="s">
        <v>3964</v>
      </c>
    </row>
    <row r="682" spans="2:10" x14ac:dyDescent="0.25">
      <c r="B682" s="106" t="s">
        <v>6308</v>
      </c>
      <c r="C682" s="105">
        <v>224</v>
      </c>
      <c r="D682" s="106"/>
      <c r="E682" s="139"/>
      <c r="H682" s="139"/>
      <c r="I682" s="109" t="s">
        <v>5805</v>
      </c>
      <c r="J682" s="109" t="s">
        <v>3965</v>
      </c>
    </row>
    <row r="683" spans="2:10" x14ac:dyDescent="0.25">
      <c r="B683" s="106" t="s">
        <v>6309</v>
      </c>
      <c r="C683" s="105">
        <v>223</v>
      </c>
      <c r="D683" s="106"/>
      <c r="E683" s="139"/>
      <c r="H683" s="139"/>
      <c r="I683" s="109" t="s">
        <v>5806</v>
      </c>
      <c r="J683" s="109" t="s">
        <v>3966</v>
      </c>
    </row>
    <row r="684" spans="2:10" x14ac:dyDescent="0.25">
      <c r="B684" s="106" t="s">
        <v>6310</v>
      </c>
      <c r="C684" s="105">
        <v>219</v>
      </c>
      <c r="D684" s="106"/>
      <c r="E684" s="139"/>
      <c r="H684" s="139"/>
      <c r="I684" s="109" t="s">
        <v>5807</v>
      </c>
      <c r="J684" s="109" t="s">
        <v>3967</v>
      </c>
    </row>
    <row r="685" spans="2:10" x14ac:dyDescent="0.25">
      <c r="B685" s="106" t="s">
        <v>6311</v>
      </c>
      <c r="C685" s="105">
        <v>1092</v>
      </c>
      <c r="D685" s="106"/>
      <c r="E685" s="139"/>
      <c r="H685" s="139"/>
      <c r="I685" s="109" t="s">
        <v>5808</v>
      </c>
      <c r="J685" s="109" t="s">
        <v>3968</v>
      </c>
    </row>
    <row r="686" spans="2:10" x14ac:dyDescent="0.25">
      <c r="B686" s="106" t="s">
        <v>6312</v>
      </c>
      <c r="C686" s="105">
        <v>926</v>
      </c>
      <c r="D686" s="106"/>
      <c r="E686" s="139"/>
      <c r="H686" s="139"/>
      <c r="I686" s="109" t="s">
        <v>5809</v>
      </c>
      <c r="J686" s="109" t="s">
        <v>3969</v>
      </c>
    </row>
    <row r="687" spans="2:10" x14ac:dyDescent="0.25">
      <c r="B687" s="106" t="s">
        <v>6313</v>
      </c>
      <c r="C687" s="105">
        <v>354</v>
      </c>
      <c r="D687" s="106"/>
      <c r="E687" s="139"/>
      <c r="H687" s="139"/>
      <c r="I687" s="109" t="s">
        <v>5810</v>
      </c>
      <c r="J687" s="109" t="s">
        <v>3970</v>
      </c>
    </row>
    <row r="688" spans="2:10" x14ac:dyDescent="0.25">
      <c r="B688" s="106" t="s">
        <v>6314</v>
      </c>
      <c r="C688" s="105">
        <v>917</v>
      </c>
      <c r="D688" s="106"/>
      <c r="E688" s="139"/>
      <c r="H688" s="139"/>
      <c r="I688" s="109" t="s">
        <v>5811</v>
      </c>
      <c r="J688" s="109" t="s">
        <v>3971</v>
      </c>
    </row>
    <row r="689" spans="2:10" x14ac:dyDescent="0.25">
      <c r="B689" s="106" t="s">
        <v>6315</v>
      </c>
      <c r="C689" s="105">
        <v>1164</v>
      </c>
      <c r="D689" s="106"/>
      <c r="E689" s="139"/>
      <c r="H689" s="139"/>
      <c r="I689" s="109" t="s">
        <v>5812</v>
      </c>
      <c r="J689" s="109" t="s">
        <v>3972</v>
      </c>
    </row>
    <row r="690" spans="2:10" x14ac:dyDescent="0.25">
      <c r="B690" s="106" t="s">
        <v>6316</v>
      </c>
      <c r="C690" s="105">
        <v>821</v>
      </c>
      <c r="D690" s="106"/>
      <c r="E690" s="139"/>
      <c r="H690" s="139"/>
      <c r="I690" s="109" t="s">
        <v>5813</v>
      </c>
      <c r="J690" s="109" t="s">
        <v>3973</v>
      </c>
    </row>
    <row r="691" spans="2:10" x14ac:dyDescent="0.25">
      <c r="B691" s="106" t="s">
        <v>6317</v>
      </c>
      <c r="C691" s="105">
        <v>995</v>
      </c>
      <c r="D691" s="106"/>
      <c r="E691" s="139"/>
      <c r="H691" s="139"/>
      <c r="I691" s="109" t="s">
        <v>5814</v>
      </c>
      <c r="J691" s="109" t="s">
        <v>3974</v>
      </c>
    </row>
    <row r="692" spans="2:10" x14ac:dyDescent="0.25">
      <c r="B692" s="106" t="s">
        <v>6318</v>
      </c>
      <c r="C692" s="105">
        <v>1212</v>
      </c>
      <c r="D692" s="106"/>
      <c r="E692" s="139"/>
      <c r="H692" s="139"/>
      <c r="I692" s="109" t="s">
        <v>5815</v>
      </c>
      <c r="J692" s="109" t="s">
        <v>3975</v>
      </c>
    </row>
    <row r="693" spans="2:10" x14ac:dyDescent="0.25">
      <c r="B693" s="106" t="s">
        <v>6319</v>
      </c>
      <c r="C693" s="105">
        <v>180</v>
      </c>
      <c r="D693" s="106"/>
      <c r="E693" s="139"/>
      <c r="H693" s="139"/>
      <c r="I693" s="109" t="s">
        <v>5816</v>
      </c>
      <c r="J693" s="109" t="s">
        <v>3976</v>
      </c>
    </row>
    <row r="694" spans="2:10" x14ac:dyDescent="0.25">
      <c r="B694" s="106" t="s">
        <v>6320</v>
      </c>
      <c r="C694" s="105">
        <v>1029</v>
      </c>
      <c r="D694" s="106"/>
      <c r="E694" s="139"/>
      <c r="H694" s="139"/>
      <c r="I694" s="109" t="s">
        <v>5817</v>
      </c>
      <c r="J694" s="109" t="s">
        <v>3977</v>
      </c>
    </row>
    <row r="695" spans="2:10" x14ac:dyDescent="0.25">
      <c r="B695" s="106" t="s">
        <v>6321</v>
      </c>
      <c r="C695" s="105">
        <v>168</v>
      </c>
      <c r="D695" s="106"/>
      <c r="E695" s="139"/>
      <c r="H695" s="139"/>
      <c r="I695" s="109" t="s">
        <v>5818</v>
      </c>
      <c r="J695" s="109" t="s">
        <v>3978</v>
      </c>
    </row>
    <row r="696" spans="2:10" x14ac:dyDescent="0.25">
      <c r="B696" s="106" t="s">
        <v>6322</v>
      </c>
      <c r="C696" s="105">
        <v>730</v>
      </c>
      <c r="D696" s="106"/>
      <c r="E696" s="139"/>
      <c r="H696" s="139"/>
      <c r="I696" s="109" t="s">
        <v>5819</v>
      </c>
      <c r="J696" s="109" t="s">
        <v>3979</v>
      </c>
    </row>
    <row r="697" spans="2:10" x14ac:dyDescent="0.25">
      <c r="B697" s="106" t="s">
        <v>6323</v>
      </c>
      <c r="C697" s="105">
        <v>1030</v>
      </c>
      <c r="D697" s="106"/>
      <c r="E697" s="139"/>
      <c r="H697" s="139"/>
      <c r="I697" s="109" t="s">
        <v>5820</v>
      </c>
      <c r="J697" s="109" t="s">
        <v>3980</v>
      </c>
    </row>
    <row r="698" spans="2:10" x14ac:dyDescent="0.25">
      <c r="B698" s="106" t="s">
        <v>6324</v>
      </c>
      <c r="C698" s="105">
        <v>690</v>
      </c>
      <c r="D698" s="106"/>
      <c r="E698" s="139"/>
      <c r="H698" s="139"/>
      <c r="I698" s="109" t="s">
        <v>5821</v>
      </c>
      <c r="J698" s="109" t="s">
        <v>3981</v>
      </c>
    </row>
    <row r="699" spans="2:10" x14ac:dyDescent="0.25">
      <c r="B699" s="106" t="s">
        <v>6325</v>
      </c>
      <c r="C699" s="105">
        <v>216</v>
      </c>
      <c r="D699" s="106"/>
      <c r="E699" s="139"/>
      <c r="H699" s="139"/>
      <c r="I699" s="109" t="s">
        <v>5822</v>
      </c>
      <c r="J699" s="109" t="s">
        <v>3982</v>
      </c>
    </row>
    <row r="700" spans="2:10" x14ac:dyDescent="0.25">
      <c r="B700" s="106" t="s">
        <v>6326</v>
      </c>
      <c r="C700" s="105">
        <v>411</v>
      </c>
      <c r="D700" s="106"/>
      <c r="E700" s="139"/>
      <c r="H700" s="139"/>
      <c r="I700" s="109" t="s">
        <v>5823</v>
      </c>
      <c r="J700" s="109" t="s">
        <v>3983</v>
      </c>
    </row>
    <row r="701" spans="2:10" x14ac:dyDescent="0.25">
      <c r="B701" s="106" t="s">
        <v>6327</v>
      </c>
      <c r="C701" s="105">
        <v>495</v>
      </c>
      <c r="D701" s="106"/>
      <c r="E701" s="139"/>
      <c r="H701" s="139"/>
      <c r="I701" s="109" t="s">
        <v>5824</v>
      </c>
      <c r="J701" s="109" t="s">
        <v>3984</v>
      </c>
    </row>
    <row r="702" spans="2:10" x14ac:dyDescent="0.25">
      <c r="B702" s="106" t="s">
        <v>6328</v>
      </c>
      <c r="C702" s="105">
        <v>1297</v>
      </c>
      <c r="D702" s="106"/>
      <c r="E702" s="139"/>
      <c r="H702" s="139"/>
      <c r="I702" s="109" t="s">
        <v>5825</v>
      </c>
      <c r="J702" s="109" t="s">
        <v>3985</v>
      </c>
    </row>
    <row r="703" spans="2:10" x14ac:dyDescent="0.25">
      <c r="B703" s="106" t="s">
        <v>6329</v>
      </c>
      <c r="C703" s="105">
        <v>1007</v>
      </c>
      <c r="D703" s="106"/>
      <c r="E703" s="139"/>
      <c r="H703" s="139"/>
      <c r="I703" s="109" t="s">
        <v>5826</v>
      </c>
      <c r="J703" s="109" t="s">
        <v>3986</v>
      </c>
    </row>
    <row r="704" spans="2:10" x14ac:dyDescent="0.25">
      <c r="B704" s="106" t="s">
        <v>6330</v>
      </c>
      <c r="C704" s="105">
        <v>979</v>
      </c>
      <c r="D704" s="106"/>
      <c r="E704" s="139"/>
      <c r="H704" s="139"/>
      <c r="I704" s="109" t="s">
        <v>5827</v>
      </c>
      <c r="J704" s="109" t="s">
        <v>3987</v>
      </c>
    </row>
    <row r="705" spans="2:10" x14ac:dyDescent="0.25">
      <c r="B705" s="106" t="s">
        <v>6331</v>
      </c>
      <c r="C705" s="105">
        <v>1434</v>
      </c>
      <c r="D705" s="106"/>
      <c r="E705" s="139"/>
      <c r="H705" s="139"/>
      <c r="I705" s="109" t="s">
        <v>5828</v>
      </c>
      <c r="J705" s="109" t="s">
        <v>3988</v>
      </c>
    </row>
    <row r="706" spans="2:10" x14ac:dyDescent="0.25">
      <c r="B706" s="106" t="s">
        <v>6332</v>
      </c>
      <c r="C706" s="105">
        <v>1435</v>
      </c>
      <c r="D706" s="106"/>
      <c r="E706" s="139"/>
      <c r="H706" s="139"/>
      <c r="I706" s="109" t="s">
        <v>5829</v>
      </c>
      <c r="J706" s="109" t="s">
        <v>3989</v>
      </c>
    </row>
    <row r="707" spans="2:10" x14ac:dyDescent="0.25">
      <c r="B707" s="106" t="s">
        <v>6333</v>
      </c>
      <c r="C707" s="105">
        <v>930</v>
      </c>
      <c r="D707" s="106"/>
      <c r="E707" s="139"/>
      <c r="H707" s="139"/>
      <c r="I707" s="109" t="s">
        <v>5830</v>
      </c>
      <c r="J707" s="109" t="s">
        <v>3990</v>
      </c>
    </row>
    <row r="708" spans="2:10" x14ac:dyDescent="0.25">
      <c r="B708" s="106" t="s">
        <v>6334</v>
      </c>
      <c r="C708" s="105">
        <v>903</v>
      </c>
      <c r="D708" s="106"/>
      <c r="E708" s="139"/>
      <c r="H708" s="139"/>
      <c r="I708" s="109" t="s">
        <v>5831</v>
      </c>
      <c r="J708" s="109" t="s">
        <v>3991</v>
      </c>
    </row>
    <row r="709" spans="2:10" x14ac:dyDescent="0.25">
      <c r="B709" s="106" t="s">
        <v>6335</v>
      </c>
      <c r="C709" s="105">
        <v>1</v>
      </c>
      <c r="D709" s="106"/>
      <c r="E709" s="139"/>
      <c r="H709" s="139"/>
      <c r="I709" s="109" t="s">
        <v>5832</v>
      </c>
      <c r="J709" s="109" t="s">
        <v>3992</v>
      </c>
    </row>
    <row r="710" spans="2:10" x14ac:dyDescent="0.25">
      <c r="B710" s="106" t="s">
        <v>6336</v>
      </c>
      <c r="C710" s="105">
        <v>102</v>
      </c>
      <c r="D710" s="106"/>
      <c r="E710" s="139"/>
      <c r="H710" s="139"/>
      <c r="I710" s="109" t="s">
        <v>5833</v>
      </c>
      <c r="J710" s="109" t="s">
        <v>3993</v>
      </c>
    </row>
    <row r="711" spans="2:10" x14ac:dyDescent="0.25">
      <c r="B711" s="106" t="s">
        <v>6337</v>
      </c>
      <c r="C711" s="105">
        <v>1211</v>
      </c>
      <c r="D711" s="106"/>
      <c r="E711" s="139"/>
      <c r="H711" s="139"/>
      <c r="I711" s="109" t="s">
        <v>5834</v>
      </c>
      <c r="J711" s="109" t="s">
        <v>3994</v>
      </c>
    </row>
    <row r="712" spans="2:10" x14ac:dyDescent="0.25">
      <c r="B712" s="106" t="s">
        <v>6338</v>
      </c>
      <c r="C712" s="105">
        <v>922</v>
      </c>
      <c r="D712" s="106"/>
      <c r="E712" s="139"/>
      <c r="H712" s="139"/>
      <c r="I712" s="109" t="s">
        <v>5835</v>
      </c>
      <c r="J712" s="109" t="s">
        <v>3995</v>
      </c>
    </row>
    <row r="713" spans="2:10" x14ac:dyDescent="0.25">
      <c r="B713" s="106" t="s">
        <v>6339</v>
      </c>
      <c r="C713" s="105">
        <v>962</v>
      </c>
      <c r="D713" s="106"/>
      <c r="E713" s="139"/>
      <c r="H713" s="139"/>
      <c r="I713" s="109" t="s">
        <v>5836</v>
      </c>
      <c r="J713" s="109" t="s">
        <v>3996</v>
      </c>
    </row>
    <row r="714" spans="2:10" x14ac:dyDescent="0.25">
      <c r="B714" s="106" t="s">
        <v>6340</v>
      </c>
      <c r="C714" s="105">
        <v>999</v>
      </c>
      <c r="D714" s="106"/>
      <c r="E714" s="139"/>
      <c r="H714" s="139"/>
      <c r="I714" s="109" t="s">
        <v>5837</v>
      </c>
      <c r="J714" s="109" t="s">
        <v>3997</v>
      </c>
    </row>
    <row r="715" spans="2:10" x14ac:dyDescent="0.25">
      <c r="B715" s="106" t="s">
        <v>6341</v>
      </c>
      <c r="C715" s="105">
        <v>201</v>
      </c>
      <c r="D715" s="106"/>
      <c r="E715" s="139"/>
      <c r="H715" s="139"/>
      <c r="I715" s="109" t="s">
        <v>5838</v>
      </c>
      <c r="J715" s="109" t="s">
        <v>3998</v>
      </c>
    </row>
    <row r="716" spans="2:10" x14ac:dyDescent="0.25">
      <c r="B716" s="106" t="s">
        <v>6342</v>
      </c>
      <c r="C716" s="105">
        <v>360</v>
      </c>
      <c r="D716" s="106"/>
      <c r="E716" s="139"/>
      <c r="H716" s="139"/>
      <c r="I716" s="109" t="s">
        <v>5839</v>
      </c>
      <c r="J716" s="109" t="s">
        <v>3999</v>
      </c>
    </row>
    <row r="717" spans="2:10" x14ac:dyDescent="0.25">
      <c r="B717" s="106" t="s">
        <v>6343</v>
      </c>
      <c r="C717" s="105">
        <v>150</v>
      </c>
      <c r="D717" s="106"/>
      <c r="E717" s="139"/>
      <c r="H717" s="139"/>
      <c r="I717" s="109" t="s">
        <v>5840</v>
      </c>
      <c r="J717" s="109" t="s">
        <v>4000</v>
      </c>
    </row>
    <row r="718" spans="2:10" x14ac:dyDescent="0.25">
      <c r="B718" s="106" t="s">
        <v>6344</v>
      </c>
      <c r="C718" s="105">
        <v>364</v>
      </c>
      <c r="D718" s="106"/>
      <c r="E718" s="139"/>
      <c r="H718" s="139"/>
      <c r="I718" s="109" t="s">
        <v>5841</v>
      </c>
      <c r="J718" s="109" t="s">
        <v>4001</v>
      </c>
    </row>
    <row r="719" spans="2:10" x14ac:dyDescent="0.25">
      <c r="B719" s="106" t="s">
        <v>6345</v>
      </c>
      <c r="C719" s="105">
        <v>153</v>
      </c>
      <c r="D719" s="106"/>
      <c r="E719" s="139"/>
      <c r="H719" s="139"/>
      <c r="I719" s="109" t="s">
        <v>5842</v>
      </c>
      <c r="J719" s="109" t="s">
        <v>4002</v>
      </c>
    </row>
    <row r="720" spans="2:10" x14ac:dyDescent="0.25">
      <c r="B720" s="106" t="s">
        <v>6346</v>
      </c>
      <c r="C720" s="105">
        <v>700</v>
      </c>
      <c r="D720" s="106"/>
      <c r="E720" s="139"/>
      <c r="H720" s="139"/>
      <c r="I720" s="109" t="s">
        <v>5843</v>
      </c>
      <c r="J720" s="109" t="s">
        <v>4003</v>
      </c>
    </row>
    <row r="721" spans="2:10" x14ac:dyDescent="0.25">
      <c r="B721" s="106" t="s">
        <v>6347</v>
      </c>
      <c r="C721" s="105">
        <v>836</v>
      </c>
      <c r="D721" s="106"/>
      <c r="E721" s="139"/>
      <c r="H721" s="139"/>
      <c r="I721" s="109" t="s">
        <v>5844</v>
      </c>
      <c r="J721" s="109" t="s">
        <v>4004</v>
      </c>
    </row>
    <row r="722" spans="2:10" x14ac:dyDescent="0.25">
      <c r="B722" s="106" t="s">
        <v>6348</v>
      </c>
      <c r="C722" s="105">
        <v>1364</v>
      </c>
      <c r="D722" s="106"/>
      <c r="E722" s="139"/>
      <c r="H722" s="139"/>
      <c r="I722" s="109" t="s">
        <v>5845</v>
      </c>
      <c r="J722" s="109" t="s">
        <v>4005</v>
      </c>
    </row>
    <row r="723" spans="2:10" x14ac:dyDescent="0.25">
      <c r="B723" s="106" t="s">
        <v>6349</v>
      </c>
      <c r="C723" s="105">
        <v>967</v>
      </c>
      <c r="D723" s="106"/>
      <c r="E723" s="139"/>
      <c r="H723" s="139"/>
      <c r="I723" s="109" t="s">
        <v>5846</v>
      </c>
      <c r="J723" s="109" t="s">
        <v>4006</v>
      </c>
    </row>
    <row r="724" spans="2:10" x14ac:dyDescent="0.25">
      <c r="B724" s="106" t="s">
        <v>6350</v>
      </c>
      <c r="C724" s="105">
        <v>507</v>
      </c>
      <c r="D724" s="106"/>
      <c r="E724" s="139"/>
      <c r="H724" s="139"/>
      <c r="I724" s="109" t="s">
        <v>5847</v>
      </c>
      <c r="J724" s="109" t="s">
        <v>4007</v>
      </c>
    </row>
    <row r="725" spans="2:10" x14ac:dyDescent="0.25">
      <c r="B725" s="106" t="s">
        <v>6351</v>
      </c>
      <c r="C725" s="105">
        <v>1199</v>
      </c>
      <c r="D725" s="106"/>
      <c r="E725" s="139"/>
      <c r="H725" s="139"/>
      <c r="I725" s="109" t="s">
        <v>5848</v>
      </c>
      <c r="J725" s="109" t="s">
        <v>4008</v>
      </c>
    </row>
    <row r="726" spans="2:10" x14ac:dyDescent="0.25">
      <c r="B726" s="106" t="s">
        <v>6352</v>
      </c>
      <c r="C726" s="105">
        <v>1076</v>
      </c>
      <c r="D726" s="106"/>
      <c r="E726" s="139"/>
      <c r="H726" s="139"/>
      <c r="I726" s="109" t="s">
        <v>5849</v>
      </c>
      <c r="J726" s="109" t="s">
        <v>4009</v>
      </c>
    </row>
    <row r="727" spans="2:10" x14ac:dyDescent="0.25">
      <c r="B727" s="106" t="s">
        <v>6353</v>
      </c>
      <c r="C727" s="105">
        <v>557</v>
      </c>
      <c r="D727" s="106"/>
      <c r="E727" s="139"/>
      <c r="H727" s="139"/>
      <c r="I727" s="109" t="s">
        <v>5850</v>
      </c>
      <c r="J727" s="109" t="s">
        <v>4010</v>
      </c>
    </row>
    <row r="728" spans="2:10" x14ac:dyDescent="0.25">
      <c r="B728" s="106" t="s">
        <v>6354</v>
      </c>
      <c r="C728" s="105">
        <v>940</v>
      </c>
      <c r="D728" s="106"/>
      <c r="E728" s="139"/>
      <c r="H728" s="139"/>
      <c r="I728" s="109" t="s">
        <v>5851</v>
      </c>
      <c r="J728" s="109" t="s">
        <v>4011</v>
      </c>
    </row>
    <row r="729" spans="2:10" x14ac:dyDescent="0.25">
      <c r="B729" s="106" t="s">
        <v>6355</v>
      </c>
      <c r="C729" s="105">
        <v>583</v>
      </c>
      <c r="D729" s="106"/>
      <c r="E729" s="139"/>
      <c r="H729" s="139"/>
      <c r="I729" s="109" t="s">
        <v>5852</v>
      </c>
      <c r="J729" s="109" t="s">
        <v>4012</v>
      </c>
    </row>
    <row r="730" spans="2:10" x14ac:dyDescent="0.25">
      <c r="B730" s="106" t="s">
        <v>6356</v>
      </c>
      <c r="C730" s="105">
        <v>624</v>
      </c>
      <c r="D730" s="106"/>
      <c r="E730" s="139"/>
      <c r="H730" s="139"/>
      <c r="I730" s="109" t="s">
        <v>5853</v>
      </c>
      <c r="J730" s="109" t="s">
        <v>4013</v>
      </c>
    </row>
    <row r="731" spans="2:10" x14ac:dyDescent="0.25">
      <c r="B731" s="106" t="s">
        <v>6357</v>
      </c>
      <c r="C731" s="105">
        <v>511</v>
      </c>
      <c r="D731" s="106"/>
      <c r="E731" s="139"/>
      <c r="H731" s="139"/>
      <c r="I731" s="109" t="s">
        <v>5854</v>
      </c>
      <c r="J731" s="109" t="s">
        <v>4014</v>
      </c>
    </row>
    <row r="732" spans="2:10" x14ac:dyDescent="0.25">
      <c r="B732" s="106" t="s">
        <v>6358</v>
      </c>
      <c r="C732" s="105">
        <v>533</v>
      </c>
      <c r="D732" s="106"/>
      <c r="E732" s="139"/>
      <c r="H732" s="139"/>
      <c r="I732" s="109" t="s">
        <v>5855</v>
      </c>
      <c r="J732" s="109" t="s">
        <v>4015</v>
      </c>
    </row>
    <row r="733" spans="2:10" x14ac:dyDescent="0.25">
      <c r="B733" s="106" t="s">
        <v>6359</v>
      </c>
      <c r="C733" s="105">
        <v>1063</v>
      </c>
      <c r="D733" s="106"/>
      <c r="E733" s="139"/>
      <c r="H733" s="139"/>
      <c r="I733" s="109" t="s">
        <v>5856</v>
      </c>
      <c r="J733" s="109" t="s">
        <v>4016</v>
      </c>
    </row>
    <row r="734" spans="2:10" x14ac:dyDescent="0.25">
      <c r="B734" s="106" t="s">
        <v>6360</v>
      </c>
      <c r="C734" s="105">
        <v>1065</v>
      </c>
      <c r="D734" s="106"/>
      <c r="E734" s="139"/>
      <c r="H734" s="139"/>
      <c r="I734" s="109" t="s">
        <v>5857</v>
      </c>
      <c r="J734" s="109" t="s">
        <v>4017</v>
      </c>
    </row>
    <row r="735" spans="2:10" x14ac:dyDescent="0.25">
      <c r="B735" s="106" t="s">
        <v>6361</v>
      </c>
      <c r="C735" s="105">
        <v>918</v>
      </c>
      <c r="D735" s="106"/>
      <c r="E735" s="139"/>
      <c r="H735" s="139"/>
      <c r="I735" s="109" t="s">
        <v>5858</v>
      </c>
      <c r="J735" s="109" t="s">
        <v>4018</v>
      </c>
    </row>
    <row r="736" spans="2:10" x14ac:dyDescent="0.25">
      <c r="B736" s="106" t="s">
        <v>6362</v>
      </c>
      <c r="C736" s="105">
        <v>1221</v>
      </c>
      <c r="D736" s="106"/>
      <c r="E736" s="139"/>
      <c r="H736" s="139"/>
      <c r="I736" s="109" t="s">
        <v>5859</v>
      </c>
      <c r="J736" s="109" t="s">
        <v>4019</v>
      </c>
    </row>
    <row r="737" spans="2:10" x14ac:dyDescent="0.25">
      <c r="B737" s="106" t="s">
        <v>6363</v>
      </c>
      <c r="C737" s="105">
        <v>1222</v>
      </c>
      <c r="D737" s="106"/>
      <c r="E737" s="139"/>
      <c r="H737" s="139"/>
      <c r="I737" s="109" t="s">
        <v>5860</v>
      </c>
      <c r="J737" s="109" t="s">
        <v>4020</v>
      </c>
    </row>
    <row r="738" spans="2:10" x14ac:dyDescent="0.25">
      <c r="B738" s="106" t="s">
        <v>6364</v>
      </c>
      <c r="C738" s="105">
        <v>1047</v>
      </c>
      <c r="D738" s="106"/>
      <c r="E738" s="139"/>
      <c r="H738" s="139"/>
      <c r="I738" s="109" t="s">
        <v>5861</v>
      </c>
      <c r="J738" s="109" t="s">
        <v>4021</v>
      </c>
    </row>
    <row r="739" spans="2:10" x14ac:dyDescent="0.25">
      <c r="B739" s="106" t="s">
        <v>6365</v>
      </c>
      <c r="C739" s="105">
        <v>1051</v>
      </c>
      <c r="D739" s="106"/>
      <c r="E739" s="139"/>
      <c r="H739" s="139"/>
      <c r="I739" s="109" t="s">
        <v>5862</v>
      </c>
      <c r="J739" s="109" t="s">
        <v>4022</v>
      </c>
    </row>
    <row r="740" spans="2:10" x14ac:dyDescent="0.25">
      <c r="B740" s="106" t="s">
        <v>6366</v>
      </c>
      <c r="C740" s="105">
        <v>639</v>
      </c>
      <c r="D740" s="106"/>
      <c r="E740" s="139"/>
      <c r="H740" s="139"/>
      <c r="I740" s="109" t="s">
        <v>5863</v>
      </c>
      <c r="J740" s="109" t="s">
        <v>4023</v>
      </c>
    </row>
    <row r="741" spans="2:10" x14ac:dyDescent="0.25">
      <c r="B741" s="106" t="s">
        <v>6367</v>
      </c>
      <c r="C741" s="105">
        <v>680</v>
      </c>
      <c r="D741" s="106"/>
      <c r="E741" s="139"/>
      <c r="H741" s="139"/>
      <c r="I741" s="109" t="s">
        <v>5864</v>
      </c>
      <c r="J741" s="109" t="s">
        <v>4024</v>
      </c>
    </row>
    <row r="742" spans="2:10" x14ac:dyDescent="0.25">
      <c r="B742" s="106" t="s">
        <v>6368</v>
      </c>
      <c r="C742" s="105">
        <v>1031</v>
      </c>
      <c r="D742" s="106"/>
      <c r="E742" s="139"/>
      <c r="H742" s="139"/>
      <c r="I742" s="109" t="s">
        <v>5865</v>
      </c>
      <c r="J742" s="109" t="s">
        <v>4025</v>
      </c>
    </row>
    <row r="743" spans="2:10" x14ac:dyDescent="0.25">
      <c r="B743" s="106" t="s">
        <v>6369</v>
      </c>
      <c r="C743" s="105">
        <v>1362</v>
      </c>
      <c r="D743" s="106"/>
      <c r="E743" s="139"/>
      <c r="H743" s="139"/>
      <c r="I743" s="109" t="s">
        <v>5866</v>
      </c>
      <c r="J743" s="109" t="s">
        <v>4026</v>
      </c>
    </row>
    <row r="744" spans="2:10" x14ac:dyDescent="0.25">
      <c r="B744" s="106" t="s">
        <v>6370</v>
      </c>
      <c r="C744" s="105">
        <v>579</v>
      </c>
      <c r="D744" s="106"/>
      <c r="E744" s="139"/>
      <c r="H744" s="139"/>
      <c r="I744" s="109" t="s">
        <v>5867</v>
      </c>
      <c r="J744" s="109" t="s">
        <v>4027</v>
      </c>
    </row>
    <row r="745" spans="2:10" x14ac:dyDescent="0.25">
      <c r="B745" s="106" t="s">
        <v>6371</v>
      </c>
      <c r="C745" s="105">
        <v>619</v>
      </c>
      <c r="D745" s="106"/>
      <c r="E745" s="139"/>
      <c r="H745" s="139"/>
      <c r="I745" s="109" t="s">
        <v>5868</v>
      </c>
      <c r="J745" s="109" t="s">
        <v>4028</v>
      </c>
    </row>
    <row r="746" spans="2:10" x14ac:dyDescent="0.25">
      <c r="B746" s="106" t="s">
        <v>6372</v>
      </c>
      <c r="C746" s="105">
        <v>541</v>
      </c>
      <c r="D746" s="106"/>
      <c r="E746" s="139"/>
      <c r="H746" s="139"/>
      <c r="I746" s="109" t="s">
        <v>5869</v>
      </c>
      <c r="J746" s="109" t="s">
        <v>4029</v>
      </c>
    </row>
    <row r="747" spans="2:10" x14ac:dyDescent="0.25">
      <c r="B747" s="106" t="s">
        <v>6373</v>
      </c>
      <c r="C747" s="105">
        <v>543</v>
      </c>
      <c r="D747" s="106"/>
      <c r="E747" s="139"/>
      <c r="H747" s="139"/>
      <c r="I747" s="109" t="s">
        <v>5870</v>
      </c>
      <c r="J747" s="109" t="s">
        <v>4030</v>
      </c>
    </row>
    <row r="748" spans="2:10" x14ac:dyDescent="0.25">
      <c r="B748" s="106" t="s">
        <v>6374</v>
      </c>
      <c r="C748" s="105">
        <v>617</v>
      </c>
      <c r="D748" s="106"/>
      <c r="E748" s="139"/>
      <c r="H748" s="139"/>
      <c r="I748" s="109" t="s">
        <v>5871</v>
      </c>
      <c r="J748" s="109" t="s">
        <v>3901</v>
      </c>
    </row>
    <row r="749" spans="2:10" x14ac:dyDescent="0.25">
      <c r="B749" s="106" t="s">
        <v>6375</v>
      </c>
      <c r="C749" s="105">
        <v>615</v>
      </c>
      <c r="D749" s="106"/>
      <c r="E749" s="139"/>
      <c r="H749" s="139"/>
      <c r="I749" s="109" t="s">
        <v>5872</v>
      </c>
      <c r="J749" s="109" t="s">
        <v>4031</v>
      </c>
    </row>
    <row r="750" spans="2:10" x14ac:dyDescent="0.25">
      <c r="B750" s="106" t="s">
        <v>6376</v>
      </c>
      <c r="C750" s="105">
        <v>1445</v>
      </c>
      <c r="D750" s="106"/>
      <c r="E750" s="139"/>
      <c r="H750" s="139"/>
      <c r="I750" s="109" t="s">
        <v>5873</v>
      </c>
      <c r="J750" s="109" t="s">
        <v>4032</v>
      </c>
    </row>
    <row r="751" spans="2:10" x14ac:dyDescent="0.25">
      <c r="B751" s="106" t="s">
        <v>6377</v>
      </c>
      <c r="C751" s="105">
        <v>613</v>
      </c>
      <c r="D751" s="106"/>
      <c r="E751" s="139"/>
      <c r="H751" s="139"/>
      <c r="I751" s="109" t="s">
        <v>5874</v>
      </c>
      <c r="J751" s="109" t="s">
        <v>4033</v>
      </c>
    </row>
    <row r="752" spans="2:10" x14ac:dyDescent="0.25">
      <c r="B752" s="106" t="s">
        <v>6378</v>
      </c>
      <c r="C752" s="105">
        <v>83</v>
      </c>
      <c r="D752" s="106"/>
      <c r="E752" s="139"/>
      <c r="H752" s="139"/>
      <c r="I752" s="109" t="s">
        <v>5875</v>
      </c>
      <c r="J752" s="109" t="s">
        <v>4034</v>
      </c>
    </row>
    <row r="753" spans="2:10" x14ac:dyDescent="0.25">
      <c r="B753" s="106" t="s">
        <v>6379</v>
      </c>
      <c r="C753" s="105">
        <v>611</v>
      </c>
      <c r="D753" s="106"/>
      <c r="E753" s="139"/>
      <c r="H753" s="139"/>
      <c r="I753" s="109" t="s">
        <v>5876</v>
      </c>
      <c r="J753" s="109" t="s">
        <v>4035</v>
      </c>
    </row>
    <row r="754" spans="2:10" x14ac:dyDescent="0.25">
      <c r="B754" s="106" t="s">
        <v>6380</v>
      </c>
      <c r="C754" s="105">
        <v>101</v>
      </c>
      <c r="D754" s="106"/>
      <c r="E754" s="139"/>
      <c r="H754" s="139"/>
      <c r="I754" s="109" t="s">
        <v>5877</v>
      </c>
      <c r="J754" s="109" t="s">
        <v>4036</v>
      </c>
    </row>
    <row r="755" spans="2:10" x14ac:dyDescent="0.25">
      <c r="B755" s="106" t="s">
        <v>6381</v>
      </c>
      <c r="C755" s="105">
        <v>609</v>
      </c>
      <c r="D755" s="106"/>
      <c r="E755" s="139"/>
      <c r="H755" s="139"/>
      <c r="I755" s="109" t="s">
        <v>5878</v>
      </c>
      <c r="J755" s="109" t="s">
        <v>4037</v>
      </c>
    </row>
    <row r="756" spans="2:10" x14ac:dyDescent="0.25">
      <c r="B756" s="106" t="s">
        <v>6382</v>
      </c>
      <c r="C756" s="105">
        <v>1350</v>
      </c>
      <c r="D756" s="106"/>
      <c r="E756" s="139"/>
      <c r="H756" s="139"/>
      <c r="I756" s="109" t="s">
        <v>5879</v>
      </c>
      <c r="J756" s="109" t="s">
        <v>4038</v>
      </c>
    </row>
    <row r="757" spans="2:10" x14ac:dyDescent="0.25">
      <c r="B757" s="106" t="s">
        <v>6383</v>
      </c>
      <c r="C757" s="105">
        <v>977</v>
      </c>
      <c r="D757" s="106"/>
      <c r="E757" s="139"/>
      <c r="H757" s="139"/>
      <c r="I757" s="109" t="s">
        <v>5880</v>
      </c>
      <c r="J757" s="109" t="s">
        <v>4039</v>
      </c>
    </row>
    <row r="758" spans="2:10" x14ac:dyDescent="0.25">
      <c r="B758" s="106" t="s">
        <v>6384</v>
      </c>
      <c r="C758" s="105">
        <v>1014</v>
      </c>
      <c r="D758" s="106"/>
      <c r="E758" s="139"/>
      <c r="H758" s="139"/>
      <c r="I758" s="109" t="s">
        <v>5881</v>
      </c>
      <c r="J758" s="109" t="s">
        <v>4040</v>
      </c>
    </row>
    <row r="759" spans="2:10" x14ac:dyDescent="0.25">
      <c r="B759" s="106" t="s">
        <v>6385</v>
      </c>
      <c r="C759" s="105">
        <v>1018</v>
      </c>
      <c r="D759" s="106"/>
      <c r="E759" s="139"/>
      <c r="H759" s="139"/>
      <c r="I759" s="109" t="s">
        <v>5882</v>
      </c>
      <c r="J759" s="109" t="s">
        <v>4041</v>
      </c>
    </row>
    <row r="760" spans="2:10" x14ac:dyDescent="0.25">
      <c r="B760" s="106" t="s">
        <v>6386</v>
      </c>
      <c r="C760" s="105">
        <v>266</v>
      </c>
      <c r="D760" s="106"/>
      <c r="E760" s="139"/>
      <c r="H760" s="139"/>
      <c r="I760" s="109" t="s">
        <v>5883</v>
      </c>
      <c r="J760" s="109" t="s">
        <v>4042</v>
      </c>
    </row>
    <row r="761" spans="2:10" x14ac:dyDescent="0.25">
      <c r="B761" s="106" t="s">
        <v>6387</v>
      </c>
      <c r="C761" s="105">
        <v>192</v>
      </c>
      <c r="D761" s="106"/>
      <c r="E761" s="139"/>
      <c r="H761" s="139"/>
      <c r="I761" s="109" t="s">
        <v>5884</v>
      </c>
      <c r="J761" s="109" t="s">
        <v>4043</v>
      </c>
    </row>
    <row r="762" spans="2:10" x14ac:dyDescent="0.25">
      <c r="B762" s="106" t="s">
        <v>6388</v>
      </c>
      <c r="C762" s="105">
        <v>651</v>
      </c>
      <c r="D762" s="106"/>
      <c r="E762" s="139"/>
      <c r="H762" s="139"/>
      <c r="I762" s="109" t="s">
        <v>5885</v>
      </c>
      <c r="J762" s="109" t="s">
        <v>4044</v>
      </c>
    </row>
    <row r="763" spans="2:10" x14ac:dyDescent="0.25">
      <c r="B763" s="106" t="s">
        <v>6389</v>
      </c>
      <c r="C763" s="105">
        <v>621</v>
      </c>
      <c r="D763" s="106"/>
      <c r="E763" s="139"/>
      <c r="H763" s="139"/>
      <c r="I763" s="109" t="s">
        <v>5886</v>
      </c>
      <c r="J763" s="109" t="s">
        <v>4045</v>
      </c>
    </row>
    <row r="764" spans="2:10" x14ac:dyDescent="0.25">
      <c r="B764" s="106" t="s">
        <v>6390</v>
      </c>
      <c r="C764" s="105">
        <v>648</v>
      </c>
      <c r="D764" s="106"/>
      <c r="E764" s="139"/>
      <c r="H764" s="139"/>
      <c r="I764" s="109" t="s">
        <v>5887</v>
      </c>
      <c r="J764" s="109" t="s">
        <v>4046</v>
      </c>
    </row>
    <row r="765" spans="2:10" x14ac:dyDescent="0.25">
      <c r="B765" s="106" t="s">
        <v>6391</v>
      </c>
      <c r="C765" s="105">
        <v>622</v>
      </c>
      <c r="D765" s="106"/>
      <c r="E765" s="139"/>
      <c r="H765" s="139"/>
      <c r="I765" s="109" t="s">
        <v>5888</v>
      </c>
      <c r="J765" s="109" t="s">
        <v>4047</v>
      </c>
    </row>
    <row r="766" spans="2:10" x14ac:dyDescent="0.25">
      <c r="B766" s="106" t="s">
        <v>6392</v>
      </c>
      <c r="C766" s="105">
        <v>649</v>
      </c>
      <c r="D766" s="106"/>
      <c r="E766" s="139"/>
      <c r="H766" s="139"/>
      <c r="I766" s="109" t="s">
        <v>5889</v>
      </c>
      <c r="J766" s="109" t="s">
        <v>4048</v>
      </c>
    </row>
    <row r="767" spans="2:10" x14ac:dyDescent="0.25">
      <c r="B767" s="106" t="s">
        <v>6393</v>
      </c>
      <c r="C767" s="105">
        <v>1389</v>
      </c>
      <c r="D767" s="106"/>
      <c r="E767" s="139"/>
      <c r="H767" s="139"/>
      <c r="I767" s="109" t="s">
        <v>5890</v>
      </c>
      <c r="J767" s="109" t="s">
        <v>4049</v>
      </c>
    </row>
    <row r="768" spans="2:10" x14ac:dyDescent="0.25">
      <c r="B768" s="106" t="s">
        <v>6394</v>
      </c>
      <c r="C768" s="105">
        <v>1216</v>
      </c>
      <c r="D768" s="106"/>
      <c r="E768" s="139"/>
      <c r="H768" s="139"/>
      <c r="I768" s="109" t="s">
        <v>5891</v>
      </c>
      <c r="J768" s="109" t="s">
        <v>4050</v>
      </c>
    </row>
    <row r="769" spans="2:10" x14ac:dyDescent="0.25">
      <c r="B769" s="106" t="s">
        <v>6395</v>
      </c>
      <c r="C769" s="105">
        <v>798</v>
      </c>
      <c r="D769" s="106"/>
      <c r="E769" s="139"/>
      <c r="H769" s="139"/>
      <c r="I769" s="109" t="s">
        <v>5892</v>
      </c>
      <c r="J769" s="109" t="s">
        <v>4051</v>
      </c>
    </row>
    <row r="770" spans="2:10" x14ac:dyDescent="0.25">
      <c r="B770" s="106" t="s">
        <v>6396</v>
      </c>
      <c r="C770" s="105">
        <v>752</v>
      </c>
      <c r="D770" s="106"/>
      <c r="E770" s="139"/>
      <c r="H770" s="139"/>
      <c r="I770" s="109" t="s">
        <v>5893</v>
      </c>
      <c r="J770" s="109" t="s">
        <v>4052</v>
      </c>
    </row>
    <row r="771" spans="2:10" x14ac:dyDescent="0.25">
      <c r="B771" s="106" t="s">
        <v>6397</v>
      </c>
      <c r="C771" s="105">
        <v>26</v>
      </c>
      <c r="D771" s="106"/>
      <c r="E771" s="139"/>
      <c r="H771" s="139"/>
      <c r="I771" s="109" t="s">
        <v>5894</v>
      </c>
      <c r="J771" s="109" t="s">
        <v>4053</v>
      </c>
    </row>
    <row r="772" spans="2:10" x14ac:dyDescent="0.25">
      <c r="B772" s="106" t="s">
        <v>6398</v>
      </c>
      <c r="C772" s="105">
        <v>1234</v>
      </c>
      <c r="D772" s="106"/>
      <c r="E772" s="139"/>
      <c r="H772" s="139"/>
      <c r="I772" s="109" t="s">
        <v>5895</v>
      </c>
      <c r="J772" s="109" t="s">
        <v>4054</v>
      </c>
    </row>
    <row r="773" spans="2:10" x14ac:dyDescent="0.25">
      <c r="B773" s="106" t="s">
        <v>6399</v>
      </c>
      <c r="C773" s="105">
        <v>1303</v>
      </c>
      <c r="D773" s="106"/>
      <c r="E773" s="139"/>
      <c r="H773" s="139"/>
      <c r="I773" s="109" t="s">
        <v>5896</v>
      </c>
      <c r="J773" s="109" t="s">
        <v>4055</v>
      </c>
    </row>
    <row r="774" spans="2:10" x14ac:dyDescent="0.25">
      <c r="B774" s="106" t="s">
        <v>6400</v>
      </c>
      <c r="C774" s="105">
        <v>684</v>
      </c>
      <c r="D774" s="106"/>
      <c r="E774" s="139"/>
      <c r="H774" s="139"/>
      <c r="I774" s="109" t="s">
        <v>5897</v>
      </c>
      <c r="J774" s="109" t="s">
        <v>4056</v>
      </c>
    </row>
    <row r="775" spans="2:10" x14ac:dyDescent="0.25">
      <c r="B775" s="106" t="s">
        <v>6401</v>
      </c>
      <c r="C775" s="105">
        <v>688</v>
      </c>
      <c r="D775" s="106"/>
      <c r="E775" s="139"/>
      <c r="H775" s="139"/>
      <c r="I775" s="109" t="s">
        <v>5898</v>
      </c>
      <c r="J775" s="109" t="s">
        <v>4057</v>
      </c>
    </row>
    <row r="776" spans="2:10" x14ac:dyDescent="0.25">
      <c r="B776" s="106" t="s">
        <v>6402</v>
      </c>
      <c r="C776" s="105">
        <v>667</v>
      </c>
      <c r="D776" s="106"/>
      <c r="E776" s="139"/>
      <c r="H776" s="139"/>
      <c r="I776" s="109" t="s">
        <v>5899</v>
      </c>
      <c r="J776" s="109" t="s">
        <v>4058</v>
      </c>
    </row>
    <row r="777" spans="2:10" x14ac:dyDescent="0.25">
      <c r="B777" s="106" t="s">
        <v>6403</v>
      </c>
      <c r="C777" s="105">
        <v>666</v>
      </c>
      <c r="D777" s="106"/>
      <c r="E777" s="139"/>
      <c r="H777" s="139"/>
      <c r="I777" s="109" t="s">
        <v>5900</v>
      </c>
      <c r="J777" s="109" t="s">
        <v>4059</v>
      </c>
    </row>
    <row r="778" spans="2:10" x14ac:dyDescent="0.25">
      <c r="B778" s="106" t="s">
        <v>6404</v>
      </c>
      <c r="C778" s="105">
        <v>636</v>
      </c>
      <c r="D778" s="106"/>
      <c r="E778" s="139"/>
      <c r="H778" s="139"/>
      <c r="I778" s="109" t="s">
        <v>5901</v>
      </c>
      <c r="J778" s="109" t="s">
        <v>4060</v>
      </c>
    </row>
    <row r="779" spans="2:10" x14ac:dyDescent="0.25">
      <c r="B779" s="106" t="s">
        <v>6405</v>
      </c>
      <c r="C779" s="105">
        <v>2</v>
      </c>
      <c r="D779" s="106"/>
      <c r="E779" s="139"/>
      <c r="H779" s="139"/>
      <c r="I779" s="109" t="s">
        <v>5902</v>
      </c>
      <c r="J779" s="109" t="s">
        <v>4061</v>
      </c>
    </row>
    <row r="780" spans="2:10" x14ac:dyDescent="0.25">
      <c r="B780" s="106" t="s">
        <v>6406</v>
      </c>
      <c r="C780" s="105">
        <v>35</v>
      </c>
      <c r="D780" s="106"/>
      <c r="E780" s="139"/>
      <c r="H780" s="139"/>
      <c r="I780" s="109" t="s">
        <v>5903</v>
      </c>
      <c r="J780" s="109" t="s">
        <v>4062</v>
      </c>
    </row>
    <row r="781" spans="2:10" x14ac:dyDescent="0.25">
      <c r="B781" s="106" t="s">
        <v>6407</v>
      </c>
      <c r="C781" s="105">
        <v>1117</v>
      </c>
      <c r="D781" s="106"/>
      <c r="E781" s="139"/>
      <c r="H781" s="139"/>
      <c r="I781" s="109" t="s">
        <v>5904</v>
      </c>
      <c r="J781" s="109" t="s">
        <v>4063</v>
      </c>
    </row>
    <row r="782" spans="2:10" x14ac:dyDescent="0.25">
      <c r="B782" s="106" t="s">
        <v>6408</v>
      </c>
      <c r="C782" s="105">
        <v>710</v>
      </c>
      <c r="D782" s="106"/>
      <c r="E782" s="139"/>
      <c r="H782" s="139"/>
      <c r="I782" s="109" t="s">
        <v>5905</v>
      </c>
      <c r="J782" s="109" t="s">
        <v>4064</v>
      </c>
    </row>
    <row r="783" spans="2:10" x14ac:dyDescent="0.25">
      <c r="B783" s="106" t="s">
        <v>6409</v>
      </c>
      <c r="C783" s="105">
        <v>1189</v>
      </c>
      <c r="D783" s="106"/>
      <c r="E783" s="139"/>
      <c r="H783" s="139"/>
      <c r="I783" s="109" t="s">
        <v>5906</v>
      </c>
      <c r="J783" s="109" t="s">
        <v>4065</v>
      </c>
    </row>
    <row r="784" spans="2:10" x14ac:dyDescent="0.25">
      <c r="B784" s="106" t="s">
        <v>6410</v>
      </c>
      <c r="C784" s="105">
        <v>126</v>
      </c>
      <c r="D784" s="106"/>
      <c r="E784" s="139"/>
      <c r="H784" s="139"/>
      <c r="I784" s="109" t="s">
        <v>5907</v>
      </c>
      <c r="J784" s="109" t="s">
        <v>4066</v>
      </c>
    </row>
    <row r="785" spans="2:10" x14ac:dyDescent="0.25">
      <c r="B785" s="106" t="s">
        <v>6411</v>
      </c>
      <c r="C785" s="105">
        <v>125</v>
      </c>
      <c r="D785" s="106"/>
      <c r="E785" s="139"/>
      <c r="H785" s="139"/>
      <c r="I785" s="109" t="s">
        <v>5908</v>
      </c>
      <c r="J785" s="109" t="s">
        <v>4067</v>
      </c>
    </row>
    <row r="786" spans="2:10" ht="24" x14ac:dyDescent="0.25">
      <c r="B786" s="106" t="s">
        <v>6412</v>
      </c>
      <c r="C786" s="105">
        <v>1484</v>
      </c>
      <c r="D786" s="106"/>
      <c r="E786" s="139"/>
      <c r="H786" s="139"/>
      <c r="I786" s="109" t="s">
        <v>5909</v>
      </c>
      <c r="J786" s="109" t="s">
        <v>4068</v>
      </c>
    </row>
    <row r="787" spans="2:10" x14ac:dyDescent="0.25">
      <c r="B787" s="106" t="s">
        <v>6413</v>
      </c>
      <c r="C787" s="105">
        <v>1497</v>
      </c>
      <c r="D787" s="106"/>
      <c r="E787" s="139"/>
      <c r="H787" s="139"/>
      <c r="I787" s="109" t="s">
        <v>5910</v>
      </c>
      <c r="J787" s="109" t="s">
        <v>4069</v>
      </c>
    </row>
    <row r="788" spans="2:10" ht="24" x14ac:dyDescent="0.25">
      <c r="B788" s="106" t="s">
        <v>6414</v>
      </c>
      <c r="C788" s="105">
        <v>1495</v>
      </c>
      <c r="D788" s="106"/>
      <c r="E788" s="139"/>
      <c r="H788" s="139"/>
      <c r="I788" s="109" t="s">
        <v>5911</v>
      </c>
      <c r="J788" s="109" t="s">
        <v>4070</v>
      </c>
    </row>
    <row r="789" spans="2:10" x14ac:dyDescent="0.25">
      <c r="B789" s="106" t="s">
        <v>6415</v>
      </c>
      <c r="C789" s="105">
        <v>299</v>
      </c>
      <c r="D789" s="106"/>
      <c r="E789" s="139"/>
      <c r="H789" s="139"/>
      <c r="I789" s="109" t="s">
        <v>5912</v>
      </c>
      <c r="J789" s="109" t="s">
        <v>4071</v>
      </c>
    </row>
    <row r="790" spans="2:10" x14ac:dyDescent="0.25">
      <c r="B790" s="106" t="s">
        <v>6416</v>
      </c>
      <c r="C790" s="105">
        <v>1135</v>
      </c>
      <c r="D790" s="106"/>
      <c r="E790" s="139"/>
      <c r="H790" s="139"/>
      <c r="I790" s="109" t="s">
        <v>5913</v>
      </c>
      <c r="J790" s="109" t="s">
        <v>4072</v>
      </c>
    </row>
    <row r="791" spans="2:10" x14ac:dyDescent="0.25">
      <c r="B791" s="106" t="s">
        <v>6417</v>
      </c>
      <c r="C791" s="105">
        <v>1261</v>
      </c>
      <c r="D791" s="106"/>
      <c r="E791" s="139"/>
      <c r="H791" s="139"/>
      <c r="I791" s="109" t="s">
        <v>5914</v>
      </c>
      <c r="J791" s="109" t="s">
        <v>4073</v>
      </c>
    </row>
    <row r="792" spans="2:10" x14ac:dyDescent="0.25">
      <c r="B792" s="106" t="s">
        <v>6418</v>
      </c>
      <c r="C792" s="105">
        <v>1269</v>
      </c>
      <c r="D792" s="106"/>
      <c r="E792" s="139"/>
      <c r="H792" s="139"/>
      <c r="I792" s="109" t="s">
        <v>5915</v>
      </c>
      <c r="J792" s="109" t="s">
        <v>4074</v>
      </c>
    </row>
    <row r="793" spans="2:10" x14ac:dyDescent="0.25">
      <c r="B793" s="106" t="s">
        <v>6419</v>
      </c>
      <c r="C793" s="105">
        <v>1084</v>
      </c>
      <c r="D793" s="106"/>
      <c r="E793" s="139"/>
      <c r="H793" s="139"/>
      <c r="I793" s="109" t="s">
        <v>5916</v>
      </c>
      <c r="J793" s="109" t="s">
        <v>4075</v>
      </c>
    </row>
    <row r="794" spans="2:10" x14ac:dyDescent="0.25">
      <c r="B794" s="106" t="s">
        <v>6420</v>
      </c>
      <c r="C794" s="105">
        <v>1088</v>
      </c>
      <c r="D794" s="106"/>
      <c r="E794" s="139"/>
      <c r="H794" s="139"/>
      <c r="I794" s="109" t="s">
        <v>5917</v>
      </c>
      <c r="J794" s="109" t="s">
        <v>4076</v>
      </c>
    </row>
    <row r="795" spans="2:10" x14ac:dyDescent="0.25">
      <c r="B795" s="106" t="s">
        <v>6421</v>
      </c>
      <c r="C795" s="105">
        <v>1354</v>
      </c>
      <c r="D795" s="106"/>
      <c r="E795" s="139"/>
      <c r="H795" s="139"/>
      <c r="I795" s="109" t="s">
        <v>5918</v>
      </c>
      <c r="J795" s="109" t="s">
        <v>4077</v>
      </c>
    </row>
    <row r="796" spans="2:10" x14ac:dyDescent="0.25">
      <c r="B796" s="106" t="s">
        <v>6422</v>
      </c>
      <c r="C796" s="105">
        <v>228</v>
      </c>
      <c r="D796" s="106"/>
      <c r="E796" s="139"/>
      <c r="H796" s="139"/>
      <c r="I796" s="109" t="s">
        <v>5919</v>
      </c>
      <c r="J796" s="109" t="s">
        <v>4078</v>
      </c>
    </row>
    <row r="797" spans="2:10" x14ac:dyDescent="0.25">
      <c r="B797" s="106" t="s">
        <v>6423</v>
      </c>
      <c r="C797" s="105">
        <v>1339</v>
      </c>
      <c r="D797" s="106"/>
      <c r="E797" s="139"/>
      <c r="H797" s="139"/>
      <c r="I797" s="109" t="s">
        <v>5920</v>
      </c>
      <c r="J797" s="109" t="s">
        <v>4079</v>
      </c>
    </row>
    <row r="798" spans="2:10" x14ac:dyDescent="0.25">
      <c r="B798" s="106" t="s">
        <v>6424</v>
      </c>
      <c r="C798" s="105">
        <v>1334</v>
      </c>
      <c r="D798" s="106"/>
      <c r="E798" s="139"/>
      <c r="H798" s="139"/>
      <c r="I798" s="109" t="s">
        <v>5921</v>
      </c>
      <c r="J798" s="109" t="s">
        <v>4080</v>
      </c>
    </row>
    <row r="799" spans="2:10" x14ac:dyDescent="0.25">
      <c r="B799" s="106" t="s">
        <v>6425</v>
      </c>
      <c r="C799" s="105">
        <v>47</v>
      </c>
      <c r="D799" s="106"/>
      <c r="E799" s="139"/>
      <c r="H799" s="139"/>
      <c r="I799" s="109" t="s">
        <v>5922</v>
      </c>
      <c r="J799" s="109" t="s">
        <v>4081</v>
      </c>
    </row>
    <row r="800" spans="2:10" x14ac:dyDescent="0.25">
      <c r="B800" s="106" t="s">
        <v>6426</v>
      </c>
      <c r="C800" s="105">
        <v>1257</v>
      </c>
      <c r="D800" s="106"/>
      <c r="E800" s="139"/>
      <c r="H800" s="139"/>
      <c r="I800" s="109" t="s">
        <v>5923</v>
      </c>
      <c r="J800" s="109" t="s">
        <v>4082</v>
      </c>
    </row>
    <row r="801" spans="2:10" x14ac:dyDescent="0.25">
      <c r="B801" s="106" t="s">
        <v>6427</v>
      </c>
      <c r="C801" s="105">
        <v>227</v>
      </c>
      <c r="D801" s="106"/>
      <c r="E801" s="139"/>
      <c r="H801" s="139"/>
      <c r="I801" s="109" t="s">
        <v>5924</v>
      </c>
      <c r="J801" s="109" t="s">
        <v>4083</v>
      </c>
    </row>
    <row r="802" spans="2:10" ht="24" x14ac:dyDescent="0.25">
      <c r="B802" s="106" t="s">
        <v>6428</v>
      </c>
      <c r="C802" s="105">
        <v>1524</v>
      </c>
      <c r="D802" s="106"/>
      <c r="E802" s="139"/>
      <c r="H802" s="139"/>
      <c r="I802" s="109" t="s">
        <v>5925</v>
      </c>
      <c r="J802" s="109" t="s">
        <v>4084</v>
      </c>
    </row>
    <row r="803" spans="2:10" ht="24" x14ac:dyDescent="0.25">
      <c r="B803" s="106" t="s">
        <v>6429</v>
      </c>
      <c r="C803" s="105">
        <v>1532</v>
      </c>
      <c r="D803" s="106"/>
      <c r="E803" s="139"/>
      <c r="H803" s="139"/>
      <c r="I803" s="109" t="s">
        <v>5926</v>
      </c>
      <c r="J803" s="109" t="s">
        <v>4085</v>
      </c>
    </row>
    <row r="804" spans="2:10" ht="24" x14ac:dyDescent="0.25">
      <c r="B804" s="106" t="s">
        <v>6430</v>
      </c>
      <c r="C804" s="105">
        <v>5593</v>
      </c>
      <c r="D804" s="106"/>
      <c r="E804" s="139"/>
      <c r="H804" s="139"/>
      <c r="I804" s="109" t="s">
        <v>5927</v>
      </c>
      <c r="J804" s="109" t="s">
        <v>4086</v>
      </c>
    </row>
    <row r="805" spans="2:10" x14ac:dyDescent="0.25">
      <c r="B805" s="106" t="s">
        <v>6431</v>
      </c>
      <c r="C805" s="105">
        <v>888</v>
      </c>
      <c r="D805" s="106"/>
      <c r="E805" s="139"/>
      <c r="H805" s="139"/>
      <c r="I805" s="109" t="s">
        <v>5928</v>
      </c>
      <c r="J805" s="109" t="s">
        <v>4087</v>
      </c>
    </row>
    <row r="806" spans="2:10" x14ac:dyDescent="0.25">
      <c r="B806" s="106" t="s">
        <v>6432</v>
      </c>
      <c r="C806" s="105">
        <v>1103</v>
      </c>
      <c r="D806" s="106"/>
      <c r="E806" s="139"/>
      <c r="H806" s="139"/>
      <c r="I806" s="109" t="s">
        <v>5929</v>
      </c>
      <c r="J806" s="109" t="s">
        <v>4088</v>
      </c>
    </row>
    <row r="807" spans="2:10" x14ac:dyDescent="0.25">
      <c r="B807" s="106" t="s">
        <v>6433</v>
      </c>
      <c r="C807" s="105">
        <v>1230</v>
      </c>
      <c r="D807" s="106"/>
      <c r="E807" s="139"/>
      <c r="H807" s="139"/>
      <c r="I807" s="109" t="s">
        <v>5930</v>
      </c>
      <c r="J807" s="109" t="s">
        <v>4089</v>
      </c>
    </row>
    <row r="808" spans="2:10" x14ac:dyDescent="0.25">
      <c r="B808" s="106" t="s">
        <v>6434</v>
      </c>
      <c r="C808" s="105">
        <v>1229</v>
      </c>
      <c r="D808" s="106"/>
      <c r="E808" s="139"/>
      <c r="H808" s="139"/>
      <c r="I808" s="109" t="s">
        <v>5931</v>
      </c>
      <c r="J808" s="109" t="s">
        <v>4090</v>
      </c>
    </row>
    <row r="809" spans="2:10" x14ac:dyDescent="0.25">
      <c r="B809" s="106" t="s">
        <v>6435</v>
      </c>
      <c r="C809" s="105">
        <v>1130</v>
      </c>
      <c r="D809" s="106"/>
      <c r="E809" s="139"/>
      <c r="H809" s="139"/>
      <c r="I809" s="109" t="s">
        <v>5932</v>
      </c>
      <c r="J809" s="109" t="s">
        <v>4091</v>
      </c>
    </row>
    <row r="810" spans="2:10" x14ac:dyDescent="0.25">
      <c r="B810" s="106" t="s">
        <v>6436</v>
      </c>
      <c r="C810" s="105">
        <v>419</v>
      </c>
      <c r="D810" s="106"/>
      <c r="E810" s="139"/>
      <c r="H810" s="139"/>
      <c r="I810" s="109" t="s">
        <v>5933</v>
      </c>
      <c r="J810" s="109" t="s">
        <v>4092</v>
      </c>
    </row>
    <row r="811" spans="2:10" x14ac:dyDescent="0.25">
      <c r="B811" s="106" t="s">
        <v>6437</v>
      </c>
      <c r="C811" s="105">
        <v>31</v>
      </c>
      <c r="D811" s="106"/>
      <c r="E811" s="139"/>
      <c r="H811" s="139"/>
      <c r="I811" s="109" t="s">
        <v>5934</v>
      </c>
      <c r="J811" s="109" t="s">
        <v>4093</v>
      </c>
    </row>
    <row r="812" spans="2:10" x14ac:dyDescent="0.25">
      <c r="B812" s="106" t="s">
        <v>6438</v>
      </c>
      <c r="C812" s="105">
        <v>407</v>
      </c>
      <c r="D812" s="106"/>
      <c r="E812" s="139"/>
      <c r="H812" s="139"/>
      <c r="I812" s="109" t="s">
        <v>5935</v>
      </c>
      <c r="J812" s="109" t="s">
        <v>4094</v>
      </c>
    </row>
    <row r="813" spans="2:10" x14ac:dyDescent="0.25">
      <c r="B813" s="106" t="s">
        <v>6439</v>
      </c>
      <c r="C813" s="105">
        <v>415</v>
      </c>
      <c r="D813" s="106"/>
      <c r="E813" s="139"/>
      <c r="H813" s="139"/>
      <c r="I813" s="109" t="s">
        <v>5936</v>
      </c>
      <c r="J813" s="109" t="s">
        <v>4095</v>
      </c>
    </row>
    <row r="814" spans="2:10" x14ac:dyDescent="0.25">
      <c r="B814" s="106" t="s">
        <v>6440</v>
      </c>
      <c r="C814" s="105">
        <v>954</v>
      </c>
      <c r="D814" s="106"/>
      <c r="E814" s="139"/>
      <c r="H814" s="139"/>
      <c r="I814" s="109" t="s">
        <v>5937</v>
      </c>
      <c r="J814" s="109" t="s">
        <v>4096</v>
      </c>
    </row>
    <row r="815" spans="2:10" x14ac:dyDescent="0.25">
      <c r="B815" s="106" t="s">
        <v>6441</v>
      </c>
      <c r="C815" s="105">
        <v>443</v>
      </c>
      <c r="D815" s="106"/>
      <c r="E815" s="139"/>
      <c r="H815" s="139"/>
      <c r="I815" s="109" t="s">
        <v>5938</v>
      </c>
      <c r="J815" s="109" t="s">
        <v>4097</v>
      </c>
    </row>
    <row r="816" spans="2:10" x14ac:dyDescent="0.25">
      <c r="B816" s="106" t="s">
        <v>6442</v>
      </c>
      <c r="C816" s="105">
        <v>1358</v>
      </c>
      <c r="D816" s="106"/>
      <c r="E816" s="139"/>
      <c r="H816" s="139"/>
      <c r="I816" s="109" t="s">
        <v>5939</v>
      </c>
      <c r="J816" s="109" t="s">
        <v>4098</v>
      </c>
    </row>
    <row r="817" spans="2:10" x14ac:dyDescent="0.25">
      <c r="B817" s="106" t="s">
        <v>6443</v>
      </c>
      <c r="C817" s="105">
        <v>1023</v>
      </c>
      <c r="D817" s="106"/>
      <c r="E817" s="139"/>
      <c r="H817" s="139"/>
      <c r="I817" s="109" t="s">
        <v>5940</v>
      </c>
      <c r="J817" s="109" t="s">
        <v>4099</v>
      </c>
    </row>
    <row r="818" spans="2:10" x14ac:dyDescent="0.25">
      <c r="B818" s="106" t="s">
        <v>6444</v>
      </c>
      <c r="C818" s="105">
        <v>425</v>
      </c>
      <c r="D818" s="106"/>
      <c r="E818" s="139"/>
      <c r="H818" s="139"/>
      <c r="I818" s="109" t="s">
        <v>5941</v>
      </c>
      <c r="J818" s="109" t="s">
        <v>4100</v>
      </c>
    </row>
    <row r="819" spans="2:10" x14ac:dyDescent="0.25">
      <c r="B819" s="106" t="s">
        <v>6445</v>
      </c>
      <c r="C819" s="105">
        <v>1010</v>
      </c>
      <c r="D819" s="106"/>
      <c r="E819" s="139"/>
      <c r="H819" s="139"/>
      <c r="I819" s="109" t="s">
        <v>5942</v>
      </c>
      <c r="J819" s="109" t="s">
        <v>4101</v>
      </c>
    </row>
    <row r="820" spans="2:10" x14ac:dyDescent="0.25">
      <c r="B820" s="106" t="s">
        <v>6446</v>
      </c>
      <c r="C820" s="105">
        <v>1469</v>
      </c>
      <c r="D820" s="106"/>
      <c r="E820" s="139"/>
      <c r="H820" s="139"/>
      <c r="I820" s="109" t="s">
        <v>5943</v>
      </c>
      <c r="J820" s="109" t="s">
        <v>4102</v>
      </c>
    </row>
    <row r="821" spans="2:10" x14ac:dyDescent="0.25">
      <c r="B821" s="106" t="s">
        <v>6447</v>
      </c>
      <c r="C821" s="105">
        <v>56</v>
      </c>
      <c r="D821" s="106"/>
      <c r="E821" s="139"/>
      <c r="H821" s="139"/>
      <c r="I821" s="109" t="s">
        <v>5944</v>
      </c>
      <c r="J821" s="109" t="s">
        <v>4103</v>
      </c>
    </row>
    <row r="822" spans="2:10" x14ac:dyDescent="0.25">
      <c r="B822" s="106" t="s">
        <v>6448</v>
      </c>
      <c r="C822" s="105">
        <v>868</v>
      </c>
      <c r="D822" s="106"/>
      <c r="E822" s="139"/>
      <c r="H822" s="139"/>
      <c r="I822" s="109" t="s">
        <v>5945</v>
      </c>
      <c r="J822" s="109" t="s">
        <v>4104</v>
      </c>
    </row>
    <row r="823" spans="2:10" x14ac:dyDescent="0.25">
      <c r="B823" s="106" t="s">
        <v>6449</v>
      </c>
      <c r="C823" s="105">
        <v>491</v>
      </c>
      <c r="D823" s="106"/>
      <c r="E823" s="139"/>
      <c r="H823" s="139"/>
      <c r="I823" s="109" t="s">
        <v>5946</v>
      </c>
      <c r="J823" s="109" t="s">
        <v>4105</v>
      </c>
    </row>
    <row r="824" spans="2:10" x14ac:dyDescent="0.25">
      <c r="B824" s="106" t="s">
        <v>6450</v>
      </c>
      <c r="C824" s="105">
        <v>17</v>
      </c>
      <c r="D824" s="106"/>
      <c r="E824" s="139"/>
      <c r="H824" s="139"/>
      <c r="I824" s="109" t="s">
        <v>5947</v>
      </c>
      <c r="J824" s="109" t="s">
        <v>4106</v>
      </c>
    </row>
    <row r="825" spans="2:10" x14ac:dyDescent="0.25">
      <c r="B825" s="106" t="s">
        <v>6451</v>
      </c>
      <c r="C825" s="105">
        <v>1159</v>
      </c>
      <c r="D825" s="106"/>
      <c r="E825" s="139"/>
      <c r="H825" s="139"/>
      <c r="I825" s="109" t="s">
        <v>5948</v>
      </c>
      <c r="J825" s="109" t="s">
        <v>4107</v>
      </c>
    </row>
    <row r="826" spans="2:10" x14ac:dyDescent="0.25">
      <c r="B826" s="106" t="s">
        <v>6452</v>
      </c>
      <c r="C826" s="105">
        <v>1421</v>
      </c>
      <c r="D826" s="106"/>
      <c r="E826" s="139"/>
      <c r="H826" s="139"/>
      <c r="I826" s="109" t="s">
        <v>5949</v>
      </c>
      <c r="J826" s="109" t="s">
        <v>4108</v>
      </c>
    </row>
    <row r="827" spans="2:10" x14ac:dyDescent="0.25">
      <c r="B827" s="106" t="s">
        <v>6453</v>
      </c>
      <c r="C827" s="105">
        <v>16</v>
      </c>
      <c r="D827" s="106"/>
      <c r="E827" s="139"/>
      <c r="H827" s="139"/>
      <c r="I827" s="109" t="s">
        <v>5950</v>
      </c>
      <c r="J827" s="109" t="s">
        <v>4109</v>
      </c>
    </row>
    <row r="828" spans="2:10" x14ac:dyDescent="0.25">
      <c r="B828" s="106" t="s">
        <v>6454</v>
      </c>
      <c r="C828" s="105">
        <v>21</v>
      </c>
      <c r="D828" s="106"/>
      <c r="E828" s="139"/>
      <c r="H828" s="139"/>
      <c r="I828" s="109" t="s">
        <v>5951</v>
      </c>
      <c r="J828" s="109" t="s">
        <v>4110</v>
      </c>
    </row>
    <row r="829" spans="2:10" x14ac:dyDescent="0.25">
      <c r="B829" s="106" t="s">
        <v>6455</v>
      </c>
      <c r="C829" s="105">
        <v>40</v>
      </c>
      <c r="D829" s="106"/>
      <c r="E829" s="139"/>
      <c r="H829" s="139"/>
      <c r="I829" s="109" t="s">
        <v>5952</v>
      </c>
      <c r="J829" s="109" t="s">
        <v>4111</v>
      </c>
    </row>
    <row r="830" spans="2:10" x14ac:dyDescent="0.25">
      <c r="B830" s="106" t="s">
        <v>6456</v>
      </c>
      <c r="C830" s="105">
        <v>784</v>
      </c>
      <c r="D830" s="106"/>
      <c r="E830" s="139"/>
      <c r="H830" s="139"/>
      <c r="I830" s="109" t="s">
        <v>5953</v>
      </c>
      <c r="J830" s="109" t="s">
        <v>4112</v>
      </c>
    </row>
    <row r="831" spans="2:10" x14ac:dyDescent="0.25">
      <c r="B831" s="106" t="s">
        <v>6457</v>
      </c>
      <c r="C831" s="105">
        <v>840</v>
      </c>
      <c r="D831" s="106"/>
      <c r="E831" s="139"/>
      <c r="H831" s="139"/>
      <c r="I831" s="109" t="s">
        <v>5954</v>
      </c>
      <c r="J831" s="109" t="s">
        <v>4113</v>
      </c>
    </row>
    <row r="832" spans="2:10" x14ac:dyDescent="0.25">
      <c r="B832" s="106" t="s">
        <v>6458</v>
      </c>
      <c r="C832" s="105">
        <v>173</v>
      </c>
      <c r="D832" s="106"/>
      <c r="E832" s="139"/>
      <c r="H832" s="139"/>
      <c r="I832" s="109" t="s">
        <v>5955</v>
      </c>
      <c r="J832" s="109" t="s">
        <v>4114</v>
      </c>
    </row>
    <row r="833" spans="2:10" x14ac:dyDescent="0.25">
      <c r="B833" s="106" t="s">
        <v>6459</v>
      </c>
      <c r="C833" s="105">
        <v>1255</v>
      </c>
      <c r="D833" s="106"/>
      <c r="E833" s="139"/>
      <c r="H833" s="139"/>
      <c r="I833" s="109" t="s">
        <v>5956</v>
      </c>
      <c r="J833" s="109" t="s">
        <v>4115</v>
      </c>
    </row>
    <row r="834" spans="2:10" x14ac:dyDescent="0.25">
      <c r="B834" s="106" t="s">
        <v>6460</v>
      </c>
      <c r="C834" s="105">
        <v>1294</v>
      </c>
      <c r="D834" s="106"/>
      <c r="E834" s="139"/>
      <c r="H834" s="139"/>
      <c r="I834" s="109" t="s">
        <v>5957</v>
      </c>
      <c r="J834" s="109" t="s">
        <v>4116</v>
      </c>
    </row>
    <row r="835" spans="2:10" x14ac:dyDescent="0.25">
      <c r="B835" s="106" t="s">
        <v>6461</v>
      </c>
      <c r="C835" s="105">
        <v>539</v>
      </c>
      <c r="D835" s="106"/>
      <c r="E835" s="139"/>
      <c r="H835" s="139"/>
      <c r="I835" s="109" t="s">
        <v>5958</v>
      </c>
      <c r="J835" s="109" t="s">
        <v>4117</v>
      </c>
    </row>
    <row r="836" spans="2:10" x14ac:dyDescent="0.25">
      <c r="B836" s="106" t="s">
        <v>6462</v>
      </c>
      <c r="C836" s="105">
        <v>1242</v>
      </c>
      <c r="D836" s="106"/>
      <c r="E836" s="139"/>
      <c r="H836" s="139"/>
      <c r="I836" s="109" t="s">
        <v>5959</v>
      </c>
      <c r="J836" s="109" t="s">
        <v>4118</v>
      </c>
    </row>
    <row r="837" spans="2:10" x14ac:dyDescent="0.25">
      <c r="B837" s="106" t="s">
        <v>6463</v>
      </c>
      <c r="C837" s="105">
        <v>966</v>
      </c>
      <c r="D837" s="106"/>
      <c r="E837" s="139"/>
      <c r="H837" s="139"/>
      <c r="I837" s="109" t="s">
        <v>5960</v>
      </c>
      <c r="J837" s="109" t="s">
        <v>4119</v>
      </c>
    </row>
    <row r="838" spans="2:10" x14ac:dyDescent="0.25">
      <c r="B838" s="106" t="s">
        <v>6464</v>
      </c>
      <c r="C838" s="105">
        <v>1414</v>
      </c>
      <c r="D838" s="106"/>
      <c r="E838" s="139"/>
      <c r="H838" s="139"/>
      <c r="I838" s="109" t="s">
        <v>5961</v>
      </c>
      <c r="J838" s="109" t="s">
        <v>4120</v>
      </c>
    </row>
    <row r="839" spans="2:10" x14ac:dyDescent="0.25">
      <c r="B839" s="106" t="s">
        <v>6465</v>
      </c>
      <c r="C839" s="105">
        <v>297</v>
      </c>
      <c r="D839" s="106"/>
      <c r="E839" s="139"/>
      <c r="H839" s="139"/>
      <c r="I839" s="109" t="s">
        <v>5962</v>
      </c>
      <c r="J839" s="109" t="s">
        <v>4121</v>
      </c>
    </row>
    <row r="840" spans="2:10" x14ac:dyDescent="0.25">
      <c r="B840" s="106" t="s">
        <v>6466</v>
      </c>
      <c r="C840" s="105">
        <v>585</v>
      </c>
      <c r="D840" s="106"/>
      <c r="E840" s="139"/>
      <c r="H840" s="139"/>
      <c r="I840" s="109" t="s">
        <v>5963</v>
      </c>
      <c r="J840" s="109" t="s">
        <v>4122</v>
      </c>
    </row>
    <row r="841" spans="2:10" x14ac:dyDescent="0.25">
      <c r="B841" s="106" t="s">
        <v>6467</v>
      </c>
      <c r="C841" s="105">
        <v>862</v>
      </c>
      <c r="D841" s="106"/>
      <c r="E841" s="139"/>
      <c r="H841" s="139"/>
      <c r="I841" s="109" t="s">
        <v>5964</v>
      </c>
      <c r="J841" s="109" t="s">
        <v>4123</v>
      </c>
    </row>
    <row r="842" spans="2:10" x14ac:dyDescent="0.25">
      <c r="B842" s="106" t="s">
        <v>6468</v>
      </c>
      <c r="C842" s="105">
        <v>1009</v>
      </c>
      <c r="D842" s="106"/>
      <c r="E842" s="139"/>
      <c r="H842" s="139"/>
      <c r="I842" s="109" t="s">
        <v>5965</v>
      </c>
      <c r="J842" s="109" t="s">
        <v>4124</v>
      </c>
    </row>
    <row r="843" spans="2:10" x14ac:dyDescent="0.25">
      <c r="B843" s="106" t="s">
        <v>6469</v>
      </c>
      <c r="C843" s="105">
        <v>864</v>
      </c>
      <c r="D843" s="106"/>
      <c r="E843" s="139"/>
      <c r="H843" s="139"/>
      <c r="I843" s="109" t="s">
        <v>5966</v>
      </c>
      <c r="J843" s="109" t="s">
        <v>4125</v>
      </c>
    </row>
    <row r="844" spans="2:10" x14ac:dyDescent="0.25">
      <c r="B844" s="106" t="s">
        <v>6470</v>
      </c>
      <c r="C844" s="105">
        <v>108</v>
      </c>
      <c r="D844" s="106"/>
      <c r="E844" s="139"/>
      <c r="H844" s="139"/>
      <c r="I844" s="109" t="s">
        <v>5967</v>
      </c>
      <c r="J844" s="109" t="s">
        <v>4126</v>
      </c>
    </row>
    <row r="845" spans="2:10" x14ac:dyDescent="0.25">
      <c r="B845" s="106" t="s">
        <v>6471</v>
      </c>
      <c r="C845" s="105">
        <v>89</v>
      </c>
      <c r="D845" s="106"/>
      <c r="E845" s="139"/>
      <c r="H845" s="139"/>
      <c r="I845" s="109" t="s">
        <v>5968</v>
      </c>
      <c r="J845" s="109" t="s">
        <v>4127</v>
      </c>
    </row>
    <row r="846" spans="2:10" x14ac:dyDescent="0.25">
      <c r="B846" s="106" t="s">
        <v>6472</v>
      </c>
      <c r="C846" s="105">
        <v>107</v>
      </c>
      <c r="D846" s="106"/>
      <c r="E846" s="139"/>
      <c r="H846" s="139"/>
      <c r="I846" s="109" t="s">
        <v>5969</v>
      </c>
      <c r="J846" s="109" t="s">
        <v>4128</v>
      </c>
    </row>
    <row r="847" spans="2:10" x14ac:dyDescent="0.25">
      <c r="B847" s="106" t="s">
        <v>6473</v>
      </c>
      <c r="C847" s="105">
        <v>1409</v>
      </c>
      <c r="D847" s="106"/>
      <c r="E847" s="139"/>
      <c r="H847" s="139"/>
      <c r="I847" s="109" t="s">
        <v>5970</v>
      </c>
      <c r="J847" s="109" t="s">
        <v>4129</v>
      </c>
    </row>
    <row r="848" spans="2:10" x14ac:dyDescent="0.25">
      <c r="B848" s="106" t="s">
        <v>6474</v>
      </c>
      <c r="C848" s="105">
        <v>1379</v>
      </c>
      <c r="D848" s="106"/>
      <c r="E848" s="139"/>
      <c r="H848" s="139"/>
      <c r="I848" s="109" t="s">
        <v>5971</v>
      </c>
      <c r="J848" s="109" t="s">
        <v>4130</v>
      </c>
    </row>
    <row r="849" spans="2:10" x14ac:dyDescent="0.25">
      <c r="B849" s="106" t="s">
        <v>6475</v>
      </c>
      <c r="C849" s="105">
        <v>401</v>
      </c>
      <c r="D849" s="106"/>
      <c r="E849" s="139"/>
      <c r="H849" s="139"/>
      <c r="I849" s="109" t="s">
        <v>5972</v>
      </c>
      <c r="J849" s="109" t="s">
        <v>4131</v>
      </c>
    </row>
    <row r="850" spans="2:10" x14ac:dyDescent="0.25">
      <c r="B850" s="106" t="s">
        <v>6476</v>
      </c>
      <c r="C850" s="105">
        <v>405</v>
      </c>
      <c r="D850" s="106"/>
      <c r="E850" s="139"/>
      <c r="H850" s="139"/>
      <c r="I850" s="109" t="s">
        <v>5973</v>
      </c>
      <c r="J850" s="109" t="s">
        <v>4132</v>
      </c>
    </row>
    <row r="851" spans="2:10" x14ac:dyDescent="0.25">
      <c r="B851" s="106" t="s">
        <v>6477</v>
      </c>
      <c r="C851" s="105">
        <v>1479</v>
      </c>
      <c r="D851" s="106"/>
      <c r="E851" s="139"/>
      <c r="H851" s="139"/>
      <c r="I851" s="109" t="s">
        <v>5974</v>
      </c>
      <c r="J851" s="109" t="s">
        <v>4133</v>
      </c>
    </row>
    <row r="852" spans="2:10" x14ac:dyDescent="0.25">
      <c r="B852" s="106" t="s">
        <v>6478</v>
      </c>
      <c r="C852" s="105">
        <v>60</v>
      </c>
      <c r="D852" s="106"/>
      <c r="E852" s="139"/>
      <c r="H852" s="139"/>
      <c r="I852" s="109" t="s">
        <v>5975</v>
      </c>
      <c r="J852" s="109" t="s">
        <v>3139</v>
      </c>
    </row>
    <row r="853" spans="2:10" x14ac:dyDescent="0.25">
      <c r="B853" s="106" t="s">
        <v>6479</v>
      </c>
      <c r="C853" s="105">
        <v>950</v>
      </c>
      <c r="D853" s="106"/>
      <c r="E853" s="139"/>
      <c r="H853" s="139"/>
      <c r="I853" s="109" t="s">
        <v>5976</v>
      </c>
      <c r="J853" s="109" t="s">
        <v>4134</v>
      </c>
    </row>
    <row r="854" spans="2:10" x14ac:dyDescent="0.25">
      <c r="B854" s="106" t="s">
        <v>6480</v>
      </c>
      <c r="C854" s="105">
        <v>1478</v>
      </c>
      <c r="D854" s="106"/>
      <c r="E854" s="139"/>
      <c r="H854" s="139"/>
      <c r="I854" s="109" t="s">
        <v>5977</v>
      </c>
      <c r="J854" s="109" t="s">
        <v>4135</v>
      </c>
    </row>
    <row r="855" spans="2:10" x14ac:dyDescent="0.25">
      <c r="B855" s="106" t="s">
        <v>6481</v>
      </c>
      <c r="C855" s="105">
        <v>704</v>
      </c>
      <c r="D855" s="106"/>
      <c r="E855" s="139"/>
      <c r="H855" s="139"/>
      <c r="I855" s="109" t="s">
        <v>5978</v>
      </c>
      <c r="J855" s="109" t="s">
        <v>4136</v>
      </c>
    </row>
    <row r="856" spans="2:10" x14ac:dyDescent="0.25">
      <c r="B856" s="106" t="s">
        <v>6482</v>
      </c>
      <c r="C856" s="105">
        <v>356</v>
      </c>
      <c r="D856" s="106"/>
      <c r="E856" s="139"/>
      <c r="H856" s="139"/>
      <c r="I856" s="109" t="s">
        <v>5979</v>
      </c>
      <c r="J856" s="109" t="s">
        <v>4137</v>
      </c>
    </row>
    <row r="857" spans="2:10" x14ac:dyDescent="0.25">
      <c r="B857" s="106" t="s">
        <v>6483</v>
      </c>
      <c r="C857" s="105">
        <v>697</v>
      </c>
      <c r="D857" s="106"/>
      <c r="E857" s="139"/>
      <c r="H857" s="139"/>
      <c r="I857" s="109" t="s">
        <v>5980</v>
      </c>
      <c r="J857" s="109" t="s">
        <v>4138</v>
      </c>
    </row>
    <row r="858" spans="2:10" x14ac:dyDescent="0.25">
      <c r="B858" s="106" t="s">
        <v>6484</v>
      </c>
      <c r="C858" s="105">
        <v>794</v>
      </c>
      <c r="D858" s="106"/>
      <c r="E858" s="139"/>
      <c r="H858" s="139"/>
      <c r="I858" s="109" t="s">
        <v>5981</v>
      </c>
      <c r="J858" s="109" t="s">
        <v>4139</v>
      </c>
    </row>
    <row r="859" spans="2:10" x14ac:dyDescent="0.25">
      <c r="B859" s="106" t="s">
        <v>6485</v>
      </c>
      <c r="C859" s="105">
        <v>348</v>
      </c>
      <c r="D859" s="106"/>
      <c r="E859" s="139"/>
      <c r="H859" s="139"/>
      <c r="I859" s="109" t="s">
        <v>5982</v>
      </c>
      <c r="J859" s="109" t="s">
        <v>4140</v>
      </c>
    </row>
    <row r="860" spans="2:10" x14ac:dyDescent="0.25">
      <c r="B860" s="106" t="s">
        <v>6486</v>
      </c>
      <c r="C860" s="105">
        <v>352</v>
      </c>
      <c r="D860" s="106"/>
      <c r="E860" s="139"/>
      <c r="H860" s="139"/>
      <c r="I860" s="109" t="s">
        <v>5983</v>
      </c>
      <c r="J860" s="109" t="s">
        <v>4141</v>
      </c>
    </row>
    <row r="861" spans="2:10" x14ac:dyDescent="0.25">
      <c r="B861" s="106" t="s">
        <v>6487</v>
      </c>
      <c r="C861" s="105">
        <v>662</v>
      </c>
      <c r="D861" s="106"/>
      <c r="E861" s="139"/>
      <c r="H861" s="139"/>
      <c r="I861" s="109" t="s">
        <v>5984</v>
      </c>
      <c r="J861" s="109" t="s">
        <v>4142</v>
      </c>
    </row>
    <row r="862" spans="2:10" x14ac:dyDescent="0.25">
      <c r="B862" s="106" t="s">
        <v>6488</v>
      </c>
      <c r="C862" s="105">
        <v>602</v>
      </c>
      <c r="D862" s="106"/>
      <c r="E862" s="139"/>
      <c r="H862" s="139"/>
      <c r="I862" s="109" t="s">
        <v>5985</v>
      </c>
      <c r="J862" s="109" t="s">
        <v>4143</v>
      </c>
    </row>
    <row r="863" spans="2:10" x14ac:dyDescent="0.25">
      <c r="B863" s="106" t="s">
        <v>6489</v>
      </c>
      <c r="C863" s="105">
        <v>549</v>
      </c>
      <c r="D863" s="106"/>
      <c r="E863" s="139"/>
      <c r="H863" s="139"/>
      <c r="I863" s="109" t="s">
        <v>5986</v>
      </c>
      <c r="J863" s="109" t="s">
        <v>4144</v>
      </c>
    </row>
    <row r="864" spans="2:10" x14ac:dyDescent="0.25">
      <c r="B864" s="106" t="s">
        <v>6490</v>
      </c>
      <c r="C864" s="105">
        <v>1042</v>
      </c>
      <c r="D864" s="106"/>
      <c r="E864" s="139"/>
      <c r="H864" s="139"/>
      <c r="I864" s="109" t="s">
        <v>5987</v>
      </c>
      <c r="J864" s="109" t="s">
        <v>4145</v>
      </c>
    </row>
    <row r="865" spans="2:10" x14ac:dyDescent="0.25">
      <c r="B865" s="106" t="s">
        <v>6491</v>
      </c>
      <c r="C865" s="105">
        <v>499</v>
      </c>
      <c r="D865" s="106"/>
      <c r="E865" s="139"/>
      <c r="H865" s="139"/>
      <c r="I865" s="109" t="s">
        <v>5988</v>
      </c>
      <c r="J865" s="109" t="s">
        <v>4146</v>
      </c>
    </row>
    <row r="866" spans="2:10" x14ac:dyDescent="0.25">
      <c r="B866" s="106" t="s">
        <v>6492</v>
      </c>
      <c r="C866" s="105">
        <v>502</v>
      </c>
      <c r="D866" s="106"/>
      <c r="E866" s="139"/>
      <c r="H866" s="139"/>
      <c r="I866" s="109" t="s">
        <v>5989</v>
      </c>
      <c r="J866" s="109" t="s">
        <v>4147</v>
      </c>
    </row>
    <row r="867" spans="2:10" x14ac:dyDescent="0.25">
      <c r="B867" s="106" t="s">
        <v>6493</v>
      </c>
      <c r="C867" s="105">
        <v>503</v>
      </c>
      <c r="D867" s="106"/>
      <c r="E867" s="139"/>
      <c r="H867" s="139"/>
      <c r="I867" s="109" t="s">
        <v>5990</v>
      </c>
      <c r="J867" s="109" t="s">
        <v>4148</v>
      </c>
    </row>
    <row r="868" spans="2:10" x14ac:dyDescent="0.25">
      <c r="B868" s="106" t="s">
        <v>6494</v>
      </c>
      <c r="C868" s="105">
        <v>506</v>
      </c>
      <c r="D868" s="106"/>
      <c r="E868" s="139"/>
      <c r="H868" s="139"/>
      <c r="I868" s="109" t="s">
        <v>5991</v>
      </c>
      <c r="J868" s="109" t="s">
        <v>4149</v>
      </c>
    </row>
    <row r="869" spans="2:10" x14ac:dyDescent="0.25">
      <c r="B869" s="106" t="s">
        <v>6495</v>
      </c>
      <c r="C869" s="105">
        <v>332</v>
      </c>
      <c r="D869" s="106"/>
      <c r="E869" s="139"/>
      <c r="H869" s="139"/>
      <c r="I869" s="109" t="s">
        <v>5992</v>
      </c>
      <c r="J869" s="109" t="s">
        <v>4150</v>
      </c>
    </row>
    <row r="870" spans="2:10" x14ac:dyDescent="0.25">
      <c r="B870" s="106" t="s">
        <v>6496</v>
      </c>
      <c r="C870" s="105">
        <v>247</v>
      </c>
      <c r="D870" s="106"/>
      <c r="E870" s="139"/>
      <c r="H870" s="139"/>
      <c r="I870" s="109" t="s">
        <v>5993</v>
      </c>
      <c r="J870" s="109" t="s">
        <v>4151</v>
      </c>
    </row>
    <row r="871" spans="2:10" x14ac:dyDescent="0.25">
      <c r="B871" s="106" t="s">
        <v>6497</v>
      </c>
      <c r="C871" s="105">
        <v>44</v>
      </c>
      <c r="D871" s="106"/>
      <c r="E871" s="139"/>
      <c r="H871" s="139"/>
      <c r="I871" s="109" t="s">
        <v>5994</v>
      </c>
      <c r="J871" s="109" t="s">
        <v>4152</v>
      </c>
    </row>
    <row r="872" spans="2:10" x14ac:dyDescent="0.25">
      <c r="B872" s="106" t="s">
        <v>6498</v>
      </c>
      <c r="C872" s="105">
        <v>1374</v>
      </c>
      <c r="D872" s="106"/>
      <c r="E872" s="139"/>
      <c r="H872" s="139"/>
      <c r="I872" s="109" t="s">
        <v>5995</v>
      </c>
      <c r="J872" s="109" t="s">
        <v>4153</v>
      </c>
    </row>
    <row r="873" spans="2:10" x14ac:dyDescent="0.25">
      <c r="B873" s="106" t="s">
        <v>6499</v>
      </c>
      <c r="C873" s="105">
        <v>1490</v>
      </c>
      <c r="D873" s="106"/>
      <c r="E873" s="139"/>
      <c r="H873" s="139"/>
      <c r="I873" s="109" t="s">
        <v>5996</v>
      </c>
      <c r="J873" s="109" t="s">
        <v>4154</v>
      </c>
    </row>
    <row r="874" spans="2:10" x14ac:dyDescent="0.25">
      <c r="B874" s="106" t="s">
        <v>6500</v>
      </c>
      <c r="C874" s="105">
        <v>1489</v>
      </c>
      <c r="D874" s="106"/>
      <c r="E874" s="139"/>
      <c r="H874" s="139"/>
      <c r="I874" s="109" t="s">
        <v>5997</v>
      </c>
      <c r="J874" s="109" t="s">
        <v>4155</v>
      </c>
    </row>
    <row r="875" spans="2:10" x14ac:dyDescent="0.25">
      <c r="B875" s="106" t="s">
        <v>6501</v>
      </c>
      <c r="C875" s="105">
        <v>647</v>
      </c>
      <c r="D875" s="106"/>
      <c r="E875" s="139"/>
      <c r="H875" s="139"/>
      <c r="I875" s="109" t="s">
        <v>5998</v>
      </c>
      <c r="J875" s="109" t="s">
        <v>4156</v>
      </c>
    </row>
    <row r="876" spans="2:10" x14ac:dyDescent="0.25">
      <c r="B876" s="106" t="s">
        <v>6502</v>
      </c>
      <c r="C876" s="105">
        <v>654</v>
      </c>
      <c r="D876" s="106"/>
      <c r="E876" s="139"/>
      <c r="H876" s="139"/>
      <c r="I876" s="109" t="s">
        <v>5999</v>
      </c>
      <c r="J876" s="109" t="s">
        <v>4157</v>
      </c>
    </row>
    <row r="877" spans="2:10" x14ac:dyDescent="0.25">
      <c r="B877" s="106" t="s">
        <v>6503</v>
      </c>
      <c r="C877" s="105">
        <v>655</v>
      </c>
      <c r="D877" s="106"/>
      <c r="E877" s="139"/>
      <c r="H877" s="139"/>
      <c r="I877" s="109" t="s">
        <v>6000</v>
      </c>
      <c r="J877" s="109" t="s">
        <v>4158</v>
      </c>
    </row>
    <row r="878" spans="2:10" x14ac:dyDescent="0.25">
      <c r="B878" s="106" t="s">
        <v>6504</v>
      </c>
      <c r="C878" s="105">
        <v>1139</v>
      </c>
      <c r="D878" s="106"/>
      <c r="E878" s="139"/>
      <c r="H878" s="139"/>
      <c r="I878" s="109" t="s">
        <v>6001</v>
      </c>
      <c r="J878" s="109" t="s">
        <v>4159</v>
      </c>
    </row>
    <row r="879" spans="2:10" x14ac:dyDescent="0.25">
      <c r="B879" s="106" t="s">
        <v>6505</v>
      </c>
      <c r="C879" s="105">
        <v>643</v>
      </c>
      <c r="D879" s="106"/>
      <c r="E879" s="139"/>
      <c r="H879" s="139"/>
      <c r="I879" s="109" t="s">
        <v>6002</v>
      </c>
      <c r="J879" s="109" t="s">
        <v>4160</v>
      </c>
    </row>
    <row r="880" spans="2:10" x14ac:dyDescent="0.25">
      <c r="B880" s="106" t="s">
        <v>6506</v>
      </c>
      <c r="C880" s="105">
        <v>1207</v>
      </c>
      <c r="D880" s="106"/>
      <c r="E880" s="139"/>
      <c r="H880" s="139"/>
      <c r="I880" s="109" t="s">
        <v>6003</v>
      </c>
      <c r="J880" s="109" t="s">
        <v>4161</v>
      </c>
    </row>
    <row r="881" spans="2:10" x14ac:dyDescent="0.25">
      <c r="B881" s="106" t="s">
        <v>6507</v>
      </c>
      <c r="C881" s="105">
        <v>716</v>
      </c>
      <c r="D881" s="106"/>
      <c r="E881" s="139"/>
      <c r="H881" s="139"/>
      <c r="I881" s="109" t="s">
        <v>6004</v>
      </c>
      <c r="J881" s="109" t="s">
        <v>4162</v>
      </c>
    </row>
    <row r="882" spans="2:10" x14ac:dyDescent="0.25">
      <c r="B882" s="106" t="s">
        <v>6508</v>
      </c>
      <c r="C882" s="105">
        <v>447</v>
      </c>
      <c r="D882" s="106"/>
      <c r="E882" s="139"/>
      <c r="H882" s="139"/>
      <c r="I882" s="109" t="s">
        <v>6005</v>
      </c>
      <c r="J882" s="109" t="s">
        <v>4163</v>
      </c>
    </row>
    <row r="883" spans="2:10" x14ac:dyDescent="0.25">
      <c r="B883" s="106" t="s">
        <v>6509</v>
      </c>
      <c r="C883" s="105">
        <v>742</v>
      </c>
      <c r="D883" s="106"/>
      <c r="E883" s="139"/>
      <c r="H883" s="139"/>
      <c r="I883" s="109" t="s">
        <v>6006</v>
      </c>
      <c r="J883" s="109" t="s">
        <v>4164</v>
      </c>
    </row>
    <row r="884" spans="2:10" x14ac:dyDescent="0.25">
      <c r="B884" s="106" t="s">
        <v>6510</v>
      </c>
      <c r="C884" s="105">
        <v>738</v>
      </c>
      <c r="D884" s="106"/>
      <c r="E884" s="139"/>
      <c r="H884" s="139"/>
      <c r="I884" s="109" t="s">
        <v>6007</v>
      </c>
      <c r="J884" s="109" t="s">
        <v>4165</v>
      </c>
    </row>
    <row r="885" spans="2:10" x14ac:dyDescent="0.25">
      <c r="B885" s="106" t="s">
        <v>6511</v>
      </c>
      <c r="C885" s="105">
        <v>720</v>
      </c>
      <c r="D885" s="106"/>
      <c r="E885" s="139"/>
      <c r="H885" s="139"/>
      <c r="I885" s="109" t="s">
        <v>6008</v>
      </c>
      <c r="J885" s="109" t="s">
        <v>4166</v>
      </c>
    </row>
    <row r="886" spans="2:10" x14ac:dyDescent="0.25">
      <c r="B886" s="106" t="s">
        <v>6512</v>
      </c>
      <c r="C886" s="105">
        <v>994</v>
      </c>
      <c r="D886" s="106"/>
      <c r="E886" s="139"/>
      <c r="H886" s="139"/>
      <c r="I886" s="109" t="s">
        <v>6009</v>
      </c>
      <c r="J886" s="109" t="s">
        <v>4167</v>
      </c>
    </row>
    <row r="887" spans="2:10" x14ac:dyDescent="0.25">
      <c r="B887" s="106" t="s">
        <v>6513</v>
      </c>
      <c r="C887" s="105">
        <v>990</v>
      </c>
      <c r="D887" s="106"/>
      <c r="E887" s="139"/>
      <c r="H887" s="139"/>
      <c r="I887" s="109" t="s">
        <v>6010</v>
      </c>
      <c r="J887" s="109" t="s">
        <v>4168</v>
      </c>
    </row>
    <row r="888" spans="2:10" x14ac:dyDescent="0.25">
      <c r="B888" s="106" t="s">
        <v>6514</v>
      </c>
      <c r="C888" s="105">
        <v>276</v>
      </c>
      <c r="D888" s="106"/>
      <c r="E888" s="139"/>
      <c r="H888" s="139"/>
      <c r="I888" s="109" t="s">
        <v>6011</v>
      </c>
      <c r="J888" s="109" t="s">
        <v>4169</v>
      </c>
    </row>
    <row r="889" spans="2:10" x14ac:dyDescent="0.25">
      <c r="B889" s="106" t="s">
        <v>6515</v>
      </c>
      <c r="C889" s="105">
        <v>7</v>
      </c>
      <c r="D889" s="106"/>
      <c r="E889" s="139"/>
      <c r="H889" s="139"/>
      <c r="I889" s="109" t="s">
        <v>6012</v>
      </c>
      <c r="J889" s="109" t="s">
        <v>4170</v>
      </c>
    </row>
    <row r="890" spans="2:10" x14ac:dyDescent="0.25">
      <c r="B890" s="106" t="s">
        <v>6516</v>
      </c>
      <c r="C890" s="105">
        <v>1459</v>
      </c>
      <c r="D890" s="106"/>
      <c r="E890" s="139"/>
      <c r="H890" s="139"/>
      <c r="I890" s="109" t="s">
        <v>6013</v>
      </c>
      <c r="J890" s="109" t="s">
        <v>4171</v>
      </c>
    </row>
    <row r="891" spans="2:10" x14ac:dyDescent="0.25">
      <c r="B891" s="106" t="s">
        <v>6517</v>
      </c>
      <c r="C891" s="105">
        <v>303</v>
      </c>
      <c r="D891" s="106"/>
      <c r="E891" s="139"/>
      <c r="H891" s="139"/>
      <c r="I891" s="109" t="s">
        <v>6014</v>
      </c>
      <c r="J891" s="109" t="s">
        <v>4172</v>
      </c>
    </row>
    <row r="892" spans="2:10" x14ac:dyDescent="0.25">
      <c r="B892" s="106" t="s">
        <v>6518</v>
      </c>
      <c r="C892" s="105">
        <v>305</v>
      </c>
      <c r="D892" s="106"/>
      <c r="E892" s="139"/>
      <c r="H892" s="139"/>
      <c r="I892" s="109" t="s">
        <v>6015</v>
      </c>
      <c r="J892" s="109" t="s">
        <v>4173</v>
      </c>
    </row>
    <row r="893" spans="2:10" x14ac:dyDescent="0.25">
      <c r="B893" s="106" t="s">
        <v>6519</v>
      </c>
      <c r="C893" s="105">
        <v>587</v>
      </c>
      <c r="D893" s="106"/>
      <c r="E893" s="139"/>
      <c r="H893" s="139"/>
      <c r="I893" s="109" t="s">
        <v>6016</v>
      </c>
      <c r="J893" s="109" t="s">
        <v>4174</v>
      </c>
    </row>
    <row r="894" spans="2:10" x14ac:dyDescent="0.25">
      <c r="B894" s="106" t="s">
        <v>6520</v>
      </c>
      <c r="C894" s="105">
        <v>1003</v>
      </c>
      <c r="D894" s="106"/>
      <c r="E894" s="139"/>
      <c r="H894" s="139"/>
      <c r="I894" s="109" t="s">
        <v>6017</v>
      </c>
      <c r="J894" s="109" t="s">
        <v>4175</v>
      </c>
    </row>
    <row r="895" spans="2:10" x14ac:dyDescent="0.25">
      <c r="B895" s="106" t="s">
        <v>6521</v>
      </c>
      <c r="C895" s="105">
        <v>477</v>
      </c>
      <c r="D895" s="106"/>
      <c r="E895" s="139"/>
      <c r="H895" s="139"/>
      <c r="I895" s="109" t="s">
        <v>6018</v>
      </c>
      <c r="J895" s="109" t="s">
        <v>4176</v>
      </c>
    </row>
    <row r="896" spans="2:10" x14ac:dyDescent="0.25">
      <c r="B896" s="106" t="s">
        <v>6522</v>
      </c>
      <c r="C896" s="105">
        <v>957</v>
      </c>
      <c r="D896" s="106"/>
      <c r="E896" s="139"/>
      <c r="H896" s="139"/>
      <c r="I896" s="109" t="s">
        <v>6019</v>
      </c>
      <c r="J896" s="109" t="s">
        <v>4177</v>
      </c>
    </row>
    <row r="897" spans="2:10" x14ac:dyDescent="0.25">
      <c r="B897" s="106" t="s">
        <v>6523</v>
      </c>
      <c r="C897" s="105">
        <v>187</v>
      </c>
      <c r="D897" s="106"/>
      <c r="E897" s="139"/>
      <c r="H897" s="139"/>
      <c r="I897" s="109" t="s">
        <v>6020</v>
      </c>
      <c r="J897" s="109" t="s">
        <v>4178</v>
      </c>
    </row>
    <row r="898" spans="2:10" x14ac:dyDescent="0.25">
      <c r="B898" s="106" t="s">
        <v>6524</v>
      </c>
      <c r="C898" s="105">
        <v>186</v>
      </c>
      <c r="D898" s="106"/>
      <c r="E898" s="139"/>
      <c r="H898" s="139"/>
      <c r="I898" s="109" t="s">
        <v>6021</v>
      </c>
      <c r="J898" s="109" t="s">
        <v>4179</v>
      </c>
    </row>
    <row r="899" spans="2:10" x14ac:dyDescent="0.25">
      <c r="B899" s="106" t="s">
        <v>6525</v>
      </c>
      <c r="C899" s="105">
        <v>129</v>
      </c>
      <c r="D899" s="106"/>
      <c r="E899" s="139"/>
      <c r="H899" s="139"/>
      <c r="I899" s="109" t="s">
        <v>6022</v>
      </c>
      <c r="J899" s="109" t="s">
        <v>4180</v>
      </c>
    </row>
    <row r="900" spans="2:10" x14ac:dyDescent="0.25">
      <c r="B900" s="106" t="s">
        <v>6526</v>
      </c>
      <c r="C900" s="105">
        <v>334</v>
      </c>
      <c r="D900" s="106"/>
      <c r="E900" s="139"/>
      <c r="H900" s="139"/>
      <c r="I900" s="109" t="s">
        <v>6023</v>
      </c>
      <c r="J900" s="109" t="s">
        <v>4181</v>
      </c>
    </row>
    <row r="901" spans="2:10" x14ac:dyDescent="0.25">
      <c r="B901" s="106" t="s">
        <v>6527</v>
      </c>
      <c r="C901" s="105">
        <v>1126</v>
      </c>
      <c r="D901" s="106"/>
      <c r="E901" s="139"/>
      <c r="H901" s="139"/>
      <c r="I901" s="109" t="s">
        <v>6024</v>
      </c>
      <c r="J901" s="109" t="s">
        <v>4182</v>
      </c>
    </row>
    <row r="902" spans="2:10" x14ac:dyDescent="0.25">
      <c r="B902" s="106" t="s">
        <v>6528</v>
      </c>
      <c r="C902" s="105">
        <v>1481</v>
      </c>
      <c r="D902" s="106"/>
      <c r="E902" s="139"/>
      <c r="H902" s="139"/>
      <c r="I902" s="109" t="s">
        <v>6025</v>
      </c>
      <c r="J902" s="109" t="s">
        <v>4183</v>
      </c>
    </row>
    <row r="903" spans="2:10" x14ac:dyDescent="0.25">
      <c r="B903" s="106" t="s">
        <v>6529</v>
      </c>
      <c r="C903" s="105">
        <v>1281</v>
      </c>
      <c r="D903" s="106"/>
      <c r="E903" s="139"/>
      <c r="H903" s="139"/>
      <c r="I903" s="109" t="s">
        <v>6026</v>
      </c>
      <c r="J903" s="109" t="s">
        <v>4184</v>
      </c>
    </row>
    <row r="904" spans="2:10" x14ac:dyDescent="0.25">
      <c r="B904" s="106" t="s">
        <v>6530</v>
      </c>
      <c r="C904" s="105">
        <v>1451</v>
      </c>
      <c r="D904" s="106"/>
      <c r="E904" s="139"/>
      <c r="H904" s="139"/>
      <c r="I904" s="109" t="s">
        <v>6027</v>
      </c>
      <c r="J904" s="109" t="s">
        <v>4185</v>
      </c>
    </row>
    <row r="905" spans="2:10" x14ac:dyDescent="0.25">
      <c r="B905" s="106" t="s">
        <v>6531</v>
      </c>
      <c r="C905" s="105">
        <v>1238</v>
      </c>
      <c r="D905" s="106"/>
      <c r="E905" s="139"/>
      <c r="H905" s="139"/>
      <c r="I905" s="109" t="s">
        <v>6028</v>
      </c>
      <c r="J905" s="109" t="s">
        <v>4186</v>
      </c>
    </row>
    <row r="906" spans="2:10" x14ac:dyDescent="0.25">
      <c r="B906" s="106" t="s">
        <v>6532</v>
      </c>
      <c r="C906" s="105">
        <v>135</v>
      </c>
      <c r="D906" s="106"/>
      <c r="E906" s="139"/>
      <c r="H906" s="139"/>
      <c r="I906" s="109" t="s">
        <v>6029</v>
      </c>
      <c r="J906" s="109" t="s">
        <v>4187</v>
      </c>
    </row>
    <row r="907" spans="2:10" x14ac:dyDescent="0.25">
      <c r="B907" s="106" t="s">
        <v>6533</v>
      </c>
      <c r="C907" s="105">
        <v>1143</v>
      </c>
      <c r="D907" s="106"/>
      <c r="E907" s="139"/>
      <c r="H907" s="139"/>
      <c r="I907" s="109" t="s">
        <v>6030</v>
      </c>
      <c r="J907" s="109" t="s">
        <v>4188</v>
      </c>
    </row>
    <row r="908" spans="2:10" x14ac:dyDescent="0.25">
      <c r="B908" s="106" t="s">
        <v>6534</v>
      </c>
      <c r="C908" s="105">
        <v>1147</v>
      </c>
      <c r="D908" s="106"/>
      <c r="E908" s="139"/>
      <c r="H908" s="139"/>
      <c r="I908" s="109" t="s">
        <v>6031</v>
      </c>
      <c r="J908" s="109" t="s">
        <v>4189</v>
      </c>
    </row>
    <row r="909" spans="2:10" x14ac:dyDescent="0.25">
      <c r="B909" s="106" t="s">
        <v>6535</v>
      </c>
      <c r="C909" s="105">
        <v>177</v>
      </c>
      <c r="D909" s="106"/>
      <c r="E909" s="139"/>
      <c r="H909" s="139"/>
      <c r="I909" s="109" t="s">
        <v>6032</v>
      </c>
      <c r="J909" s="109" t="s">
        <v>4190</v>
      </c>
    </row>
    <row r="910" spans="2:10" x14ac:dyDescent="0.25">
      <c r="B910" s="106" t="s">
        <v>6536</v>
      </c>
      <c r="C910" s="105">
        <v>527</v>
      </c>
      <c r="D910" s="106"/>
      <c r="E910" s="139"/>
      <c r="H910" s="139"/>
      <c r="I910" s="109" t="s">
        <v>6033</v>
      </c>
      <c r="J910" s="109" t="s">
        <v>4191</v>
      </c>
    </row>
    <row r="911" spans="2:10" x14ac:dyDescent="0.25">
      <c r="B911" s="106" t="s">
        <v>6537</v>
      </c>
      <c r="C911" s="105">
        <v>156</v>
      </c>
      <c r="D911" s="106"/>
      <c r="E911" s="139"/>
      <c r="H911" s="139"/>
      <c r="I911" s="109" t="s">
        <v>6034</v>
      </c>
      <c r="J911" s="109" t="s">
        <v>4192</v>
      </c>
    </row>
    <row r="912" spans="2:10" x14ac:dyDescent="0.25">
      <c r="B912" s="106" t="s">
        <v>6538</v>
      </c>
      <c r="C912" s="105">
        <v>523</v>
      </c>
      <c r="D912" s="106"/>
      <c r="E912" s="139"/>
      <c r="H912" s="139"/>
      <c r="I912" s="109" t="s">
        <v>6035</v>
      </c>
      <c r="J912" s="109" t="s">
        <v>4193</v>
      </c>
    </row>
    <row r="913" spans="2:10" x14ac:dyDescent="0.25">
      <c r="B913" s="106" t="s">
        <v>6539</v>
      </c>
      <c r="C913" s="105">
        <v>529</v>
      </c>
      <c r="D913" s="106"/>
      <c r="E913" s="139"/>
      <c r="H913" s="139"/>
      <c r="I913" s="109" t="s">
        <v>6036</v>
      </c>
      <c r="J913" s="109" t="s">
        <v>4194</v>
      </c>
    </row>
    <row r="914" spans="2:10" x14ac:dyDescent="0.25">
      <c r="B914" s="106" t="s">
        <v>6540</v>
      </c>
      <c r="C914" s="105">
        <v>1286</v>
      </c>
      <c r="D914" s="106"/>
      <c r="E914" s="139"/>
      <c r="H914" s="139"/>
      <c r="I914" s="109" t="s">
        <v>6037</v>
      </c>
      <c r="J914" s="109" t="s">
        <v>4195</v>
      </c>
    </row>
    <row r="915" spans="2:10" x14ac:dyDescent="0.25">
      <c r="B915" s="106" t="s">
        <v>6541</v>
      </c>
      <c r="C915" s="105">
        <v>1273</v>
      </c>
      <c r="D915" s="106"/>
      <c r="E915" s="139"/>
      <c r="H915" s="139"/>
      <c r="I915" s="109" t="s">
        <v>6038</v>
      </c>
      <c r="J915" s="109" t="s">
        <v>4196</v>
      </c>
    </row>
    <row r="916" spans="2:10" x14ac:dyDescent="0.25">
      <c r="B916" s="106" t="s">
        <v>6542</v>
      </c>
      <c r="C916" s="105">
        <v>52</v>
      </c>
      <c r="D916" s="106"/>
      <c r="E916" s="139"/>
      <c r="H916" s="139"/>
      <c r="I916" s="109" t="s">
        <v>6039</v>
      </c>
      <c r="J916" s="109" t="s">
        <v>4197</v>
      </c>
    </row>
    <row r="917" spans="2:10" x14ac:dyDescent="0.25">
      <c r="B917" s="106" t="s">
        <v>6543</v>
      </c>
      <c r="C917" s="105">
        <v>236</v>
      </c>
      <c r="D917" s="106"/>
      <c r="E917" s="139"/>
      <c r="H917" s="139"/>
      <c r="I917" s="109" t="s">
        <v>6040</v>
      </c>
      <c r="J917" s="109" t="s">
        <v>4198</v>
      </c>
    </row>
    <row r="918" spans="2:10" x14ac:dyDescent="0.25">
      <c r="B918" s="106" t="s">
        <v>6544</v>
      </c>
      <c r="C918" s="105">
        <v>325</v>
      </c>
      <c r="D918" s="106"/>
      <c r="E918" s="139"/>
      <c r="H918" s="139"/>
      <c r="I918" s="109" t="s">
        <v>6041</v>
      </c>
      <c r="J918" s="109" t="s">
        <v>4199</v>
      </c>
    </row>
    <row r="919" spans="2:10" x14ac:dyDescent="0.25">
      <c r="B919" s="106" t="s">
        <v>6545</v>
      </c>
      <c r="C919" s="105">
        <v>54</v>
      </c>
      <c r="D919" s="106"/>
      <c r="E919" s="139"/>
      <c r="H919" s="139"/>
      <c r="I919" s="109" t="s">
        <v>6042</v>
      </c>
      <c r="J919" s="109" t="s">
        <v>4200</v>
      </c>
    </row>
    <row r="920" spans="2:10" x14ac:dyDescent="0.25">
      <c r="B920" s="106" t="s">
        <v>6546</v>
      </c>
      <c r="C920" s="105">
        <v>300</v>
      </c>
      <c r="D920" s="106"/>
      <c r="E920" s="139"/>
      <c r="H920" s="139"/>
      <c r="I920" s="109" t="s">
        <v>6043</v>
      </c>
      <c r="J920" s="109" t="s">
        <v>4201</v>
      </c>
    </row>
    <row r="921" spans="2:10" x14ac:dyDescent="0.25">
      <c r="B921" s="106" t="s">
        <v>6547</v>
      </c>
      <c r="C921" s="105">
        <v>327</v>
      </c>
      <c r="D921" s="106"/>
      <c r="E921" s="139"/>
      <c r="H921" s="139"/>
      <c r="I921" s="109" t="s">
        <v>6044</v>
      </c>
      <c r="J921" s="109" t="s">
        <v>4202</v>
      </c>
    </row>
    <row r="922" spans="2:10" x14ac:dyDescent="0.25">
      <c r="B922" s="106" t="s">
        <v>6548</v>
      </c>
      <c r="C922" s="105">
        <v>328</v>
      </c>
      <c r="D922" s="106"/>
      <c r="E922" s="139"/>
      <c r="H922" s="139"/>
      <c r="I922" s="109" t="s">
        <v>6045</v>
      </c>
      <c r="J922" s="109" t="s">
        <v>4203</v>
      </c>
    </row>
    <row r="923" spans="2:10" x14ac:dyDescent="0.25">
      <c r="B923" s="106" t="s">
        <v>6549</v>
      </c>
      <c r="C923" s="105">
        <v>324</v>
      </c>
      <c r="D923" s="106"/>
      <c r="E923" s="139"/>
      <c r="H923" s="139"/>
      <c r="I923" s="109" t="s">
        <v>6046</v>
      </c>
      <c r="J923" s="109" t="s">
        <v>4204</v>
      </c>
    </row>
    <row r="924" spans="2:10" x14ac:dyDescent="0.25">
      <c r="B924" s="106" t="s">
        <v>6550</v>
      </c>
      <c r="C924" s="105">
        <v>834</v>
      </c>
      <c r="D924" s="106"/>
      <c r="E924" s="139"/>
      <c r="H924" s="139"/>
      <c r="I924" s="109" t="s">
        <v>6047</v>
      </c>
      <c r="J924" s="109" t="s">
        <v>4205</v>
      </c>
    </row>
    <row r="925" spans="2:10" x14ac:dyDescent="0.25">
      <c r="B925" s="106" t="s">
        <v>6551</v>
      </c>
      <c r="C925" s="105">
        <v>235</v>
      </c>
      <c r="D925" s="106"/>
      <c r="E925" s="139"/>
      <c r="H925" s="139"/>
      <c r="I925" s="109" t="s">
        <v>6048</v>
      </c>
      <c r="J925" s="109" t="s">
        <v>4206</v>
      </c>
    </row>
    <row r="926" spans="2:10" x14ac:dyDescent="0.25">
      <c r="B926" s="106" t="s">
        <v>6552</v>
      </c>
      <c r="C926" s="105">
        <v>238</v>
      </c>
      <c r="D926" s="106"/>
      <c r="E926" s="139"/>
      <c r="H926" s="139"/>
      <c r="I926" s="109" t="s">
        <v>6049</v>
      </c>
      <c r="J926" s="109" t="s">
        <v>4207</v>
      </c>
    </row>
    <row r="927" spans="2:10" x14ac:dyDescent="0.25">
      <c r="B927" s="106" t="s">
        <v>6553</v>
      </c>
      <c r="C927" s="105">
        <v>241</v>
      </c>
      <c r="D927" s="106"/>
      <c r="E927" s="139"/>
      <c r="H927" s="139"/>
      <c r="I927" s="109" t="s">
        <v>6050</v>
      </c>
      <c r="J927" s="109" t="s">
        <v>4208</v>
      </c>
    </row>
    <row r="928" spans="2:10" x14ac:dyDescent="0.25">
      <c r="B928" s="106" t="s">
        <v>6554</v>
      </c>
      <c r="C928" s="105">
        <v>51</v>
      </c>
      <c r="D928" s="106"/>
      <c r="E928" s="139"/>
      <c r="H928" s="139"/>
      <c r="I928" s="109" t="s">
        <v>6051</v>
      </c>
      <c r="J928" s="109" t="s">
        <v>4209</v>
      </c>
    </row>
    <row r="929" spans="2:10" x14ac:dyDescent="0.25">
      <c r="B929" s="106" t="s">
        <v>6555</v>
      </c>
      <c r="C929" s="105">
        <v>832</v>
      </c>
      <c r="D929" s="106"/>
      <c r="E929" s="139"/>
      <c r="H929" s="139"/>
      <c r="I929" s="109" t="s">
        <v>6052</v>
      </c>
      <c r="J929" s="109" t="s">
        <v>4210</v>
      </c>
    </row>
    <row r="930" spans="2:10" x14ac:dyDescent="0.25">
      <c r="B930" s="106" t="s">
        <v>6556</v>
      </c>
      <c r="C930" s="105">
        <v>127</v>
      </c>
      <c r="D930" s="106"/>
      <c r="E930" s="139"/>
      <c r="H930" s="139"/>
      <c r="I930" s="109" t="s">
        <v>6053</v>
      </c>
      <c r="J930" s="109" t="s">
        <v>4211</v>
      </c>
    </row>
    <row r="931" spans="2:10" x14ac:dyDescent="0.25">
      <c r="B931" s="106" t="s">
        <v>6557</v>
      </c>
      <c r="C931" s="105">
        <v>1033</v>
      </c>
      <c r="D931" s="106"/>
      <c r="E931" s="139"/>
      <c r="H931" s="139"/>
      <c r="I931" s="109" t="s">
        <v>6054</v>
      </c>
      <c r="J931" s="109" t="s">
        <v>4212</v>
      </c>
    </row>
    <row r="932" spans="2:10" x14ac:dyDescent="0.25">
      <c r="B932" s="106" t="s">
        <v>6558</v>
      </c>
      <c r="C932" s="105">
        <v>171</v>
      </c>
      <c r="D932" s="106"/>
      <c r="E932" s="139"/>
      <c r="H932" s="139"/>
      <c r="I932" s="109" t="s">
        <v>6055</v>
      </c>
      <c r="J932" s="109" t="s">
        <v>4213</v>
      </c>
    </row>
    <row r="933" spans="2:10" x14ac:dyDescent="0.25">
      <c r="B933" s="106" t="s">
        <v>6559</v>
      </c>
      <c r="C933" s="105">
        <v>1174</v>
      </c>
      <c r="D933" s="106"/>
      <c r="E933" s="139"/>
      <c r="H933" s="139"/>
      <c r="I933" s="109" t="s">
        <v>6056</v>
      </c>
      <c r="J933" s="109" t="s">
        <v>4214</v>
      </c>
    </row>
    <row r="934" spans="2:10" x14ac:dyDescent="0.25">
      <c r="B934" s="106" t="s">
        <v>6560</v>
      </c>
      <c r="C934" s="105">
        <v>1173</v>
      </c>
      <c r="D934" s="106"/>
      <c r="E934" s="139"/>
      <c r="H934" s="139"/>
      <c r="I934" s="109" t="s">
        <v>6057</v>
      </c>
      <c r="J934" s="109" t="s">
        <v>4215</v>
      </c>
    </row>
    <row r="935" spans="2:10" x14ac:dyDescent="0.25">
      <c r="B935" s="106" t="s">
        <v>6561</v>
      </c>
      <c r="C935" s="105">
        <v>394</v>
      </c>
      <c r="D935" s="106"/>
      <c r="E935" s="139"/>
      <c r="H935" s="139"/>
      <c r="I935" s="109" t="s">
        <v>6058</v>
      </c>
      <c r="J935" s="109" t="s">
        <v>4216</v>
      </c>
    </row>
    <row r="936" spans="2:10" x14ac:dyDescent="0.25">
      <c r="B936" s="106" t="s">
        <v>6562</v>
      </c>
      <c r="C936" s="105">
        <v>398</v>
      </c>
      <c r="D936" s="106"/>
      <c r="E936" s="139"/>
      <c r="H936" s="139"/>
      <c r="I936" s="109" t="s">
        <v>6059</v>
      </c>
      <c r="J936" s="109" t="s">
        <v>4217</v>
      </c>
    </row>
    <row r="937" spans="2:10" x14ac:dyDescent="0.25">
      <c r="B937" s="106" t="s">
        <v>6563</v>
      </c>
      <c r="C937" s="105">
        <v>393</v>
      </c>
      <c r="D937" s="106"/>
      <c r="E937" s="139"/>
      <c r="H937" s="139"/>
      <c r="I937" s="109" t="s">
        <v>6060</v>
      </c>
      <c r="J937" s="109" t="s">
        <v>4218</v>
      </c>
    </row>
    <row r="938" spans="2:10" x14ac:dyDescent="0.25">
      <c r="B938" s="106" t="s">
        <v>6564</v>
      </c>
      <c r="C938" s="105">
        <v>1486</v>
      </c>
      <c r="D938" s="106"/>
      <c r="E938" s="139"/>
      <c r="H938" s="139"/>
      <c r="I938" s="109" t="s">
        <v>6061</v>
      </c>
      <c r="J938" s="109" t="s">
        <v>4219</v>
      </c>
    </row>
    <row r="939" spans="2:10" x14ac:dyDescent="0.25">
      <c r="B939" s="106" t="s">
        <v>6565</v>
      </c>
      <c r="C939" s="105">
        <v>1492</v>
      </c>
      <c r="D939" s="106"/>
      <c r="E939" s="139"/>
      <c r="H939" s="139"/>
      <c r="I939" s="109" t="s">
        <v>6062</v>
      </c>
      <c r="J939" s="109" t="s">
        <v>4220</v>
      </c>
    </row>
    <row r="940" spans="2:10" x14ac:dyDescent="0.25">
      <c r="B940" s="106" t="s">
        <v>6566</v>
      </c>
      <c r="C940" s="105">
        <v>1502</v>
      </c>
      <c r="D940" s="106"/>
      <c r="E940" s="139"/>
      <c r="H940" s="139"/>
      <c r="I940" s="109" t="s">
        <v>6063</v>
      </c>
      <c r="J940" s="109" t="s">
        <v>4221</v>
      </c>
    </row>
    <row r="941" spans="2:10" x14ac:dyDescent="0.25">
      <c r="B941" s="106" t="s">
        <v>6567</v>
      </c>
      <c r="C941" s="105">
        <v>1504</v>
      </c>
      <c r="D941" s="106"/>
      <c r="E941" s="139"/>
      <c r="H941" s="139"/>
      <c r="I941" s="109" t="s">
        <v>6064</v>
      </c>
      <c r="J941" s="109" t="s">
        <v>4222</v>
      </c>
    </row>
    <row r="942" spans="2:10" x14ac:dyDescent="0.25">
      <c r="B942" s="106" t="s">
        <v>6568</v>
      </c>
      <c r="C942" s="105">
        <v>1508</v>
      </c>
      <c r="D942" s="106"/>
      <c r="E942" s="139"/>
      <c r="H942" s="139"/>
      <c r="I942" s="109" t="s">
        <v>6065</v>
      </c>
      <c r="J942" s="109" t="s">
        <v>4223</v>
      </c>
    </row>
    <row r="943" spans="2:10" x14ac:dyDescent="0.25">
      <c r="B943" s="106" t="s">
        <v>6569</v>
      </c>
      <c r="C943" s="105">
        <v>1509</v>
      </c>
      <c r="D943" s="106"/>
      <c r="E943" s="139"/>
      <c r="H943" s="139"/>
      <c r="I943" s="109" t="s">
        <v>6066</v>
      </c>
      <c r="J943" s="109" t="s">
        <v>4224</v>
      </c>
    </row>
    <row r="944" spans="2:10" x14ac:dyDescent="0.25">
      <c r="B944" s="106" t="s">
        <v>6570</v>
      </c>
      <c r="C944" s="105">
        <v>1510</v>
      </c>
      <c r="D944" s="106"/>
      <c r="E944" s="139"/>
      <c r="H944" s="139"/>
      <c r="I944" s="109" t="s">
        <v>6067</v>
      </c>
      <c r="J944" s="109" t="s">
        <v>64</v>
      </c>
    </row>
    <row r="945" spans="2:10" x14ac:dyDescent="0.25">
      <c r="B945" s="106" t="s">
        <v>6571</v>
      </c>
      <c r="C945" s="105">
        <v>1514</v>
      </c>
      <c r="D945" s="106"/>
      <c r="E945" s="139"/>
      <c r="H945" s="139"/>
      <c r="I945" s="109" t="s">
        <v>6068</v>
      </c>
      <c r="J945" s="109" t="s">
        <v>4225</v>
      </c>
    </row>
    <row r="946" spans="2:10" x14ac:dyDescent="0.25">
      <c r="B946" s="106" t="s">
        <v>6572</v>
      </c>
      <c r="C946" s="105">
        <v>1517</v>
      </c>
      <c r="D946" s="106"/>
      <c r="E946" s="139"/>
      <c r="H946" s="139"/>
      <c r="I946" s="109" t="s">
        <v>6069</v>
      </c>
      <c r="J946" s="109" t="s">
        <v>4226</v>
      </c>
    </row>
    <row r="947" spans="2:10" x14ac:dyDescent="0.25">
      <c r="B947" s="106" t="s">
        <v>6573</v>
      </c>
      <c r="C947" s="105">
        <v>1520</v>
      </c>
      <c r="D947" s="106"/>
      <c r="E947" s="139"/>
      <c r="H947" s="139"/>
      <c r="I947" s="109" t="s">
        <v>6070</v>
      </c>
      <c r="J947" s="109" t="s">
        <v>4227</v>
      </c>
    </row>
    <row r="948" spans="2:10" x14ac:dyDescent="0.25">
      <c r="B948" s="106" t="s">
        <v>6574</v>
      </c>
      <c r="C948" s="105">
        <v>1530</v>
      </c>
      <c r="D948" s="106"/>
      <c r="E948" s="139"/>
      <c r="H948" s="139"/>
      <c r="I948" s="109" t="s">
        <v>6071</v>
      </c>
      <c r="J948" s="109" t="s">
        <v>4228</v>
      </c>
    </row>
    <row r="949" spans="2:10" x14ac:dyDescent="0.25">
      <c r="B949" s="106" t="s">
        <v>6575</v>
      </c>
      <c r="C949" s="105">
        <v>1534</v>
      </c>
      <c r="D949" s="106"/>
      <c r="E949" s="139"/>
      <c r="H949" s="139"/>
      <c r="I949" s="109" t="s">
        <v>6072</v>
      </c>
      <c r="J949" s="109" t="s">
        <v>4229</v>
      </c>
    </row>
    <row r="950" spans="2:10" x14ac:dyDescent="0.25">
      <c r="B950" s="106" t="s">
        <v>6576</v>
      </c>
      <c r="C950" s="105">
        <v>1541</v>
      </c>
      <c r="D950" s="106"/>
      <c r="E950" s="139"/>
      <c r="H950" s="139"/>
      <c r="I950" s="109" t="s">
        <v>6073</v>
      </c>
      <c r="J950" s="109" t="s">
        <v>4230</v>
      </c>
    </row>
    <row r="951" spans="2:10" x14ac:dyDescent="0.25">
      <c r="B951" s="106" t="s">
        <v>6577</v>
      </c>
      <c r="C951" s="105">
        <v>1543</v>
      </c>
      <c r="D951" s="106"/>
      <c r="E951" s="139"/>
      <c r="H951" s="139"/>
      <c r="I951" s="109" t="s">
        <v>6074</v>
      </c>
      <c r="J951" s="109" t="s">
        <v>4231</v>
      </c>
    </row>
    <row r="952" spans="2:10" x14ac:dyDescent="0.25">
      <c r="B952" s="106" t="s">
        <v>6578</v>
      </c>
      <c r="C952" s="105">
        <v>1545</v>
      </c>
      <c r="D952" s="106"/>
      <c r="E952" s="139"/>
      <c r="H952" s="139"/>
      <c r="I952" s="109" t="s">
        <v>6075</v>
      </c>
      <c r="J952" s="109" t="s">
        <v>4232</v>
      </c>
    </row>
    <row r="953" spans="2:10" x14ac:dyDescent="0.25">
      <c r="B953" s="106" t="s">
        <v>6579</v>
      </c>
      <c r="C953" s="105">
        <v>1547</v>
      </c>
      <c r="D953" s="106"/>
      <c r="E953" s="139"/>
      <c r="H953" s="139"/>
      <c r="I953" s="109" t="s">
        <v>6076</v>
      </c>
      <c r="J953" s="109" t="s">
        <v>4233</v>
      </c>
    </row>
    <row r="954" spans="2:10" x14ac:dyDescent="0.25">
      <c r="B954" s="106" t="s">
        <v>6580</v>
      </c>
      <c r="C954" s="105">
        <v>1551</v>
      </c>
      <c r="D954" s="106"/>
      <c r="E954" s="139"/>
      <c r="H954" s="139"/>
      <c r="I954" s="109" t="s">
        <v>6077</v>
      </c>
      <c r="J954" s="109" t="s">
        <v>4234</v>
      </c>
    </row>
    <row r="955" spans="2:10" x14ac:dyDescent="0.25">
      <c r="B955" s="106" t="s">
        <v>6581</v>
      </c>
      <c r="C955" s="105">
        <v>1553</v>
      </c>
      <c r="D955" s="106"/>
      <c r="E955" s="139"/>
      <c r="H955" s="139"/>
      <c r="I955" s="109" t="s">
        <v>6078</v>
      </c>
      <c r="J955" s="109" t="s">
        <v>4235</v>
      </c>
    </row>
    <row r="956" spans="2:10" x14ac:dyDescent="0.25">
      <c r="B956" s="106" t="s">
        <v>6582</v>
      </c>
      <c r="C956" s="105">
        <v>1556</v>
      </c>
      <c r="D956" s="106"/>
      <c r="E956" s="139"/>
      <c r="H956" s="139"/>
      <c r="I956" s="109" t="s">
        <v>6079</v>
      </c>
      <c r="J956" s="109" t="s">
        <v>4236</v>
      </c>
    </row>
    <row r="957" spans="2:10" x14ac:dyDescent="0.25">
      <c r="B957" s="106" t="s">
        <v>6583</v>
      </c>
      <c r="C957" s="105">
        <v>1557</v>
      </c>
      <c r="D957" s="106"/>
      <c r="E957" s="139"/>
      <c r="H957" s="139"/>
      <c r="I957" s="109" t="s">
        <v>6080</v>
      </c>
      <c r="J957" s="109" t="s">
        <v>4237</v>
      </c>
    </row>
    <row r="958" spans="2:10" x14ac:dyDescent="0.25">
      <c r="B958" s="106" t="s">
        <v>6584</v>
      </c>
      <c r="C958" s="105">
        <v>1558</v>
      </c>
      <c r="D958" s="106"/>
      <c r="E958" s="139"/>
      <c r="H958" s="139"/>
      <c r="I958" s="109" t="s">
        <v>6081</v>
      </c>
      <c r="J958" s="109" t="s">
        <v>4238</v>
      </c>
    </row>
    <row r="959" spans="2:10" x14ac:dyDescent="0.25">
      <c r="B959" s="106" t="s">
        <v>6585</v>
      </c>
      <c r="C959" s="105">
        <v>1560</v>
      </c>
      <c r="D959" s="106"/>
      <c r="E959" s="139"/>
      <c r="H959" s="139"/>
      <c r="I959" s="109" t="s">
        <v>6082</v>
      </c>
      <c r="J959" s="109" t="s">
        <v>4239</v>
      </c>
    </row>
    <row r="960" spans="2:10" x14ac:dyDescent="0.25">
      <c r="B960" s="106" t="s">
        <v>6586</v>
      </c>
      <c r="C960" s="105">
        <v>1561</v>
      </c>
      <c r="D960" s="106"/>
      <c r="E960" s="139"/>
      <c r="H960" s="139"/>
      <c r="I960" s="109" t="s">
        <v>6083</v>
      </c>
      <c r="J960" s="109" t="s">
        <v>4240</v>
      </c>
    </row>
    <row r="961" spans="2:10" x14ac:dyDescent="0.25">
      <c r="B961" s="106" t="s">
        <v>6587</v>
      </c>
      <c r="C961" s="105">
        <v>1566</v>
      </c>
      <c r="D961" s="106"/>
      <c r="E961" s="139"/>
      <c r="H961" s="139"/>
      <c r="I961" s="109" t="s">
        <v>6084</v>
      </c>
      <c r="J961" s="109" t="s">
        <v>4241</v>
      </c>
    </row>
    <row r="962" spans="2:10" x14ac:dyDescent="0.25">
      <c r="B962" s="106" t="s">
        <v>6588</v>
      </c>
      <c r="C962" s="105">
        <v>1571</v>
      </c>
      <c r="D962" s="106"/>
      <c r="E962" s="139"/>
      <c r="H962" s="139"/>
      <c r="I962" s="109" t="s">
        <v>6085</v>
      </c>
      <c r="J962" s="109" t="s">
        <v>4242</v>
      </c>
    </row>
    <row r="963" spans="2:10" x14ac:dyDescent="0.25">
      <c r="B963" s="106" t="s">
        <v>6589</v>
      </c>
      <c r="C963" s="105">
        <v>1573</v>
      </c>
      <c r="D963" s="106"/>
      <c r="E963" s="139"/>
      <c r="H963" s="139"/>
      <c r="I963" s="109" t="s">
        <v>6086</v>
      </c>
      <c r="J963" s="109" t="s">
        <v>4243</v>
      </c>
    </row>
    <row r="964" spans="2:10" x14ac:dyDescent="0.25">
      <c r="B964" s="106" t="s">
        <v>6590</v>
      </c>
      <c r="C964" s="105">
        <v>1577</v>
      </c>
      <c r="D964" s="106"/>
      <c r="E964" s="139"/>
      <c r="H964" s="139"/>
      <c r="I964" s="109" t="s">
        <v>6087</v>
      </c>
      <c r="J964" s="109" t="s">
        <v>4244</v>
      </c>
    </row>
    <row r="965" spans="2:10" x14ac:dyDescent="0.25">
      <c r="B965" s="106" t="s">
        <v>6591</v>
      </c>
      <c r="C965" s="105">
        <v>1578</v>
      </c>
      <c r="D965" s="106"/>
      <c r="E965" s="139"/>
      <c r="H965" s="139"/>
      <c r="I965" s="109" t="s">
        <v>6088</v>
      </c>
      <c r="J965" s="109" t="s">
        <v>4245</v>
      </c>
    </row>
    <row r="966" spans="2:10" x14ac:dyDescent="0.25">
      <c r="B966" s="106" t="s">
        <v>6592</v>
      </c>
      <c r="C966" s="105">
        <v>1182</v>
      </c>
      <c r="D966" s="106"/>
      <c r="E966" s="139"/>
      <c r="H966" s="139"/>
      <c r="I966" s="109" t="s">
        <v>6089</v>
      </c>
      <c r="J966" s="109" t="s">
        <v>4246</v>
      </c>
    </row>
    <row r="967" spans="2:10" x14ac:dyDescent="0.25">
      <c r="B967" s="106" t="s">
        <v>6593</v>
      </c>
      <c r="C967" s="105">
        <v>373</v>
      </c>
      <c r="D967" s="106"/>
      <c r="E967" s="139"/>
      <c r="H967" s="139"/>
      <c r="I967" s="109" t="s">
        <v>6090</v>
      </c>
      <c r="J967" s="109" t="s">
        <v>4247</v>
      </c>
    </row>
    <row r="968" spans="2:10" x14ac:dyDescent="0.25">
      <c r="B968" s="106" t="s">
        <v>6594</v>
      </c>
      <c r="C968" s="105">
        <v>456</v>
      </c>
      <c r="D968" s="106"/>
      <c r="E968" s="139"/>
      <c r="H968" s="139"/>
      <c r="I968" s="109" t="s">
        <v>6091</v>
      </c>
      <c r="J968" s="109" t="s">
        <v>4248</v>
      </c>
    </row>
    <row r="969" spans="2:10" x14ac:dyDescent="0.25">
      <c r="B969" s="106" t="s">
        <v>6595</v>
      </c>
      <c r="C969" s="105">
        <v>899</v>
      </c>
      <c r="D969" s="106"/>
      <c r="E969" s="139"/>
      <c r="H969" s="139"/>
      <c r="I969" s="109" t="s">
        <v>6092</v>
      </c>
      <c r="J969" s="109" t="s">
        <v>4249</v>
      </c>
    </row>
    <row r="970" spans="2:10" x14ac:dyDescent="0.25">
      <c r="B970" s="106" t="s">
        <v>6596</v>
      </c>
      <c r="C970" s="105">
        <v>937</v>
      </c>
      <c r="D970" s="106"/>
      <c r="E970" s="139"/>
      <c r="H970" s="139"/>
      <c r="I970" s="109" t="s">
        <v>6093</v>
      </c>
      <c r="J970" s="109" t="s">
        <v>4250</v>
      </c>
    </row>
    <row r="971" spans="2:10" x14ac:dyDescent="0.25">
      <c r="B971" s="106" t="s">
        <v>6597</v>
      </c>
      <c r="C971" s="105">
        <v>1265</v>
      </c>
      <c r="D971" s="106"/>
      <c r="E971" s="139"/>
      <c r="H971" s="139"/>
      <c r="I971" s="109" t="s">
        <v>6094</v>
      </c>
      <c r="J971" s="109" t="s">
        <v>4251</v>
      </c>
    </row>
    <row r="972" spans="2:10" x14ac:dyDescent="0.25">
      <c r="B972" s="106" t="s">
        <v>6598</v>
      </c>
      <c r="C972" s="105">
        <v>1267</v>
      </c>
      <c r="D972" s="106"/>
      <c r="E972" s="139"/>
      <c r="H972" s="139"/>
      <c r="I972" s="109" t="s">
        <v>6095</v>
      </c>
      <c r="J972" s="109" t="s">
        <v>4252</v>
      </c>
    </row>
    <row r="973" spans="2:10" x14ac:dyDescent="0.25">
      <c r="B973" s="106" t="s">
        <v>6599</v>
      </c>
      <c r="C973" s="105">
        <v>676</v>
      </c>
      <c r="D973" s="106"/>
      <c r="E973" s="139"/>
      <c r="H973" s="139"/>
      <c r="I973" s="109" t="s">
        <v>6096</v>
      </c>
      <c r="J973" s="109" t="s">
        <v>4253</v>
      </c>
    </row>
    <row r="974" spans="2:10" x14ac:dyDescent="0.25">
      <c r="B974" s="106" t="s">
        <v>6600</v>
      </c>
      <c r="C974" s="105">
        <v>810</v>
      </c>
      <c r="D974" s="106"/>
      <c r="E974" s="139"/>
      <c r="H974" s="139"/>
      <c r="I974" s="109" t="s">
        <v>6097</v>
      </c>
      <c r="J974" s="109" t="s">
        <v>4254</v>
      </c>
    </row>
    <row r="975" spans="2:10" x14ac:dyDescent="0.25">
      <c r="B975" s="106" t="s">
        <v>6601</v>
      </c>
      <c r="C975" s="105">
        <v>22</v>
      </c>
      <c r="D975" s="106"/>
      <c r="E975" s="139"/>
      <c r="H975" s="139"/>
      <c r="I975" s="109" t="s">
        <v>6098</v>
      </c>
      <c r="J975" s="109" t="s">
        <v>4255</v>
      </c>
    </row>
    <row r="976" spans="2:10" x14ac:dyDescent="0.25">
      <c r="B976" s="106" t="s">
        <v>6602</v>
      </c>
      <c r="C976" s="105">
        <v>884</v>
      </c>
      <c r="D976" s="106"/>
      <c r="E976" s="139"/>
      <c r="H976" s="139"/>
      <c r="I976" s="109" t="s">
        <v>6099</v>
      </c>
      <c r="J976" s="109" t="s">
        <v>4256</v>
      </c>
    </row>
    <row r="977" spans="2:10" x14ac:dyDescent="0.25">
      <c r="B977" s="106" t="s">
        <v>6603</v>
      </c>
      <c r="C977" s="105">
        <v>1070</v>
      </c>
      <c r="D977" s="106"/>
      <c r="E977" s="139"/>
      <c r="H977" s="139"/>
      <c r="I977" s="109" t="s">
        <v>6100</v>
      </c>
      <c r="J977" s="109" t="s">
        <v>4257</v>
      </c>
    </row>
    <row r="978" spans="2:10" x14ac:dyDescent="0.25">
      <c r="B978" s="106" t="s">
        <v>6604</v>
      </c>
      <c r="C978" s="105">
        <v>1370</v>
      </c>
      <c r="D978" s="106"/>
      <c r="E978" s="139"/>
      <c r="H978" s="139"/>
      <c r="I978" s="109" t="s">
        <v>6101</v>
      </c>
      <c r="J978" s="109" t="s">
        <v>4258</v>
      </c>
    </row>
    <row r="979" spans="2:10" x14ac:dyDescent="0.25">
      <c r="B979" s="106" t="s">
        <v>6605</v>
      </c>
      <c r="C979" s="105">
        <v>856</v>
      </c>
      <c r="D979" s="106"/>
      <c r="E979" s="139"/>
      <c r="H979" s="139"/>
      <c r="I979" s="109" t="s">
        <v>6102</v>
      </c>
      <c r="J979" s="109" t="s">
        <v>4259</v>
      </c>
    </row>
    <row r="980" spans="2:10" x14ac:dyDescent="0.25">
      <c r="B980" s="106" t="s">
        <v>6606</v>
      </c>
      <c r="C980" s="105">
        <v>934</v>
      </c>
      <c r="D980" s="106"/>
      <c r="E980" s="139"/>
      <c r="H980" s="139"/>
      <c r="I980" s="109" t="s">
        <v>6103</v>
      </c>
      <c r="J980" s="109" t="s">
        <v>4260</v>
      </c>
    </row>
    <row r="981" spans="2:10" x14ac:dyDescent="0.25">
      <c r="B981" s="106" t="s">
        <v>6607</v>
      </c>
      <c r="C981" s="105">
        <v>1429</v>
      </c>
      <c r="D981" s="106"/>
      <c r="E981" s="139"/>
      <c r="H981" s="139"/>
      <c r="I981" s="109" t="s">
        <v>6104</v>
      </c>
      <c r="J981" s="109" t="s">
        <v>4261</v>
      </c>
    </row>
    <row r="982" spans="2:10" x14ac:dyDescent="0.25">
      <c r="B982" s="106" t="s">
        <v>6608</v>
      </c>
      <c r="C982" s="105">
        <v>1428</v>
      </c>
      <c r="D982" s="106"/>
      <c r="E982" s="139"/>
      <c r="H982" s="139"/>
      <c r="I982" s="109" t="s">
        <v>6105</v>
      </c>
      <c r="J982" s="109" t="s">
        <v>4262</v>
      </c>
    </row>
    <row r="983" spans="2:10" x14ac:dyDescent="0.25">
      <c r="B983" s="106" t="s">
        <v>6609</v>
      </c>
      <c r="C983" s="105">
        <v>317</v>
      </c>
      <c r="D983" s="106"/>
      <c r="E983" s="139"/>
      <c r="H983" s="139"/>
      <c r="I983" s="109" t="s">
        <v>6106</v>
      </c>
      <c r="J983" s="109" t="s">
        <v>4263</v>
      </c>
    </row>
    <row r="984" spans="2:10" x14ac:dyDescent="0.25">
      <c r="B984" s="106" t="s">
        <v>6610</v>
      </c>
      <c r="C984" s="105">
        <v>1432</v>
      </c>
      <c r="D984" s="106"/>
      <c r="E984" s="139"/>
      <c r="H984" s="139"/>
      <c r="I984" s="109" t="s">
        <v>6107</v>
      </c>
      <c r="J984" s="109" t="s">
        <v>4264</v>
      </c>
    </row>
    <row r="985" spans="2:10" x14ac:dyDescent="0.25">
      <c r="B985" s="106" t="s">
        <v>6611</v>
      </c>
      <c r="C985" s="105">
        <v>1433</v>
      </c>
      <c r="D985" s="106"/>
      <c r="E985" s="139"/>
      <c r="H985" s="139"/>
      <c r="I985" s="109" t="s">
        <v>6108</v>
      </c>
      <c r="J985" s="109" t="s">
        <v>4265</v>
      </c>
    </row>
    <row r="986" spans="2:10" x14ac:dyDescent="0.25">
      <c r="B986" s="106" t="s">
        <v>6612</v>
      </c>
      <c r="C986" s="105">
        <v>1471</v>
      </c>
      <c r="D986" s="106"/>
      <c r="E986" s="139"/>
      <c r="H986" s="139"/>
      <c r="I986" s="109" t="s">
        <v>6109</v>
      </c>
      <c r="J986" s="109" t="s">
        <v>4266</v>
      </c>
    </row>
    <row r="987" spans="2:10" x14ac:dyDescent="0.25">
      <c r="B987" s="106" t="s">
        <v>6613</v>
      </c>
      <c r="C987" s="105">
        <v>1472</v>
      </c>
      <c r="D987" s="106"/>
      <c r="E987" s="139"/>
      <c r="H987" s="139"/>
      <c r="I987" s="109" t="s">
        <v>6110</v>
      </c>
      <c r="J987" s="109" t="s">
        <v>4267</v>
      </c>
    </row>
    <row r="988" spans="2:10" x14ac:dyDescent="0.25">
      <c r="B988" s="106" t="s">
        <v>6614</v>
      </c>
      <c r="C988" s="105">
        <v>1473</v>
      </c>
      <c r="D988" s="106"/>
      <c r="E988" s="139"/>
      <c r="H988" s="139"/>
      <c r="I988" s="109" t="s">
        <v>6111</v>
      </c>
      <c r="J988" s="109" t="s">
        <v>4268</v>
      </c>
    </row>
    <row r="989" spans="2:10" x14ac:dyDescent="0.25">
      <c r="B989" s="106" t="s">
        <v>6615</v>
      </c>
      <c r="C989" s="105">
        <v>1474</v>
      </c>
      <c r="D989" s="106"/>
      <c r="E989" s="139"/>
      <c r="H989" s="139"/>
      <c r="I989" s="109" t="s">
        <v>6112</v>
      </c>
      <c r="J989" s="109" t="s">
        <v>4269</v>
      </c>
    </row>
    <row r="990" spans="2:10" x14ac:dyDescent="0.25">
      <c r="B990" s="106" t="s">
        <v>6616</v>
      </c>
      <c r="C990" s="105">
        <v>1475</v>
      </c>
      <c r="D990" s="106"/>
      <c r="E990" s="139"/>
      <c r="H990" s="139"/>
      <c r="I990" s="109" t="s">
        <v>6113</v>
      </c>
      <c r="J990" s="109" t="s">
        <v>4270</v>
      </c>
    </row>
    <row r="991" spans="2:10" x14ac:dyDescent="0.25">
      <c r="B991" s="106" t="s">
        <v>6617</v>
      </c>
      <c r="C991" s="105">
        <v>1476</v>
      </c>
      <c r="D991" s="106"/>
      <c r="E991" s="139"/>
      <c r="H991" s="139"/>
      <c r="I991" s="109" t="s">
        <v>6114</v>
      </c>
      <c r="J991" s="109" t="s">
        <v>4271</v>
      </c>
    </row>
    <row r="992" spans="2:10" x14ac:dyDescent="0.25">
      <c r="B992" s="106" t="s">
        <v>6618</v>
      </c>
      <c r="C992" s="105">
        <v>1430</v>
      </c>
      <c r="D992" s="106"/>
      <c r="E992" s="139"/>
      <c r="H992" s="139"/>
      <c r="I992" s="109" t="s">
        <v>6115</v>
      </c>
      <c r="J992" s="109" t="s">
        <v>4272</v>
      </c>
    </row>
    <row r="993" spans="2:10" x14ac:dyDescent="0.25">
      <c r="B993" s="106" t="s">
        <v>6619</v>
      </c>
      <c r="C993" s="105">
        <v>1431</v>
      </c>
      <c r="D993" s="106"/>
      <c r="E993" s="139"/>
      <c r="H993" s="139"/>
      <c r="I993" s="109" t="s">
        <v>6116</v>
      </c>
      <c r="J993" s="109" t="s">
        <v>4273</v>
      </c>
    </row>
    <row r="994" spans="2:10" x14ac:dyDescent="0.25">
      <c r="B994" s="106" t="s">
        <v>6620</v>
      </c>
      <c r="C994" s="105">
        <v>1251</v>
      </c>
      <c r="D994" s="106"/>
      <c r="E994" s="139"/>
      <c r="H994" s="139"/>
      <c r="I994" s="109" t="s">
        <v>6117</v>
      </c>
      <c r="J994" s="109" t="s">
        <v>4274</v>
      </c>
    </row>
    <row r="995" spans="2:10" x14ac:dyDescent="0.25">
      <c r="B995" s="106" t="s">
        <v>6621</v>
      </c>
      <c r="C995" s="105">
        <v>1022</v>
      </c>
      <c r="D995" s="106"/>
      <c r="E995" s="139"/>
      <c r="H995" s="139"/>
      <c r="I995" s="109" t="s">
        <v>6118</v>
      </c>
      <c r="J995" s="109" t="s">
        <v>4275</v>
      </c>
    </row>
    <row r="996" spans="2:10" x14ac:dyDescent="0.25">
      <c r="B996" s="106" t="s">
        <v>6622</v>
      </c>
      <c r="C996" s="105">
        <v>190</v>
      </c>
      <c r="D996" s="106"/>
      <c r="E996" s="139"/>
      <c r="H996" s="139"/>
      <c r="I996" s="109" t="s">
        <v>6119</v>
      </c>
      <c r="J996" s="109" t="s">
        <v>4276</v>
      </c>
    </row>
    <row r="997" spans="2:10" x14ac:dyDescent="0.25">
      <c r="B997" s="106" t="s">
        <v>6623</v>
      </c>
      <c r="C997" s="105">
        <v>133</v>
      </c>
      <c r="D997" s="106"/>
      <c r="E997" s="139"/>
      <c r="H997" s="139"/>
      <c r="I997" s="109" t="s">
        <v>6120</v>
      </c>
      <c r="J997" s="109" t="s">
        <v>4277</v>
      </c>
    </row>
    <row r="998" spans="2:10" x14ac:dyDescent="0.25">
      <c r="B998" s="106" t="s">
        <v>6624</v>
      </c>
      <c r="C998" s="105">
        <v>607</v>
      </c>
      <c r="D998" s="106"/>
      <c r="E998" s="139"/>
      <c r="H998" s="139"/>
      <c r="I998" s="109" t="s">
        <v>6121</v>
      </c>
      <c r="J998" s="109" t="s">
        <v>4278</v>
      </c>
    </row>
    <row r="999" spans="2:10" x14ac:dyDescent="0.25">
      <c r="B999" s="106" t="s">
        <v>6625</v>
      </c>
      <c r="C999" s="105">
        <v>844</v>
      </c>
      <c r="D999" s="106"/>
      <c r="E999" s="139"/>
      <c r="H999" s="139"/>
      <c r="I999" s="109" t="s">
        <v>6122</v>
      </c>
      <c r="J999" s="109" t="s">
        <v>4279</v>
      </c>
    </row>
    <row r="1000" spans="2:10" x14ac:dyDescent="0.25">
      <c r="B1000" s="106" t="s">
        <v>6626</v>
      </c>
      <c r="C1000" s="105">
        <v>846</v>
      </c>
      <c r="D1000" s="106"/>
      <c r="E1000" s="139"/>
      <c r="H1000" s="139"/>
      <c r="I1000" s="109" t="s">
        <v>6123</v>
      </c>
      <c r="J1000" s="109" t="s">
        <v>4280</v>
      </c>
    </row>
    <row r="1001" spans="2:10" x14ac:dyDescent="0.25">
      <c r="B1001" s="106" t="s">
        <v>6627</v>
      </c>
      <c r="C1001" s="105">
        <v>519</v>
      </c>
      <c r="D1001" s="106"/>
      <c r="E1001" s="139"/>
      <c r="H1001" s="139"/>
      <c r="I1001" s="109" t="s">
        <v>6124</v>
      </c>
      <c r="J1001" s="109" t="s">
        <v>4281</v>
      </c>
    </row>
    <row r="1002" spans="2:10" x14ac:dyDescent="0.25">
      <c r="B1002" s="106" t="s">
        <v>6628</v>
      </c>
      <c r="C1002" s="105">
        <v>517</v>
      </c>
      <c r="D1002" s="106"/>
      <c r="E1002" s="139"/>
      <c r="H1002" s="139"/>
      <c r="I1002" s="109" t="s">
        <v>6125</v>
      </c>
      <c r="J1002" s="109" t="s">
        <v>4282</v>
      </c>
    </row>
    <row r="1003" spans="2:10" x14ac:dyDescent="0.25">
      <c r="B1003" s="106" t="s">
        <v>6629</v>
      </c>
      <c r="C1003" s="105">
        <v>292</v>
      </c>
      <c r="D1003" s="106"/>
      <c r="E1003" s="139"/>
      <c r="H1003" s="139"/>
      <c r="I1003" s="109" t="s">
        <v>6126</v>
      </c>
      <c r="J1003" s="109" t="s">
        <v>4283</v>
      </c>
    </row>
    <row r="1004" spans="2:10" x14ac:dyDescent="0.25">
      <c r="B1004" s="106" t="s">
        <v>6630</v>
      </c>
      <c r="C1004" s="105">
        <v>463</v>
      </c>
      <c r="D1004" s="106"/>
      <c r="E1004" s="139"/>
      <c r="H1004" s="139"/>
      <c r="I1004" s="109" t="s">
        <v>6127</v>
      </c>
      <c r="J1004" s="109" t="s">
        <v>4284</v>
      </c>
    </row>
    <row r="1005" spans="2:10" x14ac:dyDescent="0.25">
      <c r="B1005" s="106" t="s">
        <v>6631</v>
      </c>
      <c r="C1005" s="105">
        <v>721</v>
      </c>
      <c r="D1005" s="106"/>
      <c r="E1005" s="139"/>
      <c r="H1005" s="139"/>
      <c r="I1005" s="109" t="s">
        <v>6128</v>
      </c>
      <c r="J1005" s="109" t="s">
        <v>4285</v>
      </c>
    </row>
    <row r="1006" spans="2:10" x14ac:dyDescent="0.25">
      <c r="B1006" s="106" t="s">
        <v>6632</v>
      </c>
      <c r="C1006" s="105">
        <v>724</v>
      </c>
      <c r="D1006" s="106"/>
      <c r="E1006" s="139"/>
      <c r="H1006" s="139"/>
      <c r="I1006" s="109" t="s">
        <v>6129</v>
      </c>
      <c r="J1006" s="109" t="s">
        <v>4286</v>
      </c>
    </row>
    <row r="1007" spans="2:10" x14ac:dyDescent="0.25">
      <c r="B1007" s="106" t="s">
        <v>6633</v>
      </c>
      <c r="C1007" s="105">
        <v>320</v>
      </c>
      <c r="D1007" s="106"/>
      <c r="E1007" s="139"/>
      <c r="H1007" s="139"/>
      <c r="I1007" s="109" t="s">
        <v>6130</v>
      </c>
      <c r="J1007" s="109" t="s">
        <v>4287</v>
      </c>
    </row>
    <row r="1008" spans="2:10" x14ac:dyDescent="0.25">
      <c r="B1008" s="106" t="s">
        <v>6634</v>
      </c>
      <c r="C1008" s="105">
        <v>427</v>
      </c>
      <c r="D1008" s="106"/>
      <c r="E1008" s="139"/>
      <c r="H1008" s="139"/>
      <c r="I1008" s="109" t="s">
        <v>6131</v>
      </c>
      <c r="J1008" s="109" t="s">
        <v>4288</v>
      </c>
    </row>
    <row r="1009" spans="2:10" x14ac:dyDescent="0.25">
      <c r="B1009" s="106" t="s">
        <v>6635</v>
      </c>
      <c r="C1009" s="105">
        <v>800</v>
      </c>
      <c r="D1009" s="106"/>
      <c r="E1009" s="139"/>
      <c r="H1009" s="139"/>
      <c r="I1009" s="109" t="s">
        <v>6132</v>
      </c>
      <c r="J1009" s="109" t="s">
        <v>4289</v>
      </c>
    </row>
    <row r="1010" spans="2:10" x14ac:dyDescent="0.25">
      <c r="B1010" s="106" t="s">
        <v>6636</v>
      </c>
      <c r="C1010" s="105">
        <v>431</v>
      </c>
      <c r="D1010" s="106"/>
      <c r="E1010" s="139"/>
      <c r="H1010" s="139"/>
      <c r="I1010" s="109" t="s">
        <v>6133</v>
      </c>
      <c r="J1010" s="109" t="s">
        <v>4290</v>
      </c>
    </row>
    <row r="1011" spans="2:10" x14ac:dyDescent="0.25">
      <c r="B1011" s="106" t="s">
        <v>6637</v>
      </c>
      <c r="C1011" s="105">
        <v>802</v>
      </c>
      <c r="D1011" s="106"/>
      <c r="E1011" s="139"/>
      <c r="H1011" s="139"/>
      <c r="I1011" s="109" t="s">
        <v>6134</v>
      </c>
      <c r="J1011" s="109" t="s">
        <v>4291</v>
      </c>
    </row>
    <row r="1012" spans="2:10" x14ac:dyDescent="0.25">
      <c r="B1012" s="106" t="s">
        <v>6638</v>
      </c>
      <c r="C1012" s="105">
        <v>435</v>
      </c>
      <c r="D1012" s="106"/>
      <c r="E1012" s="139"/>
      <c r="H1012" s="139"/>
      <c r="I1012" s="109" t="s">
        <v>6135</v>
      </c>
      <c r="J1012" s="109" t="s">
        <v>4292</v>
      </c>
    </row>
    <row r="1013" spans="2:10" x14ac:dyDescent="0.25">
      <c r="B1013" s="106" t="s">
        <v>6639</v>
      </c>
      <c r="C1013" s="105">
        <v>421</v>
      </c>
      <c r="D1013" s="106"/>
      <c r="E1013" s="139"/>
      <c r="H1013" s="139"/>
      <c r="I1013" s="109" t="s">
        <v>6136</v>
      </c>
      <c r="J1013" s="109" t="s">
        <v>4293</v>
      </c>
    </row>
    <row r="1014" spans="2:10" x14ac:dyDescent="0.25">
      <c r="B1014" s="106" t="s">
        <v>6640</v>
      </c>
      <c r="C1014" s="105">
        <v>1311</v>
      </c>
      <c r="D1014" s="106"/>
      <c r="E1014" s="139"/>
      <c r="H1014" s="139"/>
      <c r="I1014" s="109" t="s">
        <v>6137</v>
      </c>
      <c r="J1014" s="109" t="s">
        <v>4294</v>
      </c>
    </row>
    <row r="1015" spans="2:10" x14ac:dyDescent="0.25">
      <c r="B1015" s="106" t="s">
        <v>6641</v>
      </c>
      <c r="C1015" s="105">
        <v>46</v>
      </c>
      <c r="D1015" s="106"/>
      <c r="E1015" s="139"/>
      <c r="H1015" s="139"/>
      <c r="I1015" s="109" t="s">
        <v>6138</v>
      </c>
      <c r="J1015" s="109" t="s">
        <v>4295</v>
      </c>
    </row>
    <row r="1016" spans="2:10" x14ac:dyDescent="0.25">
      <c r="B1016" s="106" t="s">
        <v>6642</v>
      </c>
      <c r="C1016" s="105">
        <v>164</v>
      </c>
      <c r="D1016" s="106"/>
      <c r="E1016" s="139"/>
      <c r="H1016" s="139"/>
      <c r="I1016" s="109" t="s">
        <v>6139</v>
      </c>
      <c r="J1016" s="109" t="s">
        <v>4296</v>
      </c>
    </row>
    <row r="1017" spans="2:10" x14ac:dyDescent="0.25">
      <c r="B1017" s="106" t="s">
        <v>6643</v>
      </c>
      <c r="C1017" s="105">
        <v>195</v>
      </c>
      <c r="D1017" s="106"/>
      <c r="E1017" s="139"/>
      <c r="H1017" s="139"/>
      <c r="I1017" s="109" t="s">
        <v>6140</v>
      </c>
      <c r="J1017" s="109" t="s">
        <v>4297</v>
      </c>
    </row>
    <row r="1018" spans="2:10" x14ac:dyDescent="0.25">
      <c r="B1018" s="106" t="s">
        <v>6644</v>
      </c>
      <c r="C1018" s="105">
        <v>1403</v>
      </c>
      <c r="D1018" s="106"/>
      <c r="E1018" s="139"/>
      <c r="H1018" s="139"/>
      <c r="I1018" s="109" t="s">
        <v>6141</v>
      </c>
      <c r="J1018" s="109" t="s">
        <v>4298</v>
      </c>
    </row>
    <row r="1019" spans="2:10" x14ac:dyDescent="0.25">
      <c r="B1019" s="106" t="s">
        <v>6645</v>
      </c>
      <c r="C1019" s="105">
        <v>1059</v>
      </c>
      <c r="D1019" s="106"/>
      <c r="E1019" s="139"/>
    </row>
    <row r="1020" spans="2:10" x14ac:dyDescent="0.25">
      <c r="B1020" s="106" t="s">
        <v>6646</v>
      </c>
      <c r="C1020" s="105">
        <v>1061</v>
      </c>
      <c r="D1020" s="106"/>
      <c r="E1020" s="139"/>
    </row>
    <row r="1021" spans="2:10" x14ac:dyDescent="0.25">
      <c r="B1021" s="106" t="s">
        <v>6647</v>
      </c>
      <c r="C1021" s="105">
        <v>971</v>
      </c>
      <c r="D1021" s="106"/>
      <c r="E1021" s="139"/>
    </row>
    <row r="1022" spans="2:10" x14ac:dyDescent="0.25">
      <c r="B1022" s="106" t="s">
        <v>6648</v>
      </c>
      <c r="C1022" s="105">
        <v>984</v>
      </c>
      <c r="D1022" s="106"/>
      <c r="E1022" s="139"/>
    </row>
    <row r="1023" spans="2:10" x14ac:dyDescent="0.25">
      <c r="B1023" s="106" t="s">
        <v>6649</v>
      </c>
      <c r="C1023" s="105">
        <v>1035</v>
      </c>
      <c r="D1023" s="106"/>
      <c r="E1023" s="139"/>
    </row>
    <row r="1024" spans="2:10" x14ac:dyDescent="0.25">
      <c r="B1024" s="106" t="s">
        <v>6650</v>
      </c>
      <c r="C1024" s="105">
        <v>1393</v>
      </c>
      <c r="D1024" s="106"/>
      <c r="E1024" s="139"/>
    </row>
    <row r="1025" spans="2:5" x14ac:dyDescent="0.25">
      <c r="B1025" s="106" t="s">
        <v>6651</v>
      </c>
      <c r="C1025" s="105">
        <v>1055</v>
      </c>
      <c r="D1025" s="106"/>
      <c r="E1025" s="139"/>
    </row>
    <row r="1026" spans="2:5" x14ac:dyDescent="0.25">
      <c r="B1026" s="106" t="s">
        <v>6652</v>
      </c>
      <c r="C1026" s="105">
        <v>1057</v>
      </c>
      <c r="D1026" s="106"/>
      <c r="E1026" s="139"/>
    </row>
    <row r="1027" spans="2:5" x14ac:dyDescent="0.25">
      <c r="B1027" s="106" t="s">
        <v>6653</v>
      </c>
      <c r="C1027" s="105">
        <v>147</v>
      </c>
      <c r="D1027" s="106"/>
      <c r="E1027" s="139"/>
    </row>
    <row r="1028" spans="2:5" x14ac:dyDescent="0.25">
      <c r="B1028" s="106" t="s">
        <v>6654</v>
      </c>
      <c r="C1028" s="105">
        <v>144</v>
      </c>
      <c r="D1028" s="106"/>
      <c r="E1028" s="139"/>
    </row>
    <row r="1029" spans="2:5" x14ac:dyDescent="0.25">
      <c r="B1029" s="106" t="s">
        <v>6655</v>
      </c>
      <c r="C1029" s="105">
        <v>1485</v>
      </c>
      <c r="D1029" s="106"/>
      <c r="E1029" s="139"/>
    </row>
    <row r="1030" spans="2:5" x14ac:dyDescent="0.25">
      <c r="B1030" s="106" t="s">
        <v>6656</v>
      </c>
      <c r="C1030" s="105">
        <v>198</v>
      </c>
      <c r="D1030" s="106"/>
      <c r="E1030" s="139"/>
    </row>
    <row r="1031" spans="2:5" x14ac:dyDescent="0.25">
      <c r="B1031" s="106" t="s">
        <v>6657</v>
      </c>
      <c r="C1031" s="105">
        <v>199</v>
      </c>
      <c r="D1031" s="106"/>
      <c r="E1031" s="139"/>
    </row>
    <row r="1032" spans="2:5" x14ac:dyDescent="0.25">
      <c r="B1032" s="106" t="s">
        <v>6658</v>
      </c>
      <c r="C1032" s="105">
        <v>758</v>
      </c>
      <c r="D1032" s="106"/>
      <c r="E1032" s="139"/>
    </row>
    <row r="1033" spans="2:5" x14ac:dyDescent="0.25">
      <c r="B1033" s="106" t="s">
        <v>6659</v>
      </c>
      <c r="C1033" s="105">
        <v>709</v>
      </c>
      <c r="D1033" s="106"/>
      <c r="E1033" s="139"/>
    </row>
    <row r="1034" spans="2:5" x14ac:dyDescent="0.25">
      <c r="B1034" s="106" t="s">
        <v>6660</v>
      </c>
      <c r="C1034" s="105">
        <v>522</v>
      </c>
      <c r="D1034" s="106"/>
      <c r="E1034" s="139"/>
    </row>
    <row r="1035" spans="2:5" x14ac:dyDescent="0.25">
      <c r="B1035" s="106" t="s">
        <v>6661</v>
      </c>
      <c r="C1035" s="105">
        <v>273</v>
      </c>
      <c r="D1035" s="106"/>
      <c r="E1035" s="139"/>
    </row>
    <row r="1036" spans="2:5" x14ac:dyDescent="0.25">
      <c r="B1036" s="106" t="s">
        <v>6662</v>
      </c>
      <c r="C1036" s="105">
        <v>183</v>
      </c>
      <c r="D1036" s="106"/>
      <c r="E1036" s="139"/>
    </row>
    <row r="1037" spans="2:5" x14ac:dyDescent="0.25">
      <c r="B1037" s="106" t="s">
        <v>6663</v>
      </c>
      <c r="C1037" s="105">
        <v>13</v>
      </c>
      <c r="D1037" s="106"/>
      <c r="E1037" s="139"/>
    </row>
    <row r="1038" spans="2:5" x14ac:dyDescent="0.25">
      <c r="B1038" s="106" t="s">
        <v>6664</v>
      </c>
      <c r="C1038" s="105">
        <v>559</v>
      </c>
      <c r="D1038" s="106"/>
      <c r="E1038" s="139"/>
    </row>
    <row r="1039" spans="2:5" x14ac:dyDescent="0.25">
      <c r="B1039" s="106" t="s">
        <v>6665</v>
      </c>
      <c r="C1039" s="105">
        <v>555</v>
      </c>
      <c r="D1039" s="106"/>
      <c r="E1039" s="139"/>
    </row>
    <row r="1040" spans="2:5" x14ac:dyDescent="0.25">
      <c r="B1040" s="106" t="s">
        <v>6666</v>
      </c>
      <c r="C1040" s="105">
        <v>537</v>
      </c>
      <c r="D1040" s="106"/>
      <c r="E1040" s="139"/>
    </row>
    <row r="1041" spans="2:5" x14ac:dyDescent="0.25">
      <c r="B1041" s="106" t="s">
        <v>6667</v>
      </c>
      <c r="C1041" s="105">
        <v>657</v>
      </c>
      <c r="D1041" s="106"/>
      <c r="E1041" s="139"/>
    </row>
    <row r="1042" spans="2:5" x14ac:dyDescent="0.25">
      <c r="B1042" s="106" t="s">
        <v>6668</v>
      </c>
      <c r="C1042" s="105">
        <v>897</v>
      </c>
      <c r="D1042" s="106"/>
      <c r="E1042" s="139"/>
    </row>
    <row r="1043" spans="2:5" x14ac:dyDescent="0.25">
      <c r="B1043" s="106" t="s">
        <v>6669</v>
      </c>
      <c r="C1043" s="105">
        <v>59</v>
      </c>
      <c r="D1043" s="106"/>
      <c r="E1043" s="139"/>
    </row>
    <row r="1044" spans="2:5" x14ac:dyDescent="0.25">
      <c r="B1044" s="106" t="s">
        <v>6670</v>
      </c>
      <c r="C1044" s="105">
        <v>111</v>
      </c>
      <c r="D1044" s="106"/>
      <c r="E1044" s="139"/>
    </row>
    <row r="1045" spans="2:5" x14ac:dyDescent="0.25">
      <c r="B1045" s="106" t="s">
        <v>6671</v>
      </c>
      <c r="C1045" s="105">
        <v>1423</v>
      </c>
      <c r="D1045" s="106"/>
      <c r="E1045" s="139"/>
    </row>
    <row r="1046" spans="2:5" x14ac:dyDescent="0.25">
      <c r="B1046" s="106" t="s">
        <v>6672</v>
      </c>
      <c r="C1046" s="105">
        <v>670</v>
      </c>
      <c r="D1046" s="106"/>
      <c r="E1046" s="139"/>
    </row>
    <row r="1047" spans="2:5" x14ac:dyDescent="0.25">
      <c r="B1047" s="106" t="s">
        <v>6673</v>
      </c>
      <c r="C1047" s="105">
        <v>42</v>
      </c>
      <c r="D1047" s="106"/>
      <c r="E1047" s="139"/>
    </row>
    <row r="1048" spans="2:5" x14ac:dyDescent="0.25">
      <c r="B1048" s="106" t="s">
        <v>6674</v>
      </c>
      <c r="C1048" s="105">
        <v>471</v>
      </c>
      <c r="D1048" s="106"/>
      <c r="E1048" s="139"/>
    </row>
    <row r="1049" spans="2:5" x14ac:dyDescent="0.25">
      <c r="B1049" s="106" t="s">
        <v>6675</v>
      </c>
      <c r="C1049" s="105">
        <v>473</v>
      </c>
      <c r="D1049" s="106"/>
      <c r="E1049" s="139"/>
    </row>
    <row r="1050" spans="2:5" x14ac:dyDescent="0.25">
      <c r="B1050" s="106" t="s">
        <v>6676</v>
      </c>
      <c r="C1050" s="105">
        <v>41</v>
      </c>
      <c r="D1050" s="106"/>
      <c r="E1050" s="139"/>
    </row>
    <row r="1051" spans="2:5" x14ac:dyDescent="0.25">
      <c r="B1051" s="106" t="s">
        <v>6677</v>
      </c>
      <c r="C1051" s="105">
        <v>1275</v>
      </c>
      <c r="D1051" s="106"/>
      <c r="E1051" s="139"/>
    </row>
    <row r="1052" spans="2:5" x14ac:dyDescent="0.25">
      <c r="B1052" s="106" t="s">
        <v>6678</v>
      </c>
      <c r="C1052" s="105">
        <v>811</v>
      </c>
      <c r="D1052" s="106"/>
      <c r="E1052" s="139"/>
    </row>
    <row r="1053" spans="2:5" x14ac:dyDescent="0.25">
      <c r="B1053" s="106" t="s">
        <v>6679</v>
      </c>
      <c r="C1053" s="105">
        <v>813</v>
      </c>
      <c r="D1053" s="106"/>
      <c r="E1053" s="139"/>
    </row>
    <row r="1054" spans="2:5" x14ac:dyDescent="0.25">
      <c r="B1054" s="106" t="s">
        <v>6680</v>
      </c>
      <c r="C1054" s="105">
        <v>551</v>
      </c>
      <c r="D1054" s="106"/>
      <c r="E1054" s="139"/>
    </row>
    <row r="1055" spans="2:5" x14ac:dyDescent="0.25">
      <c r="B1055" s="106" t="s">
        <v>6681</v>
      </c>
      <c r="C1055" s="105">
        <v>209</v>
      </c>
      <c r="D1055" s="106"/>
      <c r="E1055" s="139"/>
    </row>
    <row r="1056" spans="2:5" x14ac:dyDescent="0.25">
      <c r="B1056" s="106" t="s">
        <v>6682</v>
      </c>
      <c r="C1056" s="105">
        <v>212</v>
      </c>
      <c r="D1056" s="106"/>
      <c r="E1056" s="139"/>
    </row>
    <row r="1057" spans="2:5" x14ac:dyDescent="0.25">
      <c r="B1057" s="106" t="s">
        <v>6683</v>
      </c>
      <c r="C1057" s="105">
        <v>244</v>
      </c>
      <c r="D1057" s="106"/>
      <c r="E1057" s="139"/>
    </row>
    <row r="1058" spans="2:5" x14ac:dyDescent="0.25">
      <c r="B1058" s="106" t="s">
        <v>6684</v>
      </c>
      <c r="C1058" s="105">
        <v>1137</v>
      </c>
      <c r="D1058" s="106"/>
      <c r="E1058" s="139"/>
    </row>
    <row r="1059" spans="2:5" x14ac:dyDescent="0.25">
      <c r="B1059" s="106" t="s">
        <v>6685</v>
      </c>
      <c r="C1059" s="105">
        <v>760</v>
      </c>
      <c r="D1059" s="106"/>
      <c r="E1059" s="139"/>
    </row>
    <row r="1060" spans="2:5" x14ac:dyDescent="0.25">
      <c r="B1060" s="106" t="s">
        <v>6686</v>
      </c>
      <c r="C1060" s="105">
        <v>1203</v>
      </c>
      <c r="D1060" s="106"/>
      <c r="E1060" s="139"/>
    </row>
    <row r="1061" spans="2:5" x14ac:dyDescent="0.25">
      <c r="B1061" s="106" t="s">
        <v>6687</v>
      </c>
      <c r="C1061" s="105">
        <v>335</v>
      </c>
      <c r="D1061" s="106"/>
      <c r="E1061" s="139"/>
    </row>
    <row r="1062" spans="2:5" x14ac:dyDescent="0.25">
      <c r="B1062" s="106" t="s">
        <v>6688</v>
      </c>
      <c r="C1062" s="105">
        <v>339</v>
      </c>
      <c r="D1062" s="106"/>
      <c r="E1062" s="139"/>
    </row>
    <row r="1063" spans="2:5" x14ac:dyDescent="0.25">
      <c r="B1063" s="106" t="s">
        <v>6689</v>
      </c>
      <c r="C1063" s="105">
        <v>104</v>
      </c>
      <c r="D1063" s="106"/>
      <c r="E1063" s="139"/>
    </row>
    <row r="1064" spans="2:5" x14ac:dyDescent="0.25">
      <c r="B1064" s="106" t="s">
        <v>6690</v>
      </c>
      <c r="C1064" s="105">
        <v>878</v>
      </c>
      <c r="D1064" s="106"/>
      <c r="E1064" s="139"/>
    </row>
    <row r="1065" spans="2:5" x14ac:dyDescent="0.25">
      <c r="B1065" s="106" t="s">
        <v>6691</v>
      </c>
      <c r="C1065" s="105">
        <v>103</v>
      </c>
      <c r="D1065" s="106"/>
      <c r="E1065" s="139"/>
    </row>
    <row r="1066" spans="2:5" x14ac:dyDescent="0.25">
      <c r="B1066" s="106" t="s">
        <v>6692</v>
      </c>
      <c r="C1066" s="105">
        <v>876</v>
      </c>
      <c r="D1066" s="106"/>
      <c r="E1066" s="139"/>
    </row>
    <row r="1067" spans="2:5" x14ac:dyDescent="0.25">
      <c r="B1067" s="106" t="s">
        <v>6693</v>
      </c>
      <c r="C1067" s="105">
        <v>280</v>
      </c>
      <c r="D1067" s="106"/>
      <c r="E1067" s="139"/>
    </row>
    <row r="1068" spans="2:5" x14ac:dyDescent="0.25">
      <c r="B1068" s="106" t="s">
        <v>6694</v>
      </c>
      <c r="C1068" s="105">
        <v>77</v>
      </c>
      <c r="D1068" s="106"/>
      <c r="E1068" s="139"/>
    </row>
    <row r="1069" spans="2:5" x14ac:dyDescent="0.25">
      <c r="B1069" s="106" t="s">
        <v>6695</v>
      </c>
      <c r="C1069" s="105">
        <v>783</v>
      </c>
      <c r="D1069" s="106"/>
      <c r="E1069" s="139"/>
    </row>
    <row r="1070" spans="2:5" x14ac:dyDescent="0.25">
      <c r="B1070" s="106" t="s">
        <v>6696</v>
      </c>
      <c r="C1070" s="105">
        <v>1477</v>
      </c>
      <c r="D1070" s="106"/>
      <c r="E1070" s="139"/>
    </row>
    <row r="1071" spans="2:5" x14ac:dyDescent="0.25">
      <c r="B1071" s="106" t="s">
        <v>6697</v>
      </c>
      <c r="C1071" s="105">
        <v>1385</v>
      </c>
      <c r="D1071" s="106"/>
      <c r="E1071" s="139"/>
    </row>
    <row r="1072" spans="2:5" x14ac:dyDescent="0.25">
      <c r="B1072" s="106" t="s">
        <v>6698</v>
      </c>
      <c r="C1072" s="105">
        <v>513</v>
      </c>
      <c r="D1072" s="106"/>
      <c r="E1072" s="139"/>
    </row>
    <row r="1073" spans="2:5" x14ac:dyDescent="0.25">
      <c r="B1073" s="106" t="s">
        <v>6699</v>
      </c>
      <c r="C1073" s="105">
        <v>1005</v>
      </c>
      <c r="D1073" s="106"/>
      <c r="E1073" s="139"/>
    </row>
    <row r="1074" spans="2:5" x14ac:dyDescent="0.25">
      <c r="B1074" s="106" t="s">
        <v>6700</v>
      </c>
      <c r="C1074" s="105">
        <v>1487</v>
      </c>
      <c r="D1074" s="106"/>
      <c r="E1074" s="139"/>
    </row>
    <row r="1075" spans="2:5" x14ac:dyDescent="0.25">
      <c r="B1075" s="106" t="s">
        <v>6701</v>
      </c>
      <c r="C1075" s="105">
        <v>779</v>
      </c>
      <c r="D1075" s="106"/>
      <c r="E1075" s="139"/>
    </row>
    <row r="1076" spans="2:5" x14ac:dyDescent="0.25">
      <c r="B1076" s="106" t="s">
        <v>6702</v>
      </c>
      <c r="C1076" s="105">
        <v>1155</v>
      </c>
      <c r="D1076" s="106"/>
      <c r="E1076" s="139"/>
    </row>
    <row r="1077" spans="2:5" x14ac:dyDescent="0.25">
      <c r="B1077" s="106" t="s">
        <v>6703</v>
      </c>
      <c r="C1077" s="105">
        <v>860</v>
      </c>
      <c r="D1077" s="106"/>
      <c r="E1077" s="139"/>
    </row>
    <row r="1078" spans="2:5" x14ac:dyDescent="0.25">
      <c r="B1078" s="106" t="s">
        <v>6704</v>
      </c>
      <c r="C1078" s="105">
        <v>535</v>
      </c>
      <c r="D1078" s="106"/>
      <c r="E1078" s="139"/>
    </row>
    <row r="1079" spans="2:5" x14ac:dyDescent="0.25">
      <c r="B1079" s="106" t="s">
        <v>6705</v>
      </c>
      <c r="C1079" s="105">
        <v>772</v>
      </c>
      <c r="D1079" s="106"/>
      <c r="E1079" s="139"/>
    </row>
    <row r="1080" spans="2:5" x14ac:dyDescent="0.25">
      <c r="B1080" s="106" t="s">
        <v>6706</v>
      </c>
      <c r="C1080" s="105">
        <v>1151</v>
      </c>
      <c r="D1080" s="106"/>
      <c r="E1080" s="139"/>
    </row>
    <row r="1081" spans="2:5" x14ac:dyDescent="0.25">
      <c r="B1081" s="106" t="s">
        <v>6707</v>
      </c>
      <c r="C1081" s="105">
        <v>787</v>
      </c>
      <c r="D1081" s="106"/>
      <c r="E1081" s="139"/>
    </row>
    <row r="1082" spans="2:5" x14ac:dyDescent="0.25">
      <c r="B1082" s="106" t="s">
        <v>6708</v>
      </c>
      <c r="C1082" s="105">
        <v>827</v>
      </c>
      <c r="D1082" s="106"/>
      <c r="E1082" s="139"/>
    </row>
    <row r="1083" spans="2:5" x14ac:dyDescent="0.25">
      <c r="B1083" s="106" t="s">
        <v>6709</v>
      </c>
      <c r="C1083" s="105">
        <v>368</v>
      </c>
      <c r="D1083" s="106"/>
      <c r="E1083" s="139"/>
    </row>
    <row r="1084" spans="2:5" x14ac:dyDescent="0.25">
      <c r="B1084" s="106" t="s">
        <v>6710</v>
      </c>
      <c r="C1084" s="105">
        <v>1069</v>
      </c>
      <c r="D1084" s="106"/>
      <c r="E1084" s="139"/>
    </row>
    <row r="1085" spans="2:5" x14ac:dyDescent="0.25">
      <c r="B1085" s="106" t="s">
        <v>6711</v>
      </c>
      <c r="C1085" s="105">
        <v>205</v>
      </c>
      <c r="D1085" s="106"/>
      <c r="E1085" s="139"/>
    </row>
    <row r="1086" spans="2:5" x14ac:dyDescent="0.25">
      <c r="B1086" s="106" t="s">
        <v>6712</v>
      </c>
      <c r="C1086" s="105">
        <v>872</v>
      </c>
      <c r="D1086" s="106"/>
      <c r="E1086" s="139"/>
    </row>
    <row r="1087" spans="2:5" x14ac:dyDescent="0.25">
      <c r="B1087" s="106" t="s">
        <v>6713</v>
      </c>
      <c r="C1087" s="105">
        <v>206</v>
      </c>
      <c r="D1087" s="106"/>
      <c r="E1087" s="139"/>
    </row>
    <row r="1088" spans="2:5" x14ac:dyDescent="0.25">
      <c r="B1088" s="106" t="s">
        <v>6714</v>
      </c>
      <c r="C1088" s="105">
        <v>873</v>
      </c>
      <c r="D1088" s="106"/>
      <c r="E1088" s="139"/>
    </row>
    <row r="1089" spans="2:5" x14ac:dyDescent="0.25">
      <c r="B1089" s="106" t="s">
        <v>6715</v>
      </c>
      <c r="C1089" s="105">
        <v>57</v>
      </c>
      <c r="D1089" s="106"/>
      <c r="E1089" s="139"/>
    </row>
    <row r="1090" spans="2:5" x14ac:dyDescent="0.25">
      <c r="B1090" s="106" t="s">
        <v>6716</v>
      </c>
      <c r="C1090" s="105">
        <v>869</v>
      </c>
      <c r="D1090" s="106"/>
      <c r="E1090" s="139"/>
    </row>
    <row r="1091" spans="2:5" x14ac:dyDescent="0.25">
      <c r="B1091" s="106" t="s">
        <v>6717</v>
      </c>
      <c r="C1091" s="105">
        <v>130</v>
      </c>
      <c r="D1091" s="106"/>
      <c r="E1091" s="139"/>
    </row>
    <row r="1092" spans="2:5" x14ac:dyDescent="0.25">
      <c r="B1092" s="106" t="s">
        <v>6718</v>
      </c>
      <c r="C1092" s="105">
        <v>820</v>
      </c>
      <c r="D1092" s="106"/>
      <c r="E1092" s="139"/>
    </row>
    <row r="1093" spans="2:5" x14ac:dyDescent="0.25">
      <c r="B1093" s="106" t="s">
        <v>6719</v>
      </c>
      <c r="C1093" s="105">
        <v>99</v>
      </c>
      <c r="D1093" s="106"/>
      <c r="E1093" s="139"/>
    </row>
    <row r="1094" spans="2:5" x14ac:dyDescent="0.25">
      <c r="B1094" s="106" t="s">
        <v>6720</v>
      </c>
      <c r="C1094" s="105">
        <v>1096</v>
      </c>
      <c r="D1094" s="106"/>
      <c r="E1094" s="139"/>
    </row>
    <row r="1095" spans="2:5" x14ac:dyDescent="0.25">
      <c r="B1095" s="106" t="s">
        <v>6721</v>
      </c>
      <c r="C1095" s="105">
        <v>1097</v>
      </c>
      <c r="D1095" s="106"/>
      <c r="E1095" s="139"/>
    </row>
    <row r="1096" spans="2:5" ht="15.75" thickBot="1" x14ac:dyDescent="0.3">
      <c r="B1096" s="103" t="s">
        <v>6722</v>
      </c>
      <c r="C1096" s="101">
        <v>113</v>
      </c>
      <c r="D1096" s="106"/>
      <c r="E1096" s="139"/>
    </row>
    <row r="1097" spans="2:5" x14ac:dyDescent="0.25">
      <c r="D1097" s="107"/>
    </row>
    <row r="1098" spans="2:5" x14ac:dyDescent="0.25">
      <c r="D1098" s="107"/>
    </row>
    <row r="1099" spans="2:5" x14ac:dyDescent="0.25">
      <c r="D1099" s="107"/>
    </row>
    <row r="1100" spans="2:5" x14ac:dyDescent="0.25">
      <c r="D1100" s="107"/>
    </row>
    <row r="1101" spans="2:5" x14ac:dyDescent="0.25">
      <c r="D1101" s="107"/>
    </row>
    <row r="1102" spans="2:5" x14ac:dyDescent="0.25">
      <c r="D1102" s="107"/>
    </row>
    <row r="1103" spans="2:5" x14ac:dyDescent="0.25">
      <c r="D1103" s="107"/>
    </row>
  </sheetData>
  <mergeCells count="27">
    <mergeCell ref="BJ19:BK19"/>
    <mergeCell ref="B2:C2"/>
    <mergeCell ref="I2:J2"/>
    <mergeCell ref="L2:M2"/>
    <mergeCell ref="O2:P2"/>
    <mergeCell ref="R2:S2"/>
    <mergeCell ref="AE2:AF2"/>
    <mergeCell ref="AH2:AI2"/>
    <mergeCell ref="U2:V2"/>
    <mergeCell ref="X2:Y2"/>
    <mergeCell ref="AA2:AB2"/>
    <mergeCell ref="CD2:CE2"/>
    <mergeCell ref="CG2:CH2"/>
    <mergeCell ref="CJ2:CK2"/>
    <mergeCell ref="CO2:CP2"/>
    <mergeCell ref="AK2:AL2"/>
    <mergeCell ref="CA2:CB2"/>
    <mergeCell ref="BP2:BQ2"/>
    <mergeCell ref="AN2:AO2"/>
    <mergeCell ref="AT2:AU2"/>
    <mergeCell ref="AW2:AX2"/>
    <mergeCell ref="AZ2:BA2"/>
    <mergeCell ref="BM2:BN2"/>
    <mergeCell ref="BC2:BD2"/>
    <mergeCell ref="AQ2:AR2"/>
    <mergeCell ref="BJ2:BK2"/>
    <mergeCell ref="BG2:BH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7"/>
  <sheetViews>
    <sheetView workbookViewId="0">
      <pane ySplit="1" topLeftCell="A2" activePane="bottomLeft" state="frozen"/>
      <selection pane="bottomLeft" sqref="A1:D1048576"/>
    </sheetView>
  </sheetViews>
  <sheetFormatPr defaultRowHeight="15" x14ac:dyDescent="0.25"/>
  <cols>
    <col min="1" max="1" width="21.7109375" style="221" bestFit="1" customWidth="1"/>
    <col min="2" max="2" width="11.5703125" style="228" bestFit="1" customWidth="1"/>
    <col min="3" max="3" width="24.7109375" style="221" bestFit="1" customWidth="1"/>
    <col min="4" max="4" width="9.140625" style="229"/>
  </cols>
  <sheetData>
    <row r="1" spans="1:4" x14ac:dyDescent="0.25">
      <c r="A1" s="221" t="s">
        <v>4320</v>
      </c>
      <c r="B1" s="228" t="s">
        <v>4321</v>
      </c>
      <c r="C1" s="221" t="s">
        <v>4322</v>
      </c>
      <c r="D1" s="229" t="s">
        <v>4323</v>
      </c>
    </row>
    <row r="2" spans="1:4" x14ac:dyDescent="0.25">
      <c r="B2" s="261"/>
      <c r="D2" s="221"/>
    </row>
    <row r="3" spans="1:4" x14ac:dyDescent="0.25">
      <c r="B3" s="260"/>
      <c r="D3" s="221"/>
    </row>
    <row r="4" spans="1:4" x14ac:dyDescent="0.25">
      <c r="B4" s="260"/>
      <c r="D4" s="221"/>
    </row>
    <row r="5" spans="1:4" x14ac:dyDescent="0.25">
      <c r="B5" s="260"/>
      <c r="D5" s="221"/>
    </row>
    <row r="6" spans="1:4" x14ac:dyDescent="0.25">
      <c r="B6" s="260"/>
      <c r="D6" s="221"/>
    </row>
    <row r="7" spans="1:4" x14ac:dyDescent="0.25">
      <c r="B7" s="261"/>
      <c r="D7" s="22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CommandButton1">
          <controlPr defaultSize="0" autoLine="0" r:id="rId5">
            <anchor moveWithCells="1">
              <from>
                <xdr:col>6</xdr:col>
                <xdr:colOff>600075</xdr:colOff>
                <xdr:row>8</xdr:row>
                <xdr:rowOff>0</xdr:rowOff>
              </from>
              <to>
                <xdr:col>9</xdr:col>
                <xdr:colOff>495300</xdr:colOff>
                <xdr:row>10</xdr:row>
                <xdr:rowOff>152400</xdr:rowOff>
              </to>
            </anchor>
          </controlPr>
        </control>
      </mc:Choice>
      <mc:Fallback>
        <control shapeId="10250" r:id="rId4" name="CommandButton1"/>
      </mc:Fallback>
    </mc:AlternateContent>
    <mc:AlternateContent xmlns:mc="http://schemas.openxmlformats.org/markup-compatibility/2006">
      <mc:Choice Requires="x14">
        <control shapeId="10251" r:id="rId6" name="CommandButton2">
          <controlPr defaultSize="0" autoLine="0" r:id="rId7">
            <anchor moveWithCells="1">
              <from>
                <xdr:col>6</xdr:col>
                <xdr:colOff>600075</xdr:colOff>
                <xdr:row>1</xdr:row>
                <xdr:rowOff>180975</xdr:rowOff>
              </from>
              <to>
                <xdr:col>10</xdr:col>
                <xdr:colOff>190500</xdr:colOff>
                <xdr:row>4</xdr:row>
                <xdr:rowOff>95250</xdr:rowOff>
              </to>
            </anchor>
          </controlPr>
        </control>
      </mc:Choice>
      <mc:Fallback>
        <control shapeId="10251" r:id="rId6" name="CommandButton2"/>
      </mc:Fallback>
    </mc:AlternateContent>
    <mc:AlternateContent xmlns:mc="http://schemas.openxmlformats.org/markup-compatibility/2006">
      <mc:Choice Requires="x14">
        <control shapeId="10252" r:id="rId8" name="CommandButton3">
          <controlPr defaultSize="0" autoLine="0" r:id="rId9">
            <anchor moveWithCells="1">
              <from>
                <xdr:col>6</xdr:col>
                <xdr:colOff>600075</xdr:colOff>
                <xdr:row>4</xdr:row>
                <xdr:rowOff>180975</xdr:rowOff>
              </from>
              <to>
                <xdr:col>10</xdr:col>
                <xdr:colOff>190500</xdr:colOff>
                <xdr:row>7</xdr:row>
                <xdr:rowOff>95250</xdr:rowOff>
              </to>
            </anchor>
          </controlPr>
        </control>
      </mc:Choice>
      <mc:Fallback>
        <control shapeId="10252" r:id="rId8" name="CommandButton3"/>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2"/>
  <sheetViews>
    <sheetView workbookViewId="0">
      <selection activeCell="I8" sqref="I8"/>
    </sheetView>
  </sheetViews>
  <sheetFormatPr defaultRowHeight="15" x14ac:dyDescent="0.25"/>
  <cols>
    <col min="21" max="21" width="10.7109375" customWidth="1"/>
  </cols>
  <sheetData>
    <row r="1" spans="2:21" ht="15.75" thickBot="1" x14ac:dyDescent="0.3"/>
    <row r="2" spans="2:21" x14ac:dyDescent="0.25">
      <c r="B2" s="77" t="s">
        <v>144</v>
      </c>
      <c r="C2" s="78"/>
      <c r="D2" s="79"/>
      <c r="E2" s="79"/>
      <c r="F2" s="80"/>
      <c r="G2" s="80"/>
      <c r="H2" s="80"/>
      <c r="I2" s="80"/>
      <c r="J2" s="80"/>
      <c r="K2" s="80"/>
      <c r="L2" s="80"/>
      <c r="M2" s="80"/>
      <c r="N2" s="80"/>
      <c r="O2" s="80"/>
      <c r="P2" s="80"/>
      <c r="Q2" s="80"/>
      <c r="R2" s="80"/>
      <c r="S2" s="80"/>
      <c r="T2" s="80"/>
      <c r="U2" s="81"/>
    </row>
    <row r="3" spans="2:21" ht="15.75" thickBot="1" x14ac:dyDescent="0.3">
      <c r="B3" s="82" t="s">
        <v>145</v>
      </c>
      <c r="C3" s="83" t="s">
        <v>144</v>
      </c>
      <c r="D3" s="83"/>
      <c r="E3" s="83"/>
      <c r="F3" s="83"/>
      <c r="G3" s="83"/>
      <c r="H3" s="83"/>
      <c r="I3" s="83"/>
      <c r="J3" s="83"/>
      <c r="K3" s="83"/>
      <c r="L3" s="83"/>
      <c r="M3" s="83"/>
      <c r="N3" s="83"/>
      <c r="O3" s="83"/>
      <c r="P3" s="83"/>
      <c r="Q3" s="83"/>
      <c r="R3" s="83"/>
      <c r="S3" s="83"/>
      <c r="T3" s="83"/>
      <c r="U3" s="84"/>
    </row>
    <row r="4" spans="2:21" ht="24.75" thickBot="1" x14ac:dyDescent="0.3">
      <c r="B4" s="85" t="s">
        <v>4</v>
      </c>
      <c r="C4" s="86" t="s">
        <v>6</v>
      </c>
      <c r="D4" s="86" t="s">
        <v>7</v>
      </c>
      <c r="E4" s="86" t="s">
        <v>8</v>
      </c>
      <c r="F4" s="86" t="s">
        <v>10</v>
      </c>
      <c r="G4" s="86" t="s">
        <v>11</v>
      </c>
      <c r="H4" s="86" t="s">
        <v>12</v>
      </c>
      <c r="I4" s="86" t="s">
        <v>13</v>
      </c>
      <c r="J4" s="86" t="s">
        <v>15</v>
      </c>
      <c r="K4" s="86" t="s">
        <v>146</v>
      </c>
      <c r="L4" s="86" t="s">
        <v>16</v>
      </c>
      <c r="M4" s="86" t="s">
        <v>17</v>
      </c>
      <c r="N4" s="86" t="s">
        <v>18</v>
      </c>
      <c r="O4" s="86" t="s">
        <v>19</v>
      </c>
      <c r="P4" s="86" t="s">
        <v>20</v>
      </c>
      <c r="Q4" s="87" t="s">
        <v>1</v>
      </c>
      <c r="R4" s="87" t="s">
        <v>2</v>
      </c>
      <c r="S4" s="87" t="s">
        <v>3</v>
      </c>
      <c r="T4" s="87" t="s">
        <v>5</v>
      </c>
      <c r="U4" s="88" t="s">
        <v>9</v>
      </c>
    </row>
    <row r="5" spans="2:21" ht="36" x14ac:dyDescent="0.25">
      <c r="B5" s="34" t="s">
        <v>147</v>
      </c>
      <c r="C5" s="33" t="s">
        <v>148</v>
      </c>
      <c r="D5" s="33" t="s">
        <v>149</v>
      </c>
      <c r="E5" s="33" t="s">
        <v>150</v>
      </c>
      <c r="F5" s="33" t="s">
        <v>151</v>
      </c>
      <c r="G5" s="33" t="s">
        <v>152</v>
      </c>
      <c r="H5" s="33" t="s">
        <v>153</v>
      </c>
      <c r="I5" s="33" t="s">
        <v>154</v>
      </c>
      <c r="J5" s="33" t="s">
        <v>155</v>
      </c>
      <c r="K5" s="33" t="s">
        <v>156</v>
      </c>
      <c r="L5" s="33" t="s">
        <v>157</v>
      </c>
      <c r="M5" s="33" t="s">
        <v>158</v>
      </c>
      <c r="N5" s="33" t="s">
        <v>159</v>
      </c>
      <c r="O5" s="33" t="s">
        <v>160</v>
      </c>
      <c r="P5" s="35" t="s">
        <v>161</v>
      </c>
      <c r="Q5" s="32" t="s">
        <v>162</v>
      </c>
      <c r="R5" s="32" t="s">
        <v>162</v>
      </c>
      <c r="S5" s="32" t="s">
        <v>162</v>
      </c>
      <c r="T5" s="32" t="s">
        <v>162</v>
      </c>
      <c r="U5" s="36" t="s">
        <v>162</v>
      </c>
    </row>
    <row r="6" spans="2:21" ht="36" x14ac:dyDescent="0.25">
      <c r="B6" s="25" t="s">
        <v>163</v>
      </c>
      <c r="C6" s="23" t="s">
        <v>164</v>
      </c>
      <c r="D6" s="23" t="s">
        <v>165</v>
      </c>
      <c r="E6" s="23" t="s">
        <v>166</v>
      </c>
      <c r="F6" s="23" t="s">
        <v>167</v>
      </c>
      <c r="G6" s="23" t="s">
        <v>168</v>
      </c>
      <c r="H6" s="23" t="s">
        <v>169</v>
      </c>
      <c r="I6" s="23" t="s">
        <v>170</v>
      </c>
      <c r="J6" s="23" t="s">
        <v>171</v>
      </c>
      <c r="K6" s="23" t="s">
        <v>172</v>
      </c>
      <c r="L6" s="23" t="s">
        <v>173</v>
      </c>
      <c r="M6" s="23" t="s">
        <v>174</v>
      </c>
      <c r="N6" s="23" t="s">
        <v>175</v>
      </c>
      <c r="O6" s="23" t="s">
        <v>176</v>
      </c>
      <c r="P6" s="23" t="s">
        <v>177</v>
      </c>
      <c r="Q6" s="24"/>
      <c r="R6" s="24"/>
      <c r="S6" s="24"/>
      <c r="T6" s="24"/>
      <c r="U6" s="27"/>
    </row>
    <row r="7" spans="2:21" ht="36" x14ac:dyDescent="0.25">
      <c r="B7" s="25" t="s">
        <v>178</v>
      </c>
      <c r="C7" s="23" t="s">
        <v>179</v>
      </c>
      <c r="D7" s="23" t="s">
        <v>180</v>
      </c>
      <c r="E7" s="23" t="s">
        <v>181</v>
      </c>
      <c r="F7" s="23" t="s">
        <v>182</v>
      </c>
      <c r="G7" s="23" t="s">
        <v>183</v>
      </c>
      <c r="H7" s="23" t="s">
        <v>184</v>
      </c>
      <c r="I7" s="23" t="s">
        <v>185</v>
      </c>
      <c r="J7" s="23" t="s">
        <v>186</v>
      </c>
      <c r="K7" s="23" t="s">
        <v>187</v>
      </c>
      <c r="L7" s="23" t="s">
        <v>188</v>
      </c>
      <c r="M7" s="23" t="s">
        <v>189</v>
      </c>
      <c r="N7" s="24"/>
      <c r="O7" s="23" t="s">
        <v>190</v>
      </c>
      <c r="P7" s="23" t="s">
        <v>191</v>
      </c>
      <c r="Q7" s="24"/>
      <c r="R7" s="24"/>
      <c r="S7" s="24"/>
      <c r="T7" s="24"/>
      <c r="U7" s="27"/>
    </row>
    <row r="8" spans="2:21" ht="36" x14ac:dyDescent="0.25">
      <c r="B8" s="25" t="s">
        <v>192</v>
      </c>
      <c r="C8" s="23" t="s">
        <v>193</v>
      </c>
      <c r="D8" s="23" t="s">
        <v>194</v>
      </c>
      <c r="E8" s="23" t="s">
        <v>195</v>
      </c>
      <c r="F8" s="23" t="s">
        <v>196</v>
      </c>
      <c r="G8" s="23" t="s">
        <v>197</v>
      </c>
      <c r="H8" s="23" t="s">
        <v>198</v>
      </c>
      <c r="I8" s="24"/>
      <c r="J8" s="23" t="s">
        <v>199</v>
      </c>
      <c r="K8" s="23" t="s">
        <v>200</v>
      </c>
      <c r="L8" s="23" t="s">
        <v>201</v>
      </c>
      <c r="M8" s="23" t="s">
        <v>202</v>
      </c>
      <c r="N8" s="24"/>
      <c r="O8" s="24"/>
      <c r="P8" s="23" t="s">
        <v>203</v>
      </c>
      <c r="Q8" s="24"/>
      <c r="R8" s="24"/>
      <c r="S8" s="24"/>
      <c r="T8" s="24"/>
      <c r="U8" s="27"/>
    </row>
    <row r="9" spans="2:21" ht="48" x14ac:dyDescent="0.25">
      <c r="B9" s="25" t="s">
        <v>204</v>
      </c>
      <c r="C9" s="23" t="s">
        <v>205</v>
      </c>
      <c r="D9" s="23" t="s">
        <v>206</v>
      </c>
      <c r="E9" s="23" t="s">
        <v>207</v>
      </c>
      <c r="F9" s="23" t="s">
        <v>208</v>
      </c>
      <c r="G9" s="23" t="s">
        <v>209</v>
      </c>
      <c r="H9" s="23" t="s">
        <v>210</v>
      </c>
      <c r="I9" s="24"/>
      <c r="J9" s="24"/>
      <c r="K9" s="23" t="s">
        <v>211</v>
      </c>
      <c r="L9" s="23" t="s">
        <v>212</v>
      </c>
      <c r="M9" s="23" t="s">
        <v>213</v>
      </c>
      <c r="N9" s="24"/>
      <c r="O9" s="24"/>
      <c r="P9" s="23" t="s">
        <v>214</v>
      </c>
      <c r="Q9" s="24"/>
      <c r="R9" s="24"/>
      <c r="S9" s="24"/>
      <c r="T9" s="24"/>
      <c r="U9" s="27"/>
    </row>
    <row r="10" spans="2:21" ht="48" x14ac:dyDescent="0.25">
      <c r="B10" s="25" t="s">
        <v>215</v>
      </c>
      <c r="C10" s="23" t="s">
        <v>216</v>
      </c>
      <c r="D10" s="23" t="s">
        <v>217</v>
      </c>
      <c r="E10" s="23" t="s">
        <v>218</v>
      </c>
      <c r="F10" s="23" t="s">
        <v>219</v>
      </c>
      <c r="G10" s="23" t="s">
        <v>220</v>
      </c>
      <c r="H10" s="23" t="s">
        <v>221</v>
      </c>
      <c r="I10" s="24"/>
      <c r="J10" s="24"/>
      <c r="K10" s="23" t="s">
        <v>222</v>
      </c>
      <c r="L10" s="24"/>
      <c r="M10" s="23" t="s">
        <v>223</v>
      </c>
      <c r="N10" s="24"/>
      <c r="O10" s="24"/>
      <c r="P10" s="23" t="s">
        <v>224</v>
      </c>
      <c r="Q10" s="24"/>
      <c r="R10" s="24"/>
      <c r="S10" s="24"/>
      <c r="T10" s="24"/>
      <c r="U10" s="27"/>
    </row>
    <row r="11" spans="2:21" ht="48" x14ac:dyDescent="0.25">
      <c r="B11" s="25" t="s">
        <v>225</v>
      </c>
      <c r="C11" s="23" t="s">
        <v>226</v>
      </c>
      <c r="D11" s="23" t="s">
        <v>227</v>
      </c>
      <c r="E11" s="23" t="s">
        <v>228</v>
      </c>
      <c r="F11" s="23" t="s">
        <v>229</v>
      </c>
      <c r="G11" s="23" t="s">
        <v>230</v>
      </c>
      <c r="H11" s="23" t="s">
        <v>231</v>
      </c>
      <c r="I11" s="24"/>
      <c r="J11" s="24"/>
      <c r="K11" s="23" t="s">
        <v>232</v>
      </c>
      <c r="L11" s="24"/>
      <c r="M11" s="23" t="s">
        <v>233</v>
      </c>
      <c r="N11" s="24"/>
      <c r="O11" s="24"/>
      <c r="P11" s="23" t="s">
        <v>234</v>
      </c>
      <c r="Q11" s="24"/>
      <c r="R11" s="24"/>
      <c r="S11" s="24"/>
      <c r="T11" s="24"/>
      <c r="U11" s="27"/>
    </row>
    <row r="12" spans="2:21" ht="48" x14ac:dyDescent="0.25">
      <c r="B12" s="25" t="s">
        <v>235</v>
      </c>
      <c r="C12" s="23" t="s">
        <v>236</v>
      </c>
      <c r="D12" s="23" t="s">
        <v>237</v>
      </c>
      <c r="E12" s="23" t="s">
        <v>238</v>
      </c>
      <c r="F12" s="24"/>
      <c r="G12" s="23" t="s">
        <v>239</v>
      </c>
      <c r="H12" s="23" t="s">
        <v>240</v>
      </c>
      <c r="I12" s="24"/>
      <c r="J12" s="24"/>
      <c r="K12" s="23" t="s">
        <v>241</v>
      </c>
      <c r="L12" s="24"/>
      <c r="M12" s="23" t="s">
        <v>242</v>
      </c>
      <c r="N12" s="24"/>
      <c r="O12" s="24"/>
      <c r="P12" s="23" t="s">
        <v>243</v>
      </c>
      <c r="Q12" s="24"/>
      <c r="R12" s="24"/>
      <c r="S12" s="24"/>
      <c r="T12" s="24"/>
      <c r="U12" s="27"/>
    </row>
    <row r="13" spans="2:21" ht="36" x14ac:dyDescent="0.25">
      <c r="B13" s="25" t="s">
        <v>244</v>
      </c>
      <c r="C13" s="23" t="s">
        <v>152</v>
      </c>
      <c r="D13" s="23" t="s">
        <v>245</v>
      </c>
      <c r="E13" s="23" t="s">
        <v>246</v>
      </c>
      <c r="F13" s="24"/>
      <c r="G13" s="23" t="s">
        <v>247</v>
      </c>
      <c r="H13" s="24"/>
      <c r="I13" s="24"/>
      <c r="J13" s="24"/>
      <c r="K13" s="23" t="s">
        <v>248</v>
      </c>
      <c r="L13" s="24"/>
      <c r="M13" s="23" t="s">
        <v>249</v>
      </c>
      <c r="N13" s="24"/>
      <c r="O13" s="24"/>
      <c r="P13" s="23" t="s">
        <v>250</v>
      </c>
      <c r="Q13" s="24"/>
      <c r="R13" s="24"/>
      <c r="S13" s="24"/>
      <c r="T13" s="24"/>
      <c r="U13" s="27"/>
    </row>
    <row r="14" spans="2:21" ht="36" x14ac:dyDescent="0.25">
      <c r="B14" s="25" t="s">
        <v>251</v>
      </c>
      <c r="C14" s="23" t="s">
        <v>168</v>
      </c>
      <c r="D14" s="23" t="s">
        <v>252</v>
      </c>
      <c r="E14" s="23" t="s">
        <v>253</v>
      </c>
      <c r="F14" s="24"/>
      <c r="G14" s="23" t="s">
        <v>254</v>
      </c>
      <c r="H14" s="24"/>
      <c r="I14" s="24"/>
      <c r="J14" s="24"/>
      <c r="K14" s="23" t="s">
        <v>255</v>
      </c>
      <c r="L14" s="24"/>
      <c r="M14" s="24"/>
      <c r="N14" s="24"/>
      <c r="O14" s="24"/>
      <c r="P14" s="23" t="s">
        <v>256</v>
      </c>
      <c r="Q14" s="24"/>
      <c r="R14" s="24"/>
      <c r="S14" s="24"/>
      <c r="T14" s="24"/>
      <c r="U14" s="27"/>
    </row>
    <row r="15" spans="2:21" ht="36" x14ac:dyDescent="0.25">
      <c r="B15" s="25" t="s">
        <v>257</v>
      </c>
      <c r="C15" s="23" t="s">
        <v>183</v>
      </c>
      <c r="D15" s="23" t="s">
        <v>258</v>
      </c>
      <c r="E15" s="23" t="s">
        <v>259</v>
      </c>
      <c r="F15" s="24"/>
      <c r="G15" s="23" t="s">
        <v>246</v>
      </c>
      <c r="H15" s="24"/>
      <c r="I15" s="24"/>
      <c r="J15" s="24"/>
      <c r="K15" s="23" t="s">
        <v>260</v>
      </c>
      <c r="L15" s="24"/>
      <c r="M15" s="24"/>
      <c r="N15" s="24"/>
      <c r="O15" s="24"/>
      <c r="P15" s="23" t="s">
        <v>261</v>
      </c>
      <c r="Q15" s="24"/>
      <c r="R15" s="24"/>
      <c r="S15" s="24"/>
      <c r="T15" s="24"/>
      <c r="U15" s="27"/>
    </row>
    <row r="16" spans="2:21" ht="36" x14ac:dyDescent="0.25">
      <c r="B16" s="25" t="s">
        <v>262</v>
      </c>
      <c r="C16" s="23" t="s">
        <v>263</v>
      </c>
      <c r="D16" s="23" t="s">
        <v>264</v>
      </c>
      <c r="E16" s="23" t="s">
        <v>265</v>
      </c>
      <c r="F16" s="24"/>
      <c r="G16" s="23" t="s">
        <v>266</v>
      </c>
      <c r="H16" s="24"/>
      <c r="I16" s="24"/>
      <c r="J16" s="24"/>
      <c r="K16" s="23" t="s">
        <v>246</v>
      </c>
      <c r="L16" s="24"/>
      <c r="M16" s="24"/>
      <c r="N16" s="24"/>
      <c r="O16" s="24"/>
      <c r="P16" s="23" t="s">
        <v>267</v>
      </c>
      <c r="Q16" s="24"/>
      <c r="R16" s="24"/>
      <c r="S16" s="24"/>
      <c r="T16" s="24"/>
      <c r="U16" s="27"/>
    </row>
    <row r="17" spans="2:21" ht="24" x14ac:dyDescent="0.25">
      <c r="B17" s="25" t="s">
        <v>268</v>
      </c>
      <c r="C17" s="23" t="s">
        <v>248</v>
      </c>
      <c r="D17" s="23" t="s">
        <v>269</v>
      </c>
      <c r="E17" s="23" t="s">
        <v>270</v>
      </c>
      <c r="F17" s="24"/>
      <c r="G17" s="23" t="s">
        <v>271</v>
      </c>
      <c r="H17" s="24"/>
      <c r="I17" s="24"/>
      <c r="J17" s="24"/>
      <c r="K17" s="23" t="s">
        <v>272</v>
      </c>
      <c r="L17" s="24"/>
      <c r="M17" s="24"/>
      <c r="N17" s="24"/>
      <c r="O17" s="24"/>
      <c r="P17" s="23" t="s">
        <v>273</v>
      </c>
      <c r="Q17" s="24"/>
      <c r="R17" s="24"/>
      <c r="S17" s="24"/>
      <c r="T17" s="24"/>
      <c r="U17" s="27"/>
    </row>
    <row r="18" spans="2:21" ht="36" x14ac:dyDescent="0.25">
      <c r="B18" s="26"/>
      <c r="C18" s="23" t="s">
        <v>197</v>
      </c>
      <c r="D18" s="23" t="s">
        <v>274</v>
      </c>
      <c r="E18" s="23" t="s">
        <v>275</v>
      </c>
      <c r="F18" s="24"/>
      <c r="G18" s="23" t="s">
        <v>276</v>
      </c>
      <c r="H18" s="24"/>
      <c r="I18" s="24"/>
      <c r="J18" s="24"/>
      <c r="K18" s="23" t="s">
        <v>277</v>
      </c>
      <c r="L18" s="24"/>
      <c r="M18" s="24"/>
      <c r="N18" s="24"/>
      <c r="O18" s="24"/>
      <c r="P18" s="23" t="s">
        <v>253</v>
      </c>
      <c r="Q18" s="24"/>
      <c r="R18" s="24"/>
      <c r="S18" s="24"/>
      <c r="T18" s="24"/>
      <c r="U18" s="27"/>
    </row>
    <row r="19" spans="2:21" ht="36" x14ac:dyDescent="0.25">
      <c r="B19" s="26"/>
      <c r="C19" s="23" t="s">
        <v>209</v>
      </c>
      <c r="D19" s="24"/>
      <c r="E19" s="23" t="s">
        <v>278</v>
      </c>
      <c r="F19" s="24"/>
      <c r="G19" s="23" t="s">
        <v>279</v>
      </c>
      <c r="H19" s="24"/>
      <c r="I19" s="24"/>
      <c r="J19" s="24"/>
      <c r="K19" s="23" t="s">
        <v>280</v>
      </c>
      <c r="L19" s="24"/>
      <c r="M19" s="24"/>
      <c r="N19" s="24"/>
      <c r="O19" s="24"/>
      <c r="P19" s="24"/>
      <c r="Q19" s="24"/>
      <c r="R19" s="24"/>
      <c r="S19" s="24"/>
      <c r="T19" s="24"/>
      <c r="U19" s="27"/>
    </row>
    <row r="20" spans="2:21" ht="36" x14ac:dyDescent="0.25">
      <c r="B20" s="26"/>
      <c r="C20" s="23" t="s">
        <v>220</v>
      </c>
      <c r="D20" s="24"/>
      <c r="E20" s="24"/>
      <c r="F20" s="24"/>
      <c r="G20" s="23" t="s">
        <v>281</v>
      </c>
      <c r="H20" s="24"/>
      <c r="I20" s="24"/>
      <c r="J20" s="24"/>
      <c r="K20" s="23" t="s">
        <v>282</v>
      </c>
      <c r="L20" s="24"/>
      <c r="M20" s="24"/>
      <c r="N20" s="24"/>
      <c r="O20" s="24"/>
      <c r="P20" s="24"/>
      <c r="Q20" s="24"/>
      <c r="R20" s="24"/>
      <c r="S20" s="24"/>
      <c r="T20" s="24"/>
      <c r="U20" s="27"/>
    </row>
    <row r="21" spans="2:21" ht="24" x14ac:dyDescent="0.25">
      <c r="B21" s="26"/>
      <c r="C21" s="23" t="s">
        <v>230</v>
      </c>
      <c r="D21" s="24"/>
      <c r="E21" s="24"/>
      <c r="F21" s="24"/>
      <c r="G21" s="23" t="s">
        <v>283</v>
      </c>
      <c r="H21" s="24"/>
      <c r="I21" s="24"/>
      <c r="J21" s="24"/>
      <c r="K21" s="24"/>
      <c r="L21" s="24"/>
      <c r="M21" s="24"/>
      <c r="N21" s="24"/>
      <c r="O21" s="24"/>
      <c r="P21" s="24"/>
      <c r="Q21" s="24"/>
      <c r="R21" s="24"/>
      <c r="S21" s="24"/>
      <c r="T21" s="24"/>
      <c r="U21" s="27"/>
    </row>
    <row r="22" spans="2:21" ht="36" x14ac:dyDescent="0.25">
      <c r="B22" s="26"/>
      <c r="C22" s="23" t="s">
        <v>239</v>
      </c>
      <c r="D22" s="24"/>
      <c r="E22" s="24"/>
      <c r="F22" s="24"/>
      <c r="G22" s="24"/>
      <c r="H22" s="24"/>
      <c r="I22" s="24"/>
      <c r="J22" s="24"/>
      <c r="K22" s="24"/>
      <c r="L22" s="24"/>
      <c r="M22" s="24"/>
      <c r="N22" s="24"/>
      <c r="O22" s="24"/>
      <c r="P22" s="24"/>
      <c r="Q22" s="24"/>
      <c r="R22" s="24"/>
      <c r="S22" s="24"/>
      <c r="T22" s="24"/>
      <c r="U22" s="27"/>
    </row>
    <row r="23" spans="2:21" ht="24" x14ac:dyDescent="0.25">
      <c r="B23" s="26"/>
      <c r="C23" s="23" t="s">
        <v>247</v>
      </c>
      <c r="D23" s="24"/>
      <c r="E23" s="24"/>
      <c r="F23" s="24"/>
      <c r="G23" s="24"/>
      <c r="H23" s="24"/>
      <c r="I23" s="24"/>
      <c r="J23" s="24"/>
      <c r="K23" s="24"/>
      <c r="L23" s="24"/>
      <c r="M23" s="24"/>
      <c r="N23" s="24"/>
      <c r="O23" s="24"/>
      <c r="P23" s="24"/>
      <c r="Q23" s="24"/>
      <c r="R23" s="24"/>
      <c r="S23" s="24"/>
      <c r="T23" s="24"/>
      <c r="U23" s="27"/>
    </row>
    <row r="24" spans="2:21" x14ac:dyDescent="0.25">
      <c r="B24" s="26"/>
      <c r="C24" s="23" t="s">
        <v>254</v>
      </c>
      <c r="D24" s="24"/>
      <c r="E24" s="24"/>
      <c r="F24" s="24"/>
      <c r="G24" s="24"/>
      <c r="H24" s="24"/>
      <c r="I24" s="24"/>
      <c r="J24" s="24"/>
      <c r="K24" s="24"/>
      <c r="L24" s="24"/>
      <c r="M24" s="24"/>
      <c r="N24" s="24"/>
      <c r="O24" s="24"/>
      <c r="P24" s="24"/>
      <c r="Q24" s="24"/>
      <c r="R24" s="24"/>
      <c r="S24" s="24"/>
      <c r="T24" s="24"/>
      <c r="U24" s="27"/>
    </row>
    <row r="25" spans="2:21" ht="36" x14ac:dyDescent="0.25">
      <c r="B25" s="26"/>
      <c r="C25" s="23" t="s">
        <v>255</v>
      </c>
      <c r="D25" s="24"/>
      <c r="E25" s="24"/>
      <c r="F25" s="24"/>
      <c r="G25" s="24"/>
      <c r="H25" s="24"/>
      <c r="I25" s="24"/>
      <c r="J25" s="24"/>
      <c r="K25" s="24"/>
      <c r="L25" s="24"/>
      <c r="M25" s="24"/>
      <c r="N25" s="24"/>
      <c r="O25" s="24"/>
      <c r="P25" s="24"/>
      <c r="Q25" s="24"/>
      <c r="R25" s="24"/>
      <c r="S25" s="24"/>
      <c r="T25" s="24"/>
      <c r="U25" s="27"/>
    </row>
    <row r="26" spans="2:21" ht="36" x14ac:dyDescent="0.25">
      <c r="B26" s="26"/>
      <c r="C26" s="23" t="s">
        <v>246</v>
      </c>
      <c r="D26" s="24"/>
      <c r="E26" s="24"/>
      <c r="F26" s="24"/>
      <c r="G26" s="24"/>
      <c r="H26" s="24"/>
      <c r="I26" s="24"/>
      <c r="J26" s="24"/>
      <c r="K26" s="24"/>
      <c r="L26" s="24"/>
      <c r="M26" s="24"/>
      <c r="N26" s="24"/>
      <c r="O26" s="24"/>
      <c r="P26" s="24"/>
      <c r="Q26" s="24"/>
      <c r="R26" s="24"/>
      <c r="S26" s="24"/>
      <c r="T26" s="24"/>
      <c r="U26" s="27"/>
    </row>
    <row r="27" spans="2:21" ht="36" x14ac:dyDescent="0.25">
      <c r="B27" s="26"/>
      <c r="C27" s="23" t="s">
        <v>266</v>
      </c>
      <c r="D27" s="24"/>
      <c r="E27" s="24"/>
      <c r="F27" s="24"/>
      <c r="G27" s="24"/>
      <c r="H27" s="24"/>
      <c r="I27" s="24"/>
      <c r="J27" s="24"/>
      <c r="K27" s="24"/>
      <c r="L27" s="24"/>
      <c r="M27" s="24"/>
      <c r="N27" s="24"/>
      <c r="O27" s="24"/>
      <c r="P27" s="24"/>
      <c r="Q27" s="24"/>
      <c r="R27" s="24"/>
      <c r="S27" s="24"/>
      <c r="T27" s="24"/>
      <c r="U27" s="27"/>
    </row>
    <row r="28" spans="2:21" x14ac:dyDescent="0.25">
      <c r="B28" s="26"/>
      <c r="C28" s="23" t="s">
        <v>271</v>
      </c>
      <c r="D28" s="24"/>
      <c r="E28" s="24"/>
      <c r="F28" s="24"/>
      <c r="G28" s="24"/>
      <c r="H28" s="24"/>
      <c r="I28" s="24"/>
      <c r="J28" s="24"/>
      <c r="K28" s="24"/>
      <c r="L28" s="24"/>
      <c r="M28" s="24"/>
      <c r="N28" s="24"/>
      <c r="O28" s="24"/>
      <c r="P28" s="24"/>
      <c r="Q28" s="24"/>
      <c r="R28" s="24"/>
      <c r="S28" s="24"/>
      <c r="T28" s="24"/>
      <c r="U28" s="27"/>
    </row>
    <row r="29" spans="2:21" ht="36" x14ac:dyDescent="0.25">
      <c r="B29" s="26"/>
      <c r="C29" s="23" t="s">
        <v>279</v>
      </c>
      <c r="D29" s="24"/>
      <c r="E29" s="24"/>
      <c r="F29" s="24"/>
      <c r="G29" s="24"/>
      <c r="H29" s="24"/>
      <c r="I29" s="24"/>
      <c r="J29" s="24"/>
      <c r="K29" s="24"/>
      <c r="L29" s="24"/>
      <c r="M29" s="24"/>
      <c r="N29" s="24"/>
      <c r="O29" s="24"/>
      <c r="P29" s="24"/>
      <c r="Q29" s="24"/>
      <c r="R29" s="24"/>
      <c r="S29" s="24"/>
      <c r="T29" s="24"/>
      <c r="U29" s="27"/>
    </row>
    <row r="30" spans="2:21" ht="24" x14ac:dyDescent="0.25">
      <c r="B30" s="26"/>
      <c r="C30" s="23" t="s">
        <v>284</v>
      </c>
      <c r="D30" s="24"/>
      <c r="E30" s="24"/>
      <c r="F30" s="24"/>
      <c r="G30" s="24"/>
      <c r="H30" s="24"/>
      <c r="I30" s="24"/>
      <c r="J30" s="24"/>
      <c r="K30" s="24"/>
      <c r="L30" s="24"/>
      <c r="M30" s="24"/>
      <c r="N30" s="24"/>
      <c r="O30" s="24"/>
      <c r="P30" s="24"/>
      <c r="Q30" s="24"/>
      <c r="R30" s="24"/>
      <c r="S30" s="24"/>
      <c r="T30" s="24"/>
      <c r="U30" s="27"/>
    </row>
    <row r="31" spans="2:21" ht="24" x14ac:dyDescent="0.25">
      <c r="B31" s="26"/>
      <c r="C31" s="23" t="s">
        <v>280</v>
      </c>
      <c r="D31" s="24"/>
      <c r="E31" s="24"/>
      <c r="F31" s="24"/>
      <c r="G31" s="24"/>
      <c r="H31" s="24"/>
      <c r="I31" s="24"/>
      <c r="J31" s="24"/>
      <c r="K31" s="24"/>
      <c r="L31" s="24"/>
      <c r="M31" s="24"/>
      <c r="N31" s="24"/>
      <c r="O31" s="24"/>
      <c r="P31" s="24"/>
      <c r="Q31" s="24"/>
      <c r="R31" s="24"/>
      <c r="S31" s="24"/>
      <c r="T31" s="24"/>
      <c r="U31" s="27"/>
    </row>
    <row r="32" spans="2:21" ht="15.75" thickBot="1" x14ac:dyDescent="0.3">
      <c r="B32" s="28"/>
      <c r="C32" s="29" t="s">
        <v>283</v>
      </c>
      <c r="D32" s="30"/>
      <c r="E32" s="30"/>
      <c r="F32" s="30"/>
      <c r="G32" s="30"/>
      <c r="H32" s="30"/>
      <c r="I32" s="30"/>
      <c r="J32" s="30"/>
      <c r="K32" s="30"/>
      <c r="L32" s="30"/>
      <c r="M32" s="30"/>
      <c r="N32" s="30"/>
      <c r="O32" s="30"/>
      <c r="P32" s="30"/>
      <c r="Q32" s="30"/>
      <c r="R32" s="30"/>
      <c r="S32" s="30"/>
      <c r="T32" s="30"/>
      <c r="U32" s="31"/>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J652"/>
  <sheetViews>
    <sheetView topLeftCell="F1" workbookViewId="0">
      <selection activeCell="H43" sqref="H43"/>
    </sheetView>
  </sheetViews>
  <sheetFormatPr defaultRowHeight="15" x14ac:dyDescent="0.25"/>
  <cols>
    <col min="2" max="2" width="44.5703125" customWidth="1"/>
    <col min="3" max="3" width="13.5703125" customWidth="1"/>
    <col min="5" max="5" width="44.28515625" bestFit="1" customWidth="1"/>
    <col min="6" max="6" width="5.7109375" bestFit="1" customWidth="1"/>
    <col min="7" max="7" width="25.85546875" customWidth="1"/>
    <col min="8" max="8" width="30.42578125" customWidth="1"/>
  </cols>
  <sheetData>
    <row r="1" spans="2:10" ht="15.75" thickBot="1" x14ac:dyDescent="0.3">
      <c r="B1" s="175" t="s">
        <v>7815</v>
      </c>
      <c r="E1" s="134" t="s">
        <v>7816</v>
      </c>
      <c r="F1" s="167" t="s">
        <v>8531</v>
      </c>
      <c r="I1" s="167" t="s">
        <v>8586</v>
      </c>
    </row>
    <row r="2" spans="2:10" ht="16.5" thickBot="1" x14ac:dyDescent="0.3">
      <c r="B2" s="289" t="s">
        <v>285</v>
      </c>
      <c r="C2" s="290"/>
      <c r="E2" s="289" t="s">
        <v>285</v>
      </c>
      <c r="F2" s="290"/>
      <c r="H2" s="51" t="s">
        <v>611</v>
      </c>
      <c r="I2" s="52"/>
    </row>
    <row r="3" spans="2:10" ht="15.75" thickBot="1" x14ac:dyDescent="0.3">
      <c r="B3" s="54" t="s">
        <v>286</v>
      </c>
      <c r="C3" s="44" t="s">
        <v>287</v>
      </c>
      <c r="E3" s="166" t="s">
        <v>7818</v>
      </c>
      <c r="F3" s="166" t="s">
        <v>290</v>
      </c>
      <c r="H3" s="140" t="s">
        <v>8532</v>
      </c>
      <c r="I3" s="40" t="s">
        <v>626</v>
      </c>
    </row>
    <row r="4" spans="2:10" x14ac:dyDescent="0.25">
      <c r="B4" s="45" t="s">
        <v>2752</v>
      </c>
      <c r="C4" s="42" t="s">
        <v>288</v>
      </c>
      <c r="E4" s="166" t="s">
        <v>7819</v>
      </c>
      <c r="F4" s="166" t="s">
        <v>291</v>
      </c>
      <c r="H4" s="140" t="s">
        <v>8533</v>
      </c>
      <c r="I4" s="40" t="s">
        <v>632</v>
      </c>
      <c r="J4" s="166"/>
    </row>
    <row r="5" spans="2:10" x14ac:dyDescent="0.25">
      <c r="B5" s="46" t="s">
        <v>2754</v>
      </c>
      <c r="C5" s="40" t="s">
        <v>290</v>
      </c>
      <c r="E5" s="166" t="s">
        <v>7820</v>
      </c>
      <c r="F5" s="166" t="s">
        <v>292</v>
      </c>
      <c r="H5" s="140" t="s">
        <v>8534</v>
      </c>
      <c r="I5" s="40" t="s">
        <v>634</v>
      </c>
      <c r="J5" s="166"/>
    </row>
    <row r="6" spans="2:10" x14ac:dyDescent="0.25">
      <c r="B6" s="46" t="s">
        <v>2755</v>
      </c>
      <c r="C6" s="40" t="s">
        <v>291</v>
      </c>
      <c r="E6" s="166" t="s">
        <v>7821</v>
      </c>
      <c r="F6" s="166" t="s">
        <v>7822</v>
      </c>
      <c r="H6" s="140" t="s">
        <v>8535</v>
      </c>
      <c r="I6" s="40" t="s">
        <v>636</v>
      </c>
      <c r="J6" s="166"/>
    </row>
    <row r="7" spans="2:10" x14ac:dyDescent="0.25">
      <c r="B7" s="46" t="s">
        <v>2756</v>
      </c>
      <c r="C7" s="40" t="s">
        <v>292</v>
      </c>
      <c r="E7" s="166" t="s">
        <v>7823</v>
      </c>
      <c r="F7" s="166" t="s">
        <v>7824</v>
      </c>
      <c r="H7" s="140" t="s">
        <v>8536</v>
      </c>
      <c r="I7" s="40" t="s">
        <v>638</v>
      </c>
      <c r="J7" s="166"/>
    </row>
    <row r="8" spans="2:10" x14ac:dyDescent="0.25">
      <c r="B8" s="46" t="s">
        <v>2757</v>
      </c>
      <c r="C8" s="40" t="s">
        <v>293</v>
      </c>
      <c r="E8" s="166" t="s">
        <v>7825</v>
      </c>
      <c r="F8" s="166" t="s">
        <v>7826</v>
      </c>
      <c r="H8" s="140" t="s">
        <v>8537</v>
      </c>
      <c r="I8" s="40" t="s">
        <v>640</v>
      </c>
      <c r="J8" s="166"/>
    </row>
    <row r="9" spans="2:10" x14ac:dyDescent="0.25">
      <c r="B9" s="46" t="s">
        <v>2758</v>
      </c>
      <c r="C9" s="40" t="s">
        <v>294</v>
      </c>
      <c r="E9" s="166" t="s">
        <v>7827</v>
      </c>
      <c r="F9" s="166" t="s">
        <v>293</v>
      </c>
      <c r="H9" s="140" t="s">
        <v>8538</v>
      </c>
      <c r="I9" s="40" t="s">
        <v>703</v>
      </c>
      <c r="J9" s="166"/>
    </row>
    <row r="10" spans="2:10" x14ac:dyDescent="0.25">
      <c r="B10" s="46" t="s">
        <v>2759</v>
      </c>
      <c r="C10" s="40" t="s">
        <v>295</v>
      </c>
      <c r="E10" s="166" t="s">
        <v>7828</v>
      </c>
      <c r="F10" s="166" t="s">
        <v>7829</v>
      </c>
      <c r="H10" s="140" t="s">
        <v>8539</v>
      </c>
      <c r="I10" s="40" t="s">
        <v>705</v>
      </c>
      <c r="J10" s="166"/>
    </row>
    <row r="11" spans="2:10" x14ac:dyDescent="0.25">
      <c r="B11" s="46" t="s">
        <v>2760</v>
      </c>
      <c r="C11" s="40" t="s">
        <v>296</v>
      </c>
      <c r="E11" s="166" t="s">
        <v>7830</v>
      </c>
      <c r="F11" s="166" t="s">
        <v>294</v>
      </c>
      <c r="H11" s="140" t="s">
        <v>8540</v>
      </c>
      <c r="I11" s="40" t="s">
        <v>648</v>
      </c>
      <c r="J11" s="166"/>
    </row>
    <row r="12" spans="2:10" x14ac:dyDescent="0.25">
      <c r="B12" s="46" t="s">
        <v>2761</v>
      </c>
      <c r="C12" s="40" t="s">
        <v>297</v>
      </c>
      <c r="E12" s="166" t="s">
        <v>7831</v>
      </c>
      <c r="F12" s="166" t="s">
        <v>7832</v>
      </c>
      <c r="H12" s="140" t="s">
        <v>8541</v>
      </c>
      <c r="I12" s="40" t="s">
        <v>642</v>
      </c>
      <c r="J12" s="166"/>
    </row>
    <row r="13" spans="2:10" x14ac:dyDescent="0.25">
      <c r="B13" s="46" t="s">
        <v>2762</v>
      </c>
      <c r="C13" s="40" t="s">
        <v>298</v>
      </c>
      <c r="E13" s="166" t="s">
        <v>7833</v>
      </c>
      <c r="F13" s="166" t="s">
        <v>7834</v>
      </c>
      <c r="H13" s="140" t="s">
        <v>8542</v>
      </c>
      <c r="I13" s="40" t="s">
        <v>646</v>
      </c>
      <c r="J13" s="166"/>
    </row>
    <row r="14" spans="2:10" x14ac:dyDescent="0.25">
      <c r="B14" s="46" t="s">
        <v>2763</v>
      </c>
      <c r="C14" s="40" t="s">
        <v>299</v>
      </c>
      <c r="E14" s="166" t="s">
        <v>7835</v>
      </c>
      <c r="F14" s="166" t="s">
        <v>295</v>
      </c>
      <c r="H14" s="140" t="s">
        <v>8543</v>
      </c>
      <c r="I14" s="40" t="s">
        <v>644</v>
      </c>
      <c r="J14" s="166"/>
    </row>
    <row r="15" spans="2:10" x14ac:dyDescent="0.25">
      <c r="B15" s="46" t="s">
        <v>2764</v>
      </c>
      <c r="C15" s="40" t="s">
        <v>300</v>
      </c>
      <c r="E15" s="166" t="s">
        <v>7836</v>
      </c>
      <c r="F15" s="166" t="s">
        <v>7837</v>
      </c>
      <c r="H15" s="140" t="s">
        <v>8544</v>
      </c>
      <c r="I15" s="40" t="s">
        <v>650</v>
      </c>
      <c r="J15" s="166"/>
    </row>
    <row r="16" spans="2:10" x14ac:dyDescent="0.25">
      <c r="B16" s="46" t="s">
        <v>2765</v>
      </c>
      <c r="C16" s="40" t="s">
        <v>301</v>
      </c>
      <c r="E16" s="166" t="s">
        <v>7838</v>
      </c>
      <c r="F16" s="166" t="s">
        <v>296</v>
      </c>
      <c r="H16" s="140" t="s">
        <v>8545</v>
      </c>
      <c r="I16" s="40">
        <v>30</v>
      </c>
      <c r="J16" s="166"/>
    </row>
    <row r="17" spans="2:10" x14ac:dyDescent="0.25">
      <c r="B17" s="46" t="s">
        <v>2766</v>
      </c>
      <c r="C17" s="40" t="s">
        <v>302</v>
      </c>
      <c r="E17" s="166" t="s">
        <v>7839</v>
      </c>
      <c r="F17" s="166" t="s">
        <v>7840</v>
      </c>
      <c r="H17" s="140" t="s">
        <v>8546</v>
      </c>
      <c r="I17" s="40" t="s">
        <v>658</v>
      </c>
      <c r="J17" s="166"/>
    </row>
    <row r="18" spans="2:10" x14ac:dyDescent="0.25">
      <c r="B18" s="46" t="s">
        <v>2767</v>
      </c>
      <c r="C18" s="40" t="s">
        <v>303</v>
      </c>
      <c r="E18" s="166" t="s">
        <v>7841</v>
      </c>
      <c r="F18" s="166" t="s">
        <v>297</v>
      </c>
      <c r="H18" s="140" t="s">
        <v>8547</v>
      </c>
      <c r="I18" s="40" t="s">
        <v>652</v>
      </c>
      <c r="J18" s="166"/>
    </row>
    <row r="19" spans="2:10" x14ac:dyDescent="0.25">
      <c r="B19" s="46" t="s">
        <v>2768</v>
      </c>
      <c r="C19" s="40" t="s">
        <v>304</v>
      </c>
      <c r="E19" s="166" t="s">
        <v>7842</v>
      </c>
      <c r="F19" s="166" t="s">
        <v>7843</v>
      </c>
      <c r="H19" s="140" t="s">
        <v>8548</v>
      </c>
      <c r="I19" s="40" t="s">
        <v>656</v>
      </c>
      <c r="J19" s="166"/>
    </row>
    <row r="20" spans="2:10" x14ac:dyDescent="0.25">
      <c r="B20" s="46" t="s">
        <v>2769</v>
      </c>
      <c r="C20" s="40" t="s">
        <v>305</v>
      </c>
      <c r="E20" s="166" t="s">
        <v>7844</v>
      </c>
      <c r="F20" s="166" t="s">
        <v>298</v>
      </c>
      <c r="H20" s="140" t="s">
        <v>8549</v>
      </c>
      <c r="I20" s="40" t="s">
        <v>654</v>
      </c>
      <c r="J20" s="166"/>
    </row>
    <row r="21" spans="2:10" x14ac:dyDescent="0.25">
      <c r="B21" s="46" t="s">
        <v>2770</v>
      </c>
      <c r="C21" s="40" t="s">
        <v>306</v>
      </c>
      <c r="E21" s="166" t="s">
        <v>7845</v>
      </c>
      <c r="F21" s="166" t="s">
        <v>7846</v>
      </c>
      <c r="H21" s="140" t="s">
        <v>8550</v>
      </c>
      <c r="I21" s="40" t="s">
        <v>707</v>
      </c>
      <c r="J21" s="166"/>
    </row>
    <row r="22" spans="2:10" x14ac:dyDescent="0.25">
      <c r="B22" s="46" t="s">
        <v>2771</v>
      </c>
      <c r="C22" s="40" t="s">
        <v>307</v>
      </c>
      <c r="E22" s="166" t="s">
        <v>7847</v>
      </c>
      <c r="F22" s="166" t="s">
        <v>299</v>
      </c>
      <c r="H22" s="140" t="s">
        <v>8551</v>
      </c>
      <c r="I22" s="40" t="s">
        <v>666</v>
      </c>
      <c r="J22" s="166"/>
    </row>
    <row r="23" spans="2:10" x14ac:dyDescent="0.25">
      <c r="B23" s="46" t="s">
        <v>2772</v>
      </c>
      <c r="C23" s="40" t="s">
        <v>308</v>
      </c>
      <c r="E23" s="166" t="s">
        <v>7848</v>
      </c>
      <c r="F23" s="166" t="s">
        <v>300</v>
      </c>
      <c r="H23" s="140" t="s">
        <v>8552</v>
      </c>
      <c r="I23" s="40" t="s">
        <v>660</v>
      </c>
      <c r="J23" s="166"/>
    </row>
    <row r="24" spans="2:10" x14ac:dyDescent="0.25">
      <c r="B24" s="46" t="s">
        <v>2773</v>
      </c>
      <c r="C24" s="40" t="s">
        <v>309</v>
      </c>
      <c r="E24" s="166" t="s">
        <v>7849</v>
      </c>
      <c r="F24" s="166" t="s">
        <v>7850</v>
      </c>
      <c r="H24" s="140" t="s">
        <v>8553</v>
      </c>
      <c r="I24" s="40" t="s">
        <v>664</v>
      </c>
      <c r="J24" s="166"/>
    </row>
    <row r="25" spans="2:10" x14ac:dyDescent="0.25">
      <c r="B25" s="46" t="s">
        <v>2774</v>
      </c>
      <c r="C25" s="40" t="s">
        <v>310</v>
      </c>
      <c r="E25" s="166" t="s">
        <v>7851</v>
      </c>
      <c r="F25" s="166" t="s">
        <v>301</v>
      </c>
      <c r="H25" s="140" t="s">
        <v>8554</v>
      </c>
      <c r="I25" s="40" t="s">
        <v>662</v>
      </c>
      <c r="J25" s="166"/>
    </row>
    <row r="26" spans="2:10" x14ac:dyDescent="0.25">
      <c r="B26" s="46" t="s">
        <v>2775</v>
      </c>
      <c r="C26" s="40" t="s">
        <v>311</v>
      </c>
      <c r="E26" s="166" t="s">
        <v>7852</v>
      </c>
      <c r="F26" s="166" t="s">
        <v>7853</v>
      </c>
      <c r="H26" s="140" t="s">
        <v>8555</v>
      </c>
      <c r="I26" s="40" t="s">
        <v>630</v>
      </c>
      <c r="J26" s="166"/>
    </row>
    <row r="27" spans="2:10" x14ac:dyDescent="0.25">
      <c r="B27" s="46" t="s">
        <v>2776</v>
      </c>
      <c r="C27" s="40" t="s">
        <v>312</v>
      </c>
      <c r="E27" s="166" t="s">
        <v>7854</v>
      </c>
      <c r="F27" s="166" t="s">
        <v>302</v>
      </c>
      <c r="H27" s="140" t="s">
        <v>8556</v>
      </c>
      <c r="I27" s="40" t="s">
        <v>668</v>
      </c>
      <c r="J27" s="166"/>
    </row>
    <row r="28" spans="2:10" x14ac:dyDescent="0.25">
      <c r="B28" s="46" t="s">
        <v>2777</v>
      </c>
      <c r="C28" s="40" t="s">
        <v>313</v>
      </c>
      <c r="E28" s="166" t="s">
        <v>7855</v>
      </c>
      <c r="F28" s="166" t="s">
        <v>7856</v>
      </c>
      <c r="H28" s="140" t="s">
        <v>8557</v>
      </c>
      <c r="I28" s="40" t="s">
        <v>670</v>
      </c>
      <c r="J28" s="166"/>
    </row>
    <row r="29" spans="2:10" x14ac:dyDescent="0.25">
      <c r="B29" s="46" t="s">
        <v>2778</v>
      </c>
      <c r="C29" s="40" t="s">
        <v>314</v>
      </c>
      <c r="E29" s="166" t="s">
        <v>7857</v>
      </c>
      <c r="F29" s="166" t="s">
        <v>303</v>
      </c>
      <c r="H29" s="140" t="s">
        <v>8558</v>
      </c>
      <c r="I29" s="40" t="s">
        <v>671</v>
      </c>
      <c r="J29" s="166"/>
    </row>
    <row r="30" spans="2:10" x14ac:dyDescent="0.25">
      <c r="B30" s="46" t="s">
        <v>2779</v>
      </c>
      <c r="C30" s="40" t="s">
        <v>315</v>
      </c>
      <c r="E30" s="166" t="s">
        <v>7858</v>
      </c>
      <c r="F30" s="166" t="s">
        <v>304</v>
      </c>
      <c r="H30" s="140" t="s">
        <v>8559</v>
      </c>
      <c r="I30" s="40" t="s">
        <v>672</v>
      </c>
      <c r="J30" s="166"/>
    </row>
    <row r="31" spans="2:10" x14ac:dyDescent="0.25">
      <c r="B31" s="46" t="s">
        <v>2780</v>
      </c>
      <c r="C31" s="40" t="s">
        <v>316</v>
      </c>
      <c r="E31" s="166" t="s">
        <v>7859</v>
      </c>
      <c r="F31" s="166" t="s">
        <v>7860</v>
      </c>
      <c r="H31" s="93" t="s">
        <v>8560</v>
      </c>
      <c r="I31" s="94" t="s">
        <v>713</v>
      </c>
      <c r="J31" s="166"/>
    </row>
    <row r="32" spans="2:10" x14ac:dyDescent="0.25">
      <c r="B32" s="46" t="s">
        <v>2781</v>
      </c>
      <c r="C32" s="40" t="s">
        <v>317</v>
      </c>
      <c r="E32" s="166" t="s">
        <v>7861</v>
      </c>
      <c r="F32" s="166" t="s">
        <v>7862</v>
      </c>
      <c r="H32" s="140" t="s">
        <v>8561</v>
      </c>
      <c r="I32" s="40" t="s">
        <v>628</v>
      </c>
      <c r="J32" s="166"/>
    </row>
    <row r="33" spans="2:10" x14ac:dyDescent="0.25">
      <c r="B33" s="46" t="s">
        <v>2782</v>
      </c>
      <c r="C33" s="40" t="s">
        <v>318</v>
      </c>
      <c r="E33" s="166" t="s">
        <v>7863</v>
      </c>
      <c r="F33" s="166" t="s">
        <v>305</v>
      </c>
      <c r="H33" s="140" t="s">
        <v>8562</v>
      </c>
      <c r="I33" s="40" t="s">
        <v>675</v>
      </c>
      <c r="J33" s="166"/>
    </row>
    <row r="34" spans="2:10" x14ac:dyDescent="0.25">
      <c r="B34" s="46" t="s">
        <v>2783</v>
      </c>
      <c r="C34" s="40" t="s">
        <v>319</v>
      </c>
      <c r="E34" s="166" t="s">
        <v>7864</v>
      </c>
      <c r="F34" s="166" t="s">
        <v>306</v>
      </c>
      <c r="H34" s="140" t="s">
        <v>8563</v>
      </c>
      <c r="I34" s="40" t="s">
        <v>674</v>
      </c>
      <c r="J34" s="166"/>
    </row>
    <row r="35" spans="2:10" x14ac:dyDescent="0.25">
      <c r="B35" s="46" t="s">
        <v>2784</v>
      </c>
      <c r="C35" s="40" t="s">
        <v>320</v>
      </c>
      <c r="E35" s="166" t="s">
        <v>7865</v>
      </c>
      <c r="F35" s="166" t="s">
        <v>7866</v>
      </c>
      <c r="H35" s="140" t="s">
        <v>8564</v>
      </c>
      <c r="I35" s="40" t="s">
        <v>677</v>
      </c>
      <c r="J35" s="166"/>
    </row>
    <row r="36" spans="2:10" x14ac:dyDescent="0.25">
      <c r="B36" s="46" t="s">
        <v>2785</v>
      </c>
      <c r="C36" s="40" t="s">
        <v>321</v>
      </c>
      <c r="E36" s="166" t="s">
        <v>7867</v>
      </c>
      <c r="F36" s="166" t="s">
        <v>307</v>
      </c>
      <c r="H36" s="140" t="s">
        <v>8565</v>
      </c>
      <c r="I36" s="40" t="s">
        <v>679</v>
      </c>
      <c r="J36" s="166"/>
    </row>
    <row r="37" spans="2:10" x14ac:dyDescent="0.25">
      <c r="B37" s="46" t="s">
        <v>2786</v>
      </c>
      <c r="C37" s="40" t="s">
        <v>322</v>
      </c>
      <c r="E37" s="166" t="s">
        <v>7868</v>
      </c>
      <c r="F37" s="166" t="s">
        <v>7869</v>
      </c>
      <c r="H37" s="140" t="s">
        <v>8566</v>
      </c>
      <c r="I37" s="40" t="s">
        <v>681</v>
      </c>
      <c r="J37" s="166"/>
    </row>
    <row r="38" spans="2:10" x14ac:dyDescent="0.25">
      <c r="B38" s="46" t="s">
        <v>2787</v>
      </c>
      <c r="C38" s="40" t="s">
        <v>323</v>
      </c>
      <c r="E38" s="166" t="s">
        <v>7870</v>
      </c>
      <c r="F38" s="166" t="s">
        <v>308</v>
      </c>
      <c r="H38" s="140" t="s">
        <v>8567</v>
      </c>
      <c r="I38" s="40" t="s">
        <v>683</v>
      </c>
      <c r="J38" s="166"/>
    </row>
    <row r="39" spans="2:10" x14ac:dyDescent="0.25">
      <c r="B39" s="46" t="s">
        <v>2788</v>
      </c>
      <c r="C39" s="40" t="s">
        <v>324</v>
      </c>
      <c r="E39" s="166" t="s">
        <v>7871</v>
      </c>
      <c r="F39" s="166" t="s">
        <v>7872</v>
      </c>
      <c r="H39" s="140" t="s">
        <v>8568</v>
      </c>
      <c r="I39" s="40" t="s">
        <v>685</v>
      </c>
      <c r="J39" s="166"/>
    </row>
    <row r="40" spans="2:10" x14ac:dyDescent="0.25">
      <c r="B40" s="46" t="s">
        <v>2789</v>
      </c>
      <c r="C40" s="40" t="s">
        <v>325</v>
      </c>
      <c r="E40" s="166" t="s">
        <v>7873</v>
      </c>
      <c r="F40" s="166" t="s">
        <v>309</v>
      </c>
      <c r="H40" s="140" t="s">
        <v>8569</v>
      </c>
      <c r="I40" s="40" t="s">
        <v>687</v>
      </c>
      <c r="J40" s="166"/>
    </row>
    <row r="41" spans="2:10" x14ac:dyDescent="0.25">
      <c r="B41" s="46" t="s">
        <v>2790</v>
      </c>
      <c r="C41" s="40" t="s">
        <v>326</v>
      </c>
      <c r="E41" s="166" t="s">
        <v>7874</v>
      </c>
      <c r="F41" s="166" t="s">
        <v>7875</v>
      </c>
      <c r="H41" s="140" t="s">
        <v>8570</v>
      </c>
      <c r="I41" s="40" t="s">
        <v>689</v>
      </c>
      <c r="J41" s="166"/>
    </row>
    <row r="42" spans="2:10" x14ac:dyDescent="0.25">
      <c r="B42" s="46" t="s">
        <v>2791</v>
      </c>
      <c r="C42" s="40" t="s">
        <v>327</v>
      </c>
      <c r="E42" s="166" t="s">
        <v>7876</v>
      </c>
      <c r="F42" s="166" t="s">
        <v>7877</v>
      </c>
      <c r="H42" s="140" t="s">
        <v>8571</v>
      </c>
      <c r="I42" s="40" t="s">
        <v>691</v>
      </c>
      <c r="J42" s="166"/>
    </row>
    <row r="43" spans="2:10" x14ac:dyDescent="0.25">
      <c r="B43" s="46" t="s">
        <v>2792</v>
      </c>
      <c r="C43" s="40" t="s">
        <v>328</v>
      </c>
      <c r="E43" s="166" t="s">
        <v>7878</v>
      </c>
      <c r="F43" s="166" t="s">
        <v>310</v>
      </c>
      <c r="H43" s="140" t="s">
        <v>8572</v>
      </c>
      <c r="I43" s="40" t="s">
        <v>693</v>
      </c>
      <c r="J43" s="166"/>
    </row>
    <row r="44" spans="2:10" x14ac:dyDescent="0.25">
      <c r="B44" s="46" t="s">
        <v>2793</v>
      </c>
      <c r="C44" s="40" t="s">
        <v>329</v>
      </c>
      <c r="E44" s="166" t="s">
        <v>7879</v>
      </c>
      <c r="F44" s="166" t="s">
        <v>7880</v>
      </c>
      <c r="H44" s="140" t="s">
        <v>8573</v>
      </c>
      <c r="I44" s="40" t="s">
        <v>695</v>
      </c>
      <c r="J44" s="166"/>
    </row>
    <row r="45" spans="2:10" x14ac:dyDescent="0.25">
      <c r="B45" s="46" t="s">
        <v>2794</v>
      </c>
      <c r="C45" s="40" t="s">
        <v>330</v>
      </c>
      <c r="E45" s="166" t="s">
        <v>7881</v>
      </c>
      <c r="F45" s="166" t="s">
        <v>311</v>
      </c>
      <c r="H45" s="140" t="s">
        <v>8574</v>
      </c>
      <c r="I45" s="40" t="s">
        <v>697</v>
      </c>
      <c r="J45" s="166"/>
    </row>
    <row r="46" spans="2:10" x14ac:dyDescent="0.25">
      <c r="B46" s="46" t="s">
        <v>2795</v>
      </c>
      <c r="C46" s="40" t="s">
        <v>331</v>
      </c>
      <c r="E46" s="166" t="s">
        <v>7882</v>
      </c>
      <c r="F46" s="166" t="s">
        <v>7883</v>
      </c>
      <c r="H46" s="140" t="s">
        <v>8575</v>
      </c>
      <c r="I46" s="40" t="s">
        <v>699</v>
      </c>
      <c r="J46" s="166"/>
    </row>
    <row r="47" spans="2:10" x14ac:dyDescent="0.25">
      <c r="B47" s="46" t="s">
        <v>2796</v>
      </c>
      <c r="C47" s="40" t="s">
        <v>332</v>
      </c>
      <c r="E47" s="166" t="s">
        <v>7884</v>
      </c>
      <c r="F47" s="166" t="s">
        <v>312</v>
      </c>
      <c r="H47" s="140" t="s">
        <v>8576</v>
      </c>
      <c r="I47" s="40" t="s">
        <v>701</v>
      </c>
      <c r="J47" s="166"/>
    </row>
    <row r="48" spans="2:10" x14ac:dyDescent="0.25">
      <c r="B48" s="46" t="s">
        <v>2797</v>
      </c>
      <c r="C48" s="40" t="s">
        <v>333</v>
      </c>
      <c r="E48" s="166" t="s">
        <v>7885</v>
      </c>
      <c r="F48" s="166" t="s">
        <v>7886</v>
      </c>
      <c r="H48" s="140" t="s">
        <v>8577</v>
      </c>
      <c r="I48" s="40" t="s">
        <v>614</v>
      </c>
      <c r="J48" s="166"/>
    </row>
    <row r="49" spans="2:10" x14ac:dyDescent="0.25">
      <c r="B49" s="46" t="s">
        <v>2798</v>
      </c>
      <c r="C49" s="40" t="s">
        <v>334</v>
      </c>
      <c r="E49" s="166" t="s">
        <v>7887</v>
      </c>
      <c r="F49" s="166" t="s">
        <v>313</v>
      </c>
      <c r="H49" s="140" t="s">
        <v>8578</v>
      </c>
      <c r="I49" s="40" t="s">
        <v>616</v>
      </c>
      <c r="J49" s="166"/>
    </row>
    <row r="50" spans="2:10" x14ac:dyDescent="0.25">
      <c r="B50" s="46" t="s">
        <v>2799</v>
      </c>
      <c r="C50" s="40" t="s">
        <v>335</v>
      </c>
      <c r="E50" s="166" t="s">
        <v>7888</v>
      </c>
      <c r="F50" s="166" t="s">
        <v>314</v>
      </c>
      <c r="H50" s="140" t="s">
        <v>8579</v>
      </c>
      <c r="I50" s="40" t="s">
        <v>618</v>
      </c>
      <c r="J50" s="166"/>
    </row>
    <row r="51" spans="2:10" x14ac:dyDescent="0.25">
      <c r="B51" s="46" t="s">
        <v>2800</v>
      </c>
      <c r="C51" s="40" t="s">
        <v>336</v>
      </c>
      <c r="E51" s="166" t="s">
        <v>7889</v>
      </c>
      <c r="F51" s="166" t="s">
        <v>7890</v>
      </c>
      <c r="H51" s="140" t="s">
        <v>8580</v>
      </c>
      <c r="I51" s="40" t="s">
        <v>709</v>
      </c>
      <c r="J51" s="166"/>
    </row>
    <row r="52" spans="2:10" x14ac:dyDescent="0.25">
      <c r="B52" s="46" t="s">
        <v>2801</v>
      </c>
      <c r="C52" s="40" t="s">
        <v>337</v>
      </c>
      <c r="E52" s="166" t="s">
        <v>7891</v>
      </c>
      <c r="F52" s="166" t="s">
        <v>315</v>
      </c>
      <c r="H52" s="140" t="s">
        <v>8581</v>
      </c>
      <c r="I52" s="40" t="s">
        <v>715</v>
      </c>
      <c r="J52" s="166"/>
    </row>
    <row r="53" spans="2:10" x14ac:dyDescent="0.25">
      <c r="B53" s="46" t="s">
        <v>2802</v>
      </c>
      <c r="C53" s="40" t="s">
        <v>338</v>
      </c>
      <c r="E53" s="166" t="s">
        <v>7892</v>
      </c>
      <c r="F53" s="166" t="s">
        <v>7893</v>
      </c>
      <c r="H53" s="140" t="s">
        <v>8582</v>
      </c>
      <c r="I53" s="40" t="s">
        <v>711</v>
      </c>
      <c r="J53" s="166"/>
    </row>
    <row r="54" spans="2:10" x14ac:dyDescent="0.25">
      <c r="B54" s="46" t="s">
        <v>2803</v>
      </c>
      <c r="C54" s="40" t="s">
        <v>339</v>
      </c>
      <c r="E54" s="166" t="s">
        <v>7894</v>
      </c>
      <c r="F54" s="166" t="s">
        <v>316</v>
      </c>
      <c r="H54" s="140" t="s">
        <v>8583</v>
      </c>
      <c r="I54" s="40" t="s">
        <v>621</v>
      </c>
      <c r="J54" s="166"/>
    </row>
    <row r="55" spans="2:10" x14ac:dyDescent="0.25">
      <c r="B55" s="46" t="s">
        <v>2804</v>
      </c>
      <c r="C55" s="40" t="s">
        <v>340</v>
      </c>
      <c r="E55" s="166" t="s">
        <v>7895</v>
      </c>
      <c r="F55" s="166" t="s">
        <v>7896</v>
      </c>
      <c r="H55" s="140" t="s">
        <v>8584</v>
      </c>
      <c r="I55" s="40" t="s">
        <v>623</v>
      </c>
      <c r="J55" s="166"/>
    </row>
    <row r="56" spans="2:10" ht="15.75" thickBot="1" x14ac:dyDescent="0.3">
      <c r="B56" s="46" t="s">
        <v>2805</v>
      </c>
      <c r="C56" s="40" t="s">
        <v>341</v>
      </c>
      <c r="E56" s="166" t="s">
        <v>7897</v>
      </c>
      <c r="F56" s="166" t="s">
        <v>317</v>
      </c>
      <c r="H56" s="141" t="s">
        <v>8585</v>
      </c>
      <c r="I56" s="41" t="s">
        <v>620</v>
      </c>
      <c r="J56" s="166"/>
    </row>
    <row r="57" spans="2:10" x14ac:dyDescent="0.25">
      <c r="B57" s="46" t="s">
        <v>2806</v>
      </c>
      <c r="C57" s="40" t="s">
        <v>342</v>
      </c>
      <c r="E57" s="166" t="s">
        <v>7898</v>
      </c>
      <c r="F57" s="166" t="s">
        <v>318</v>
      </c>
    </row>
    <row r="58" spans="2:10" x14ac:dyDescent="0.25">
      <c r="B58" s="46" t="s">
        <v>2807</v>
      </c>
      <c r="C58" s="40" t="s">
        <v>343</v>
      </c>
      <c r="E58" s="166" t="s">
        <v>7899</v>
      </c>
      <c r="F58" s="166" t="s">
        <v>319</v>
      </c>
    </row>
    <row r="59" spans="2:10" x14ac:dyDescent="0.25">
      <c r="B59" s="46" t="s">
        <v>2808</v>
      </c>
      <c r="C59" s="40" t="s">
        <v>344</v>
      </c>
      <c r="E59" s="166" t="s">
        <v>7900</v>
      </c>
      <c r="F59" s="166" t="s">
        <v>7901</v>
      </c>
    </row>
    <row r="60" spans="2:10" x14ac:dyDescent="0.25">
      <c r="B60" s="46" t="s">
        <v>2809</v>
      </c>
      <c r="C60" s="40" t="s">
        <v>345</v>
      </c>
      <c r="E60" s="166" t="s">
        <v>7902</v>
      </c>
      <c r="F60" s="166" t="s">
        <v>320</v>
      </c>
    </row>
    <row r="61" spans="2:10" x14ac:dyDescent="0.25">
      <c r="B61" s="46" t="s">
        <v>2810</v>
      </c>
      <c r="C61" s="40" t="s">
        <v>346</v>
      </c>
      <c r="E61" s="166" t="s">
        <v>7903</v>
      </c>
      <c r="F61" s="166" t="s">
        <v>7904</v>
      </c>
    </row>
    <row r="62" spans="2:10" x14ac:dyDescent="0.25">
      <c r="B62" s="46" t="s">
        <v>2811</v>
      </c>
      <c r="C62" s="40" t="s">
        <v>347</v>
      </c>
      <c r="E62" s="166" t="s">
        <v>7905</v>
      </c>
      <c r="F62" s="166" t="s">
        <v>321</v>
      </c>
    </row>
    <row r="63" spans="2:10" x14ac:dyDescent="0.25">
      <c r="B63" s="46" t="s">
        <v>2812</v>
      </c>
      <c r="C63" s="40" t="s">
        <v>348</v>
      </c>
      <c r="E63" s="166" t="s">
        <v>7906</v>
      </c>
      <c r="F63" s="166" t="s">
        <v>322</v>
      </c>
    </row>
    <row r="64" spans="2:10" x14ac:dyDescent="0.25">
      <c r="B64" s="46" t="s">
        <v>2813</v>
      </c>
      <c r="C64" s="40" t="s">
        <v>349</v>
      </c>
      <c r="E64" s="166" t="s">
        <v>7907</v>
      </c>
      <c r="F64" s="166" t="s">
        <v>7908</v>
      </c>
    </row>
    <row r="65" spans="2:6" x14ac:dyDescent="0.25">
      <c r="B65" s="46" t="s">
        <v>2814</v>
      </c>
      <c r="C65" s="40" t="s">
        <v>350</v>
      </c>
      <c r="E65" s="166" t="s">
        <v>7909</v>
      </c>
      <c r="F65" s="166" t="s">
        <v>323</v>
      </c>
    </row>
    <row r="66" spans="2:6" x14ac:dyDescent="0.25">
      <c r="B66" s="46" t="s">
        <v>2815</v>
      </c>
      <c r="C66" s="40" t="s">
        <v>351</v>
      </c>
      <c r="E66" s="166" t="s">
        <v>7910</v>
      </c>
      <c r="F66" s="166" t="s">
        <v>7911</v>
      </c>
    </row>
    <row r="67" spans="2:6" x14ac:dyDescent="0.25">
      <c r="B67" s="46" t="s">
        <v>2816</v>
      </c>
      <c r="C67" s="40" t="s">
        <v>352</v>
      </c>
      <c r="E67" s="166" t="s">
        <v>7912</v>
      </c>
      <c r="F67" s="166" t="s">
        <v>324</v>
      </c>
    </row>
    <row r="68" spans="2:6" x14ac:dyDescent="0.25">
      <c r="B68" s="46" t="s">
        <v>2817</v>
      </c>
      <c r="C68" s="40" t="s">
        <v>353</v>
      </c>
      <c r="E68" s="166" t="s">
        <v>7913</v>
      </c>
      <c r="F68" s="166" t="s">
        <v>7914</v>
      </c>
    </row>
    <row r="69" spans="2:6" x14ac:dyDescent="0.25">
      <c r="B69" s="46" t="s">
        <v>2818</v>
      </c>
      <c r="C69" s="40" t="s">
        <v>354</v>
      </c>
      <c r="E69" s="166" t="s">
        <v>7915</v>
      </c>
      <c r="F69" s="166" t="s">
        <v>7916</v>
      </c>
    </row>
    <row r="70" spans="2:6" x14ac:dyDescent="0.25">
      <c r="B70" s="46" t="s">
        <v>2819</v>
      </c>
      <c r="C70" s="40" t="s">
        <v>355</v>
      </c>
      <c r="E70" s="166" t="s">
        <v>7917</v>
      </c>
      <c r="F70" s="166" t="s">
        <v>7918</v>
      </c>
    </row>
    <row r="71" spans="2:6" x14ac:dyDescent="0.25">
      <c r="B71" s="46" t="s">
        <v>2820</v>
      </c>
      <c r="C71" s="40" t="s">
        <v>356</v>
      </c>
      <c r="E71" s="166" t="s">
        <v>7919</v>
      </c>
      <c r="F71" s="166" t="s">
        <v>7920</v>
      </c>
    </row>
    <row r="72" spans="2:6" x14ac:dyDescent="0.25">
      <c r="B72" s="46" t="s">
        <v>2821</v>
      </c>
      <c r="C72" s="40" t="s">
        <v>357</v>
      </c>
      <c r="E72" s="166" t="s">
        <v>7921</v>
      </c>
      <c r="F72" s="166" t="s">
        <v>325</v>
      </c>
    </row>
    <row r="73" spans="2:6" x14ac:dyDescent="0.25">
      <c r="B73" s="46" t="s">
        <v>2822</v>
      </c>
      <c r="C73" s="40" t="s">
        <v>358</v>
      </c>
      <c r="E73" s="166" t="s">
        <v>7922</v>
      </c>
      <c r="F73" s="166" t="s">
        <v>7923</v>
      </c>
    </row>
    <row r="74" spans="2:6" x14ac:dyDescent="0.25">
      <c r="B74" s="46" t="s">
        <v>2823</v>
      </c>
      <c r="C74" s="40" t="s">
        <v>359</v>
      </c>
      <c r="E74" s="166" t="s">
        <v>7924</v>
      </c>
      <c r="F74" s="166" t="s">
        <v>326</v>
      </c>
    </row>
    <row r="75" spans="2:6" x14ac:dyDescent="0.25">
      <c r="B75" s="46" t="s">
        <v>2824</v>
      </c>
      <c r="C75" s="40" t="s">
        <v>360</v>
      </c>
      <c r="E75" s="166" t="s">
        <v>7925</v>
      </c>
      <c r="F75" s="166" t="s">
        <v>7926</v>
      </c>
    </row>
    <row r="76" spans="2:6" x14ac:dyDescent="0.25">
      <c r="B76" s="46" t="s">
        <v>2825</v>
      </c>
      <c r="C76" s="40" t="s">
        <v>361</v>
      </c>
      <c r="E76" s="166" t="s">
        <v>7927</v>
      </c>
      <c r="F76" s="166" t="s">
        <v>327</v>
      </c>
    </row>
    <row r="77" spans="2:6" x14ac:dyDescent="0.25">
      <c r="B77" s="46" t="s">
        <v>2826</v>
      </c>
      <c r="C77" s="40" t="s">
        <v>362</v>
      </c>
      <c r="E77" s="166" t="s">
        <v>7928</v>
      </c>
      <c r="F77" s="166" t="s">
        <v>7929</v>
      </c>
    </row>
    <row r="78" spans="2:6" x14ac:dyDescent="0.25">
      <c r="B78" s="46" t="s">
        <v>2827</v>
      </c>
      <c r="C78" s="40" t="s">
        <v>363</v>
      </c>
      <c r="E78" s="166" t="s">
        <v>7930</v>
      </c>
      <c r="F78" s="166" t="s">
        <v>328</v>
      </c>
    </row>
    <row r="79" spans="2:6" x14ac:dyDescent="0.25">
      <c r="B79" s="46" t="s">
        <v>2828</v>
      </c>
      <c r="C79" s="40" t="s">
        <v>364</v>
      </c>
      <c r="E79" s="166" t="s">
        <v>7931</v>
      </c>
      <c r="F79" s="166" t="s">
        <v>7932</v>
      </c>
    </row>
    <row r="80" spans="2:6" x14ac:dyDescent="0.25">
      <c r="B80" s="46" t="s">
        <v>2829</v>
      </c>
      <c r="C80" s="40" t="s">
        <v>365</v>
      </c>
      <c r="E80" s="166" t="s">
        <v>7933</v>
      </c>
      <c r="F80" s="166" t="s">
        <v>329</v>
      </c>
    </row>
    <row r="81" spans="2:6" x14ac:dyDescent="0.25">
      <c r="B81" s="46" t="s">
        <v>2830</v>
      </c>
      <c r="C81" s="40" t="s">
        <v>366</v>
      </c>
      <c r="E81" s="166" t="s">
        <v>7934</v>
      </c>
      <c r="F81" s="166" t="s">
        <v>330</v>
      </c>
    </row>
    <row r="82" spans="2:6" x14ac:dyDescent="0.25">
      <c r="B82" s="46" t="s">
        <v>2831</v>
      </c>
      <c r="C82" s="40" t="s">
        <v>367</v>
      </c>
      <c r="E82" s="166" t="s">
        <v>7935</v>
      </c>
      <c r="F82" s="166" t="s">
        <v>331</v>
      </c>
    </row>
    <row r="83" spans="2:6" x14ac:dyDescent="0.25">
      <c r="B83" s="46" t="s">
        <v>2832</v>
      </c>
      <c r="C83" s="40" t="s">
        <v>368</v>
      </c>
      <c r="E83" s="166" t="s">
        <v>7936</v>
      </c>
      <c r="F83" s="166" t="s">
        <v>7937</v>
      </c>
    </row>
    <row r="84" spans="2:6" x14ac:dyDescent="0.25">
      <c r="B84" s="46" t="s">
        <v>2833</v>
      </c>
      <c r="C84" s="40" t="s">
        <v>369</v>
      </c>
      <c r="E84" s="166" t="s">
        <v>7938</v>
      </c>
      <c r="F84" s="166" t="s">
        <v>332</v>
      </c>
    </row>
    <row r="85" spans="2:6" x14ac:dyDescent="0.25">
      <c r="B85" s="46" t="s">
        <v>2834</v>
      </c>
      <c r="C85" s="40" t="s">
        <v>370</v>
      </c>
      <c r="E85" s="166" t="s">
        <v>7939</v>
      </c>
      <c r="F85" s="166" t="s">
        <v>333</v>
      </c>
    </row>
    <row r="86" spans="2:6" x14ac:dyDescent="0.25">
      <c r="B86" s="46" t="s">
        <v>2835</v>
      </c>
      <c r="C86" s="40" t="s">
        <v>371</v>
      </c>
      <c r="E86" s="166" t="s">
        <v>7940</v>
      </c>
      <c r="F86" s="166" t="s">
        <v>334</v>
      </c>
    </row>
    <row r="87" spans="2:6" x14ac:dyDescent="0.25">
      <c r="B87" s="46" t="s">
        <v>2836</v>
      </c>
      <c r="C87" s="40" t="s">
        <v>372</v>
      </c>
      <c r="E87" s="166" t="s">
        <v>7941</v>
      </c>
      <c r="F87" s="166" t="s">
        <v>7942</v>
      </c>
    </row>
    <row r="88" spans="2:6" x14ac:dyDescent="0.25">
      <c r="B88" s="46" t="s">
        <v>2837</v>
      </c>
      <c r="C88" s="40" t="s">
        <v>373</v>
      </c>
      <c r="E88" s="166" t="s">
        <v>7943</v>
      </c>
      <c r="F88" s="166" t="s">
        <v>7944</v>
      </c>
    </row>
    <row r="89" spans="2:6" x14ac:dyDescent="0.25">
      <c r="B89" s="46" t="s">
        <v>2838</v>
      </c>
      <c r="C89" s="40" t="s">
        <v>374</v>
      </c>
      <c r="E89" s="166" t="s">
        <v>7945</v>
      </c>
      <c r="F89" s="166" t="s">
        <v>7946</v>
      </c>
    </row>
    <row r="90" spans="2:6" x14ac:dyDescent="0.25">
      <c r="B90" s="46" t="s">
        <v>2839</v>
      </c>
      <c r="C90" s="40" t="s">
        <v>375</v>
      </c>
      <c r="E90" s="166" t="s">
        <v>7947</v>
      </c>
      <c r="F90" s="166" t="s">
        <v>335</v>
      </c>
    </row>
    <row r="91" spans="2:6" x14ac:dyDescent="0.25">
      <c r="B91" s="46" t="s">
        <v>2840</v>
      </c>
      <c r="C91" s="40" t="s">
        <v>376</v>
      </c>
      <c r="E91" s="166" t="s">
        <v>7948</v>
      </c>
      <c r="F91" s="166" t="s">
        <v>7949</v>
      </c>
    </row>
    <row r="92" spans="2:6" x14ac:dyDescent="0.25">
      <c r="B92" s="46" t="s">
        <v>2841</v>
      </c>
      <c r="C92" s="40" t="s">
        <v>377</v>
      </c>
      <c r="E92" s="166" t="s">
        <v>7950</v>
      </c>
      <c r="F92" s="166" t="s">
        <v>336</v>
      </c>
    </row>
    <row r="93" spans="2:6" x14ac:dyDescent="0.25">
      <c r="B93" s="46" t="s">
        <v>2842</v>
      </c>
      <c r="C93" s="40" t="s">
        <v>378</v>
      </c>
      <c r="E93" s="166" t="s">
        <v>7951</v>
      </c>
      <c r="F93" s="166" t="s">
        <v>7952</v>
      </c>
    </row>
    <row r="94" spans="2:6" x14ac:dyDescent="0.25">
      <c r="B94" s="46" t="s">
        <v>2843</v>
      </c>
      <c r="C94" s="40" t="s">
        <v>379</v>
      </c>
      <c r="E94" s="166" t="s">
        <v>7953</v>
      </c>
      <c r="F94" s="166" t="s">
        <v>337</v>
      </c>
    </row>
    <row r="95" spans="2:6" x14ac:dyDescent="0.25">
      <c r="B95" s="46" t="s">
        <v>2844</v>
      </c>
      <c r="C95" s="40" t="s">
        <v>380</v>
      </c>
      <c r="E95" s="166" t="s">
        <v>7954</v>
      </c>
      <c r="F95" s="166" t="s">
        <v>7955</v>
      </c>
    </row>
    <row r="96" spans="2:6" x14ac:dyDescent="0.25">
      <c r="B96" s="46" t="s">
        <v>2845</v>
      </c>
      <c r="C96" s="40" t="s">
        <v>381</v>
      </c>
      <c r="E96" s="166" t="s">
        <v>7956</v>
      </c>
      <c r="F96" s="166" t="s">
        <v>338</v>
      </c>
    </row>
    <row r="97" spans="2:6" x14ac:dyDescent="0.25">
      <c r="B97" s="46" t="s">
        <v>2846</v>
      </c>
      <c r="C97" s="40" t="s">
        <v>382</v>
      </c>
      <c r="E97" s="166" t="s">
        <v>7957</v>
      </c>
      <c r="F97" s="166" t="s">
        <v>339</v>
      </c>
    </row>
    <row r="98" spans="2:6" x14ac:dyDescent="0.25">
      <c r="B98" s="46" t="s">
        <v>2847</v>
      </c>
      <c r="C98" s="40" t="s">
        <v>383</v>
      </c>
      <c r="E98" s="166" t="s">
        <v>7958</v>
      </c>
      <c r="F98" s="166" t="s">
        <v>7959</v>
      </c>
    </row>
    <row r="99" spans="2:6" x14ac:dyDescent="0.25">
      <c r="B99" s="46" t="s">
        <v>2848</v>
      </c>
      <c r="C99" s="40" t="s">
        <v>384</v>
      </c>
      <c r="E99" s="166" t="s">
        <v>7960</v>
      </c>
      <c r="F99" s="166" t="s">
        <v>340</v>
      </c>
    </row>
    <row r="100" spans="2:6" x14ac:dyDescent="0.25">
      <c r="B100" s="46" t="s">
        <v>2849</v>
      </c>
      <c r="C100" s="40" t="s">
        <v>385</v>
      </c>
      <c r="E100" s="166" t="s">
        <v>7961</v>
      </c>
      <c r="F100" s="166" t="s">
        <v>341</v>
      </c>
    </row>
    <row r="101" spans="2:6" x14ac:dyDescent="0.25">
      <c r="B101" s="46" t="s">
        <v>2850</v>
      </c>
      <c r="C101" s="40" t="s">
        <v>386</v>
      </c>
      <c r="E101" s="166" t="s">
        <v>7962</v>
      </c>
      <c r="F101" s="166" t="s">
        <v>342</v>
      </c>
    </row>
    <row r="102" spans="2:6" x14ac:dyDescent="0.25">
      <c r="B102" s="46" t="s">
        <v>2851</v>
      </c>
      <c r="C102" s="40" t="s">
        <v>387</v>
      </c>
      <c r="E102" s="166" t="s">
        <v>7963</v>
      </c>
      <c r="F102" s="166" t="s">
        <v>343</v>
      </c>
    </row>
    <row r="103" spans="2:6" x14ac:dyDescent="0.25">
      <c r="B103" s="46" t="s">
        <v>2852</v>
      </c>
      <c r="C103" s="40" t="s">
        <v>388</v>
      </c>
      <c r="E103" s="166" t="s">
        <v>7964</v>
      </c>
      <c r="F103" s="166" t="s">
        <v>7965</v>
      </c>
    </row>
    <row r="104" spans="2:6" x14ac:dyDescent="0.25">
      <c r="B104" s="46" t="s">
        <v>2853</v>
      </c>
      <c r="C104" s="40" t="s">
        <v>389</v>
      </c>
      <c r="E104" s="166" t="s">
        <v>7966</v>
      </c>
      <c r="F104" s="166" t="s">
        <v>344</v>
      </c>
    </row>
    <row r="105" spans="2:6" x14ac:dyDescent="0.25">
      <c r="B105" s="46" t="s">
        <v>2854</v>
      </c>
      <c r="C105" s="40" t="s">
        <v>390</v>
      </c>
      <c r="E105" s="166" t="s">
        <v>7967</v>
      </c>
      <c r="F105" s="166" t="s">
        <v>345</v>
      </c>
    </row>
    <row r="106" spans="2:6" x14ac:dyDescent="0.25">
      <c r="B106" s="46" t="s">
        <v>2855</v>
      </c>
      <c r="C106" s="40" t="s">
        <v>391</v>
      </c>
      <c r="E106" s="166" t="s">
        <v>7968</v>
      </c>
      <c r="F106" s="166" t="s">
        <v>7969</v>
      </c>
    </row>
    <row r="107" spans="2:6" x14ac:dyDescent="0.25">
      <c r="B107" s="46" t="s">
        <v>2856</v>
      </c>
      <c r="C107" s="40" t="s">
        <v>392</v>
      </c>
      <c r="E107" s="166" t="s">
        <v>7970</v>
      </c>
      <c r="F107" s="166" t="s">
        <v>346</v>
      </c>
    </row>
    <row r="108" spans="2:6" x14ac:dyDescent="0.25">
      <c r="B108" s="46" t="s">
        <v>2857</v>
      </c>
      <c r="C108" s="40" t="s">
        <v>393</v>
      </c>
      <c r="E108" s="166" t="s">
        <v>7971</v>
      </c>
      <c r="F108" s="166" t="s">
        <v>347</v>
      </c>
    </row>
    <row r="109" spans="2:6" x14ac:dyDescent="0.25">
      <c r="B109" s="46" t="s">
        <v>2858</v>
      </c>
      <c r="C109" s="40" t="s">
        <v>394</v>
      </c>
      <c r="E109" s="166" t="s">
        <v>7972</v>
      </c>
      <c r="F109" s="166" t="s">
        <v>7973</v>
      </c>
    </row>
    <row r="110" spans="2:6" x14ac:dyDescent="0.25">
      <c r="B110" s="46" t="s">
        <v>2859</v>
      </c>
      <c r="C110" s="40" t="s">
        <v>395</v>
      </c>
      <c r="E110" s="166" t="s">
        <v>7974</v>
      </c>
      <c r="F110" s="166" t="s">
        <v>348</v>
      </c>
    </row>
    <row r="111" spans="2:6" x14ac:dyDescent="0.25">
      <c r="B111" s="46" t="s">
        <v>2860</v>
      </c>
      <c r="C111" s="40" t="s">
        <v>396</v>
      </c>
      <c r="E111" s="166" t="s">
        <v>7975</v>
      </c>
      <c r="F111" s="166" t="s">
        <v>349</v>
      </c>
    </row>
    <row r="112" spans="2:6" x14ac:dyDescent="0.25">
      <c r="B112" s="46" t="s">
        <v>2861</v>
      </c>
      <c r="C112" s="40" t="s">
        <v>397</v>
      </c>
      <c r="E112" s="166" t="s">
        <v>7976</v>
      </c>
      <c r="F112" s="166" t="s">
        <v>7977</v>
      </c>
    </row>
    <row r="113" spans="2:6" x14ac:dyDescent="0.25">
      <c r="B113" s="46" t="s">
        <v>2862</v>
      </c>
      <c r="C113" s="40" t="s">
        <v>398</v>
      </c>
      <c r="E113" s="166" t="s">
        <v>7978</v>
      </c>
      <c r="F113" s="166" t="s">
        <v>350</v>
      </c>
    </row>
    <row r="114" spans="2:6" x14ac:dyDescent="0.25">
      <c r="B114" s="46" t="s">
        <v>2863</v>
      </c>
      <c r="C114" s="40" t="s">
        <v>399</v>
      </c>
      <c r="E114" s="166" t="s">
        <v>7979</v>
      </c>
      <c r="F114" s="166" t="s">
        <v>7980</v>
      </c>
    </row>
    <row r="115" spans="2:6" x14ac:dyDescent="0.25">
      <c r="B115" s="46" t="s">
        <v>2864</v>
      </c>
      <c r="C115" s="40" t="s">
        <v>400</v>
      </c>
      <c r="E115" s="166" t="s">
        <v>7981</v>
      </c>
      <c r="F115" s="166" t="s">
        <v>351</v>
      </c>
    </row>
    <row r="116" spans="2:6" x14ac:dyDescent="0.25">
      <c r="B116" s="46" t="s">
        <v>2865</v>
      </c>
      <c r="C116" s="40" t="s">
        <v>401</v>
      </c>
      <c r="E116" s="166" t="s">
        <v>7982</v>
      </c>
      <c r="F116" s="166" t="s">
        <v>7983</v>
      </c>
    </row>
    <row r="117" spans="2:6" x14ac:dyDescent="0.25">
      <c r="B117" s="46" t="s">
        <v>2866</v>
      </c>
      <c r="C117" s="40" t="s">
        <v>402</v>
      </c>
      <c r="E117" s="166" t="s">
        <v>7984</v>
      </c>
      <c r="F117" s="166" t="s">
        <v>352</v>
      </c>
    </row>
    <row r="118" spans="2:6" x14ac:dyDescent="0.25">
      <c r="B118" s="46" t="s">
        <v>2867</v>
      </c>
      <c r="C118" s="40" t="s">
        <v>403</v>
      </c>
      <c r="E118" s="166" t="s">
        <v>7985</v>
      </c>
      <c r="F118" s="166" t="s">
        <v>7986</v>
      </c>
    </row>
    <row r="119" spans="2:6" x14ac:dyDescent="0.25">
      <c r="B119" s="46" t="s">
        <v>2868</v>
      </c>
      <c r="C119" s="40" t="s">
        <v>404</v>
      </c>
      <c r="E119" s="166" t="s">
        <v>7987</v>
      </c>
      <c r="F119" s="166" t="s">
        <v>353</v>
      </c>
    </row>
    <row r="120" spans="2:6" x14ac:dyDescent="0.25">
      <c r="B120" s="46" t="s">
        <v>2869</v>
      </c>
      <c r="C120" s="40" t="s">
        <v>405</v>
      </c>
      <c r="E120" s="166" t="s">
        <v>7988</v>
      </c>
      <c r="F120" s="166" t="s">
        <v>354</v>
      </c>
    </row>
    <row r="121" spans="2:6" x14ac:dyDescent="0.25">
      <c r="B121" s="46" t="s">
        <v>2870</v>
      </c>
      <c r="C121" s="40" t="s">
        <v>406</v>
      </c>
      <c r="E121" s="166" t="s">
        <v>7989</v>
      </c>
      <c r="F121" s="166" t="s">
        <v>355</v>
      </c>
    </row>
    <row r="122" spans="2:6" x14ac:dyDescent="0.25">
      <c r="B122" s="46" t="s">
        <v>2871</v>
      </c>
      <c r="C122" s="40" t="s">
        <v>407</v>
      </c>
      <c r="E122" s="166" t="s">
        <v>7990</v>
      </c>
      <c r="F122" s="166" t="s">
        <v>356</v>
      </c>
    </row>
    <row r="123" spans="2:6" x14ac:dyDescent="0.25">
      <c r="B123" s="46" t="s">
        <v>2872</v>
      </c>
      <c r="C123" s="40" t="s">
        <v>408</v>
      </c>
      <c r="E123" s="166" t="s">
        <v>7991</v>
      </c>
      <c r="F123" s="166" t="s">
        <v>357</v>
      </c>
    </row>
    <row r="124" spans="2:6" x14ac:dyDescent="0.25">
      <c r="B124" s="46" t="s">
        <v>2873</v>
      </c>
      <c r="C124" s="40" t="s">
        <v>409</v>
      </c>
      <c r="E124" s="166" t="s">
        <v>7992</v>
      </c>
      <c r="F124" s="166" t="s">
        <v>358</v>
      </c>
    </row>
    <row r="125" spans="2:6" x14ac:dyDescent="0.25">
      <c r="B125" s="46" t="s">
        <v>2874</v>
      </c>
      <c r="C125" s="40" t="s">
        <v>410</v>
      </c>
      <c r="E125" s="166" t="s">
        <v>7993</v>
      </c>
      <c r="F125" s="166" t="s">
        <v>359</v>
      </c>
    </row>
    <row r="126" spans="2:6" x14ac:dyDescent="0.25">
      <c r="B126" s="46" t="s">
        <v>2875</v>
      </c>
      <c r="C126" s="40" t="s">
        <v>411</v>
      </c>
      <c r="E126" s="166" t="s">
        <v>7994</v>
      </c>
      <c r="F126" s="166" t="s">
        <v>360</v>
      </c>
    </row>
    <row r="127" spans="2:6" x14ac:dyDescent="0.25">
      <c r="B127" s="46" t="s">
        <v>2876</v>
      </c>
      <c r="C127" s="40" t="s">
        <v>412</v>
      </c>
      <c r="E127" s="166" t="s">
        <v>7995</v>
      </c>
      <c r="F127" s="166" t="s">
        <v>361</v>
      </c>
    </row>
    <row r="128" spans="2:6" x14ac:dyDescent="0.25">
      <c r="B128" s="46" t="s">
        <v>2877</v>
      </c>
      <c r="C128" s="40" t="s">
        <v>413</v>
      </c>
      <c r="E128" s="166" t="s">
        <v>7996</v>
      </c>
      <c r="F128" s="166" t="s">
        <v>362</v>
      </c>
    </row>
    <row r="129" spans="2:6" x14ac:dyDescent="0.25">
      <c r="B129" s="46" t="s">
        <v>2878</v>
      </c>
      <c r="C129" s="40" t="s">
        <v>414</v>
      </c>
      <c r="E129" s="166" t="s">
        <v>7997</v>
      </c>
      <c r="F129" s="166" t="s">
        <v>363</v>
      </c>
    </row>
    <row r="130" spans="2:6" x14ac:dyDescent="0.25">
      <c r="B130" s="46" t="s">
        <v>2879</v>
      </c>
      <c r="C130" s="40" t="s">
        <v>415</v>
      </c>
      <c r="E130" s="166" t="s">
        <v>7998</v>
      </c>
      <c r="F130" s="166" t="s">
        <v>364</v>
      </c>
    </row>
    <row r="131" spans="2:6" x14ac:dyDescent="0.25">
      <c r="B131" s="46" t="s">
        <v>2880</v>
      </c>
      <c r="C131" s="40" t="s">
        <v>416</v>
      </c>
      <c r="E131" s="166" t="s">
        <v>7999</v>
      </c>
      <c r="F131" s="166" t="s">
        <v>365</v>
      </c>
    </row>
    <row r="132" spans="2:6" x14ac:dyDescent="0.25">
      <c r="B132" s="46" t="s">
        <v>2881</v>
      </c>
      <c r="C132" s="40" t="s">
        <v>417</v>
      </c>
      <c r="E132" s="166" t="s">
        <v>8000</v>
      </c>
      <c r="F132" s="166" t="s">
        <v>366</v>
      </c>
    </row>
    <row r="133" spans="2:6" x14ac:dyDescent="0.25">
      <c r="B133" s="46" t="s">
        <v>2882</v>
      </c>
      <c r="C133" s="40" t="s">
        <v>418</v>
      </c>
      <c r="E133" s="166" t="s">
        <v>8001</v>
      </c>
      <c r="F133" s="166" t="s">
        <v>367</v>
      </c>
    </row>
    <row r="134" spans="2:6" x14ac:dyDescent="0.25">
      <c r="B134" s="46" t="s">
        <v>2883</v>
      </c>
      <c r="C134" s="40" t="s">
        <v>419</v>
      </c>
      <c r="E134" s="166" t="s">
        <v>8002</v>
      </c>
      <c r="F134" s="166" t="s">
        <v>8003</v>
      </c>
    </row>
    <row r="135" spans="2:6" x14ac:dyDescent="0.25">
      <c r="B135" s="46" t="s">
        <v>2884</v>
      </c>
      <c r="C135" s="40" t="s">
        <v>420</v>
      </c>
      <c r="E135" s="166" t="s">
        <v>8004</v>
      </c>
      <c r="F135" s="166" t="s">
        <v>368</v>
      </c>
    </row>
    <row r="136" spans="2:6" x14ac:dyDescent="0.25">
      <c r="B136" s="46" t="s">
        <v>2885</v>
      </c>
      <c r="C136" s="40" t="s">
        <v>421</v>
      </c>
      <c r="E136" s="166" t="s">
        <v>8005</v>
      </c>
      <c r="F136" s="166" t="s">
        <v>369</v>
      </c>
    </row>
    <row r="137" spans="2:6" x14ac:dyDescent="0.25">
      <c r="B137" s="46" t="s">
        <v>2886</v>
      </c>
      <c r="C137" s="40" t="s">
        <v>422</v>
      </c>
      <c r="E137" s="166" t="s">
        <v>8006</v>
      </c>
      <c r="F137" s="166" t="s">
        <v>370</v>
      </c>
    </row>
    <row r="138" spans="2:6" x14ac:dyDescent="0.25">
      <c r="B138" s="46" t="s">
        <v>2887</v>
      </c>
      <c r="C138" s="40" t="s">
        <v>423</v>
      </c>
      <c r="E138" s="166" t="s">
        <v>8007</v>
      </c>
      <c r="F138" s="166" t="s">
        <v>371</v>
      </c>
    </row>
    <row r="139" spans="2:6" x14ac:dyDescent="0.25">
      <c r="B139" s="46" t="s">
        <v>2888</v>
      </c>
      <c r="C139" s="40" t="s">
        <v>424</v>
      </c>
      <c r="E139" s="166" t="s">
        <v>8008</v>
      </c>
      <c r="F139" s="166" t="s">
        <v>372</v>
      </c>
    </row>
    <row r="140" spans="2:6" x14ac:dyDescent="0.25">
      <c r="B140" s="46" t="s">
        <v>2889</v>
      </c>
      <c r="C140" s="40" t="s">
        <v>425</v>
      </c>
      <c r="E140" s="166" t="s">
        <v>8009</v>
      </c>
      <c r="F140" s="166" t="s">
        <v>373</v>
      </c>
    </row>
    <row r="141" spans="2:6" x14ac:dyDescent="0.25">
      <c r="B141" s="46" t="s">
        <v>2890</v>
      </c>
      <c r="C141" s="40" t="s">
        <v>426</v>
      </c>
      <c r="E141" s="166" t="s">
        <v>8010</v>
      </c>
      <c r="F141" s="166" t="s">
        <v>8011</v>
      </c>
    </row>
    <row r="142" spans="2:6" x14ac:dyDescent="0.25">
      <c r="B142" s="46" t="s">
        <v>2891</v>
      </c>
      <c r="C142" s="40" t="s">
        <v>427</v>
      </c>
      <c r="E142" s="166" t="s">
        <v>8012</v>
      </c>
      <c r="F142" s="166" t="s">
        <v>374</v>
      </c>
    </row>
    <row r="143" spans="2:6" x14ac:dyDescent="0.25">
      <c r="B143" s="46" t="s">
        <v>2892</v>
      </c>
      <c r="C143" s="40" t="s">
        <v>428</v>
      </c>
      <c r="E143" s="166" t="s">
        <v>8013</v>
      </c>
      <c r="F143" s="166" t="s">
        <v>375</v>
      </c>
    </row>
    <row r="144" spans="2:6" x14ac:dyDescent="0.25">
      <c r="B144" s="46" t="s">
        <v>2893</v>
      </c>
      <c r="C144" s="40" t="s">
        <v>429</v>
      </c>
      <c r="E144" s="166" t="s">
        <v>8014</v>
      </c>
      <c r="F144" s="166" t="s">
        <v>376</v>
      </c>
    </row>
    <row r="145" spans="2:6" x14ac:dyDescent="0.25">
      <c r="B145" s="46" t="s">
        <v>2894</v>
      </c>
      <c r="C145" s="40" t="s">
        <v>430</v>
      </c>
      <c r="E145" s="166" t="s">
        <v>8015</v>
      </c>
      <c r="F145" s="166" t="s">
        <v>377</v>
      </c>
    </row>
    <row r="146" spans="2:6" x14ac:dyDescent="0.25">
      <c r="B146" s="46" t="s">
        <v>2895</v>
      </c>
      <c r="C146" s="40" t="s">
        <v>431</v>
      </c>
      <c r="E146" s="166" t="s">
        <v>8016</v>
      </c>
      <c r="F146" s="166" t="s">
        <v>8017</v>
      </c>
    </row>
    <row r="147" spans="2:6" x14ac:dyDescent="0.25">
      <c r="B147" s="46" t="s">
        <v>2896</v>
      </c>
      <c r="C147" s="40" t="s">
        <v>432</v>
      </c>
      <c r="E147" s="166" t="s">
        <v>8018</v>
      </c>
      <c r="F147" s="166" t="s">
        <v>378</v>
      </c>
    </row>
    <row r="148" spans="2:6" x14ac:dyDescent="0.25">
      <c r="B148" s="46" t="s">
        <v>2897</v>
      </c>
      <c r="C148" s="40" t="s">
        <v>433</v>
      </c>
      <c r="E148" s="166" t="s">
        <v>8019</v>
      </c>
      <c r="F148" s="166" t="s">
        <v>379</v>
      </c>
    </row>
    <row r="149" spans="2:6" x14ac:dyDescent="0.25">
      <c r="B149" s="46" t="s">
        <v>2898</v>
      </c>
      <c r="C149" s="40" t="s">
        <v>434</v>
      </c>
      <c r="E149" s="166" t="s">
        <v>8020</v>
      </c>
      <c r="F149" s="166" t="s">
        <v>380</v>
      </c>
    </row>
    <row r="150" spans="2:6" x14ac:dyDescent="0.25">
      <c r="B150" s="46" t="s">
        <v>2899</v>
      </c>
      <c r="C150" s="40" t="s">
        <v>435</v>
      </c>
      <c r="E150" s="166" t="s">
        <v>8021</v>
      </c>
      <c r="F150" s="166" t="s">
        <v>381</v>
      </c>
    </row>
    <row r="151" spans="2:6" x14ac:dyDescent="0.25">
      <c r="B151" s="46" t="s">
        <v>2900</v>
      </c>
      <c r="C151" s="40" t="s">
        <v>436</v>
      </c>
      <c r="E151" s="166" t="s">
        <v>8022</v>
      </c>
      <c r="F151" s="166" t="s">
        <v>382</v>
      </c>
    </row>
    <row r="152" spans="2:6" x14ac:dyDescent="0.25">
      <c r="B152" s="46" t="s">
        <v>2901</v>
      </c>
      <c r="C152" s="40" t="s">
        <v>437</v>
      </c>
      <c r="E152" s="166" t="s">
        <v>8023</v>
      </c>
      <c r="F152" s="166" t="s">
        <v>383</v>
      </c>
    </row>
    <row r="153" spans="2:6" x14ac:dyDescent="0.25">
      <c r="B153" s="46" t="s">
        <v>2902</v>
      </c>
      <c r="C153" s="40" t="s">
        <v>438</v>
      </c>
      <c r="E153" s="166" t="s">
        <v>8024</v>
      </c>
      <c r="F153" s="166" t="s">
        <v>384</v>
      </c>
    </row>
    <row r="154" spans="2:6" x14ac:dyDescent="0.25">
      <c r="B154" s="46" t="s">
        <v>2903</v>
      </c>
      <c r="C154" s="40" t="s">
        <v>439</v>
      </c>
      <c r="E154" s="166" t="s">
        <v>8025</v>
      </c>
      <c r="F154" s="166" t="s">
        <v>8026</v>
      </c>
    </row>
    <row r="155" spans="2:6" x14ac:dyDescent="0.25">
      <c r="B155" s="46" t="s">
        <v>2904</v>
      </c>
      <c r="C155" s="40" t="s">
        <v>440</v>
      </c>
      <c r="E155" s="166" t="s">
        <v>8027</v>
      </c>
      <c r="F155" s="166" t="s">
        <v>385</v>
      </c>
    </row>
    <row r="156" spans="2:6" x14ac:dyDescent="0.25">
      <c r="B156" s="46" t="s">
        <v>2905</v>
      </c>
      <c r="C156" s="40" t="s">
        <v>441</v>
      </c>
      <c r="E156" s="166" t="s">
        <v>8028</v>
      </c>
      <c r="F156" s="166" t="s">
        <v>8029</v>
      </c>
    </row>
    <row r="157" spans="2:6" x14ac:dyDescent="0.25">
      <c r="B157" s="46" t="s">
        <v>2906</v>
      </c>
      <c r="C157" s="40" t="s">
        <v>442</v>
      </c>
      <c r="E157" s="166" t="s">
        <v>8030</v>
      </c>
      <c r="F157" s="166" t="s">
        <v>386</v>
      </c>
    </row>
    <row r="158" spans="2:6" x14ac:dyDescent="0.25">
      <c r="B158" s="46" t="s">
        <v>2907</v>
      </c>
      <c r="C158" s="40" t="s">
        <v>443</v>
      </c>
      <c r="E158" s="166" t="s">
        <v>8031</v>
      </c>
      <c r="F158" s="166" t="s">
        <v>387</v>
      </c>
    </row>
    <row r="159" spans="2:6" x14ac:dyDescent="0.25">
      <c r="B159" s="46" t="s">
        <v>2908</v>
      </c>
      <c r="C159" s="40" t="s">
        <v>444</v>
      </c>
      <c r="E159" s="166" t="s">
        <v>8032</v>
      </c>
      <c r="F159" s="166" t="s">
        <v>8033</v>
      </c>
    </row>
    <row r="160" spans="2:6" x14ac:dyDescent="0.25">
      <c r="B160" s="46" t="s">
        <v>2909</v>
      </c>
      <c r="C160" s="40" t="s">
        <v>445</v>
      </c>
      <c r="E160" s="166" t="s">
        <v>8034</v>
      </c>
      <c r="F160" s="166" t="s">
        <v>388</v>
      </c>
    </row>
    <row r="161" spans="2:6" x14ac:dyDescent="0.25">
      <c r="B161" s="46" t="s">
        <v>2910</v>
      </c>
      <c r="C161" s="40" t="s">
        <v>446</v>
      </c>
      <c r="E161" s="166" t="s">
        <v>8035</v>
      </c>
      <c r="F161" s="166" t="s">
        <v>389</v>
      </c>
    </row>
    <row r="162" spans="2:6" x14ac:dyDescent="0.25">
      <c r="B162" s="46" t="s">
        <v>2911</v>
      </c>
      <c r="C162" s="40" t="s">
        <v>447</v>
      </c>
      <c r="E162" s="166" t="s">
        <v>8036</v>
      </c>
      <c r="F162" s="166" t="s">
        <v>390</v>
      </c>
    </row>
    <row r="163" spans="2:6" x14ac:dyDescent="0.25">
      <c r="B163" s="46" t="s">
        <v>2912</v>
      </c>
      <c r="C163" s="40" t="s">
        <v>448</v>
      </c>
      <c r="E163" s="166" t="s">
        <v>8037</v>
      </c>
      <c r="F163" s="166" t="s">
        <v>391</v>
      </c>
    </row>
    <row r="164" spans="2:6" x14ac:dyDescent="0.25">
      <c r="B164" s="46" t="s">
        <v>2913</v>
      </c>
      <c r="C164" s="40" t="s">
        <v>449</v>
      </c>
      <c r="E164" s="166" t="s">
        <v>8038</v>
      </c>
      <c r="F164" s="166" t="s">
        <v>8039</v>
      </c>
    </row>
    <row r="165" spans="2:6" x14ac:dyDescent="0.25">
      <c r="B165" s="46" t="s">
        <v>2914</v>
      </c>
      <c r="C165" s="40" t="s">
        <v>450</v>
      </c>
      <c r="E165" s="166" t="s">
        <v>8040</v>
      </c>
      <c r="F165" s="166" t="s">
        <v>392</v>
      </c>
    </row>
    <row r="166" spans="2:6" x14ac:dyDescent="0.25">
      <c r="B166" s="46" t="s">
        <v>2915</v>
      </c>
      <c r="C166" s="40" t="s">
        <v>451</v>
      </c>
      <c r="E166" s="166" t="s">
        <v>8041</v>
      </c>
      <c r="F166" s="166" t="s">
        <v>393</v>
      </c>
    </row>
    <row r="167" spans="2:6" x14ac:dyDescent="0.25">
      <c r="B167" s="46" t="s">
        <v>2916</v>
      </c>
      <c r="C167" s="40" t="s">
        <v>452</v>
      </c>
      <c r="E167" s="166" t="s">
        <v>8042</v>
      </c>
      <c r="F167" s="166" t="s">
        <v>394</v>
      </c>
    </row>
    <row r="168" spans="2:6" x14ac:dyDescent="0.25">
      <c r="B168" s="46" t="s">
        <v>2917</v>
      </c>
      <c r="C168" s="40" t="s">
        <v>453</v>
      </c>
      <c r="E168" s="166" t="s">
        <v>8043</v>
      </c>
      <c r="F168" s="166" t="s">
        <v>395</v>
      </c>
    </row>
    <row r="169" spans="2:6" x14ac:dyDescent="0.25">
      <c r="B169" s="46" t="s">
        <v>2918</v>
      </c>
      <c r="C169" s="40" t="s">
        <v>454</v>
      </c>
      <c r="E169" s="166" t="s">
        <v>8044</v>
      </c>
      <c r="F169" s="166" t="s">
        <v>8045</v>
      </c>
    </row>
    <row r="170" spans="2:6" x14ac:dyDescent="0.25">
      <c r="B170" s="46" t="s">
        <v>2919</v>
      </c>
      <c r="C170" s="40" t="s">
        <v>455</v>
      </c>
      <c r="E170" s="166" t="s">
        <v>8046</v>
      </c>
      <c r="F170" s="166" t="s">
        <v>396</v>
      </c>
    </row>
    <row r="171" spans="2:6" x14ac:dyDescent="0.25">
      <c r="B171" s="46" t="s">
        <v>2920</v>
      </c>
      <c r="C171" s="40" t="s">
        <v>456</v>
      </c>
      <c r="E171" s="166" t="s">
        <v>8047</v>
      </c>
      <c r="F171" s="166" t="s">
        <v>8048</v>
      </c>
    </row>
    <row r="172" spans="2:6" x14ac:dyDescent="0.25">
      <c r="B172" s="46" t="s">
        <v>2921</v>
      </c>
      <c r="C172" s="40" t="s">
        <v>457</v>
      </c>
      <c r="E172" s="166" t="s">
        <v>8049</v>
      </c>
      <c r="F172" s="166" t="s">
        <v>397</v>
      </c>
    </row>
    <row r="173" spans="2:6" x14ac:dyDescent="0.25">
      <c r="B173" s="46" t="s">
        <v>2922</v>
      </c>
      <c r="C173" s="40" t="s">
        <v>458</v>
      </c>
      <c r="E173" s="166" t="s">
        <v>8050</v>
      </c>
      <c r="F173" s="166" t="s">
        <v>398</v>
      </c>
    </row>
    <row r="174" spans="2:6" x14ac:dyDescent="0.25">
      <c r="B174" s="46" t="s">
        <v>2923</v>
      </c>
      <c r="C174" s="40" t="s">
        <v>459</v>
      </c>
      <c r="E174" s="166" t="s">
        <v>8051</v>
      </c>
      <c r="F174" s="166" t="s">
        <v>8052</v>
      </c>
    </row>
    <row r="175" spans="2:6" x14ac:dyDescent="0.25">
      <c r="B175" s="46" t="s">
        <v>2924</v>
      </c>
      <c r="C175" s="40" t="s">
        <v>460</v>
      </c>
      <c r="E175" s="166" t="s">
        <v>8053</v>
      </c>
      <c r="F175" s="166" t="s">
        <v>399</v>
      </c>
    </row>
    <row r="176" spans="2:6" x14ac:dyDescent="0.25">
      <c r="B176" s="46" t="s">
        <v>2925</v>
      </c>
      <c r="C176" s="40" t="s">
        <v>461</v>
      </c>
      <c r="E176" s="166" t="s">
        <v>8054</v>
      </c>
      <c r="F176" s="166" t="s">
        <v>8055</v>
      </c>
    </row>
    <row r="177" spans="2:6" x14ac:dyDescent="0.25">
      <c r="B177" s="46" t="s">
        <v>2926</v>
      </c>
      <c r="C177" s="40" t="s">
        <v>462</v>
      </c>
      <c r="E177" s="166" t="s">
        <v>8056</v>
      </c>
      <c r="F177" s="166" t="s">
        <v>400</v>
      </c>
    </row>
    <row r="178" spans="2:6" x14ac:dyDescent="0.25">
      <c r="B178" s="46" t="s">
        <v>2927</v>
      </c>
      <c r="C178" s="40" t="s">
        <v>463</v>
      </c>
      <c r="E178" s="166" t="s">
        <v>8057</v>
      </c>
      <c r="F178" s="166" t="s">
        <v>401</v>
      </c>
    </row>
    <row r="179" spans="2:6" x14ac:dyDescent="0.25">
      <c r="B179" s="46" t="s">
        <v>2928</v>
      </c>
      <c r="C179" s="40" t="s">
        <v>464</v>
      </c>
      <c r="E179" s="166" t="s">
        <v>8058</v>
      </c>
      <c r="F179" s="166" t="s">
        <v>402</v>
      </c>
    </row>
    <row r="180" spans="2:6" x14ac:dyDescent="0.25">
      <c r="B180" s="46" t="s">
        <v>2929</v>
      </c>
      <c r="C180" s="40" t="s">
        <v>465</v>
      </c>
      <c r="E180" s="166" t="s">
        <v>8059</v>
      </c>
      <c r="F180" s="166" t="s">
        <v>403</v>
      </c>
    </row>
    <row r="181" spans="2:6" x14ac:dyDescent="0.25">
      <c r="B181" s="46" t="s">
        <v>2930</v>
      </c>
      <c r="C181" s="40" t="s">
        <v>466</v>
      </c>
      <c r="E181" s="166" t="s">
        <v>8060</v>
      </c>
      <c r="F181" s="166" t="s">
        <v>8061</v>
      </c>
    </row>
    <row r="182" spans="2:6" x14ac:dyDescent="0.25">
      <c r="B182" s="46" t="s">
        <v>2931</v>
      </c>
      <c r="C182" s="40" t="s">
        <v>467</v>
      </c>
      <c r="E182" s="166" t="s">
        <v>8062</v>
      </c>
      <c r="F182" s="166" t="s">
        <v>404</v>
      </c>
    </row>
    <row r="183" spans="2:6" x14ac:dyDescent="0.25">
      <c r="B183" s="46" t="s">
        <v>2932</v>
      </c>
      <c r="C183" s="40" t="s">
        <v>468</v>
      </c>
      <c r="E183" s="166" t="s">
        <v>8063</v>
      </c>
      <c r="F183" s="166" t="s">
        <v>405</v>
      </c>
    </row>
    <row r="184" spans="2:6" x14ac:dyDescent="0.25">
      <c r="B184" s="46" t="s">
        <v>2933</v>
      </c>
      <c r="C184" s="40" t="s">
        <v>469</v>
      </c>
      <c r="E184" s="166" t="s">
        <v>8064</v>
      </c>
      <c r="F184" s="166" t="s">
        <v>8065</v>
      </c>
    </row>
    <row r="185" spans="2:6" x14ac:dyDescent="0.25">
      <c r="B185" s="46" t="s">
        <v>2934</v>
      </c>
      <c r="C185" s="40" t="s">
        <v>470</v>
      </c>
      <c r="E185" s="166" t="s">
        <v>8066</v>
      </c>
      <c r="F185" s="166" t="s">
        <v>406</v>
      </c>
    </row>
    <row r="186" spans="2:6" x14ac:dyDescent="0.25">
      <c r="B186" s="46" t="s">
        <v>2935</v>
      </c>
      <c r="C186" s="40" t="s">
        <v>471</v>
      </c>
      <c r="E186" s="166" t="s">
        <v>8067</v>
      </c>
      <c r="F186" s="166" t="s">
        <v>8068</v>
      </c>
    </row>
    <row r="187" spans="2:6" x14ac:dyDescent="0.25">
      <c r="B187" s="46" t="s">
        <v>2936</v>
      </c>
      <c r="C187" s="40" t="s">
        <v>472</v>
      </c>
      <c r="E187" s="166" t="s">
        <v>8069</v>
      </c>
      <c r="F187" s="166" t="s">
        <v>407</v>
      </c>
    </row>
    <row r="188" spans="2:6" x14ac:dyDescent="0.25">
      <c r="B188" s="46" t="s">
        <v>2937</v>
      </c>
      <c r="C188" s="40" t="s">
        <v>473</v>
      </c>
      <c r="E188" s="166" t="s">
        <v>8070</v>
      </c>
      <c r="F188" s="166" t="s">
        <v>8071</v>
      </c>
    </row>
    <row r="189" spans="2:6" x14ac:dyDescent="0.25">
      <c r="B189" s="46" t="s">
        <v>2938</v>
      </c>
      <c r="C189" s="40" t="s">
        <v>474</v>
      </c>
      <c r="E189" s="166" t="s">
        <v>8072</v>
      </c>
      <c r="F189" s="166" t="s">
        <v>408</v>
      </c>
    </row>
    <row r="190" spans="2:6" x14ac:dyDescent="0.25">
      <c r="B190" s="46" t="s">
        <v>2939</v>
      </c>
      <c r="C190" s="40" t="s">
        <v>475</v>
      </c>
      <c r="E190" s="166" t="s">
        <v>8073</v>
      </c>
      <c r="F190" s="166" t="s">
        <v>409</v>
      </c>
    </row>
    <row r="191" spans="2:6" x14ac:dyDescent="0.25">
      <c r="B191" s="46" t="s">
        <v>2940</v>
      </c>
      <c r="C191" s="40" t="s">
        <v>476</v>
      </c>
      <c r="E191" s="166" t="s">
        <v>8074</v>
      </c>
      <c r="F191" s="166" t="s">
        <v>8075</v>
      </c>
    </row>
    <row r="192" spans="2:6" x14ac:dyDescent="0.25">
      <c r="B192" s="46" t="s">
        <v>2941</v>
      </c>
      <c r="C192" s="40" t="s">
        <v>477</v>
      </c>
      <c r="E192" s="166" t="s">
        <v>8076</v>
      </c>
      <c r="F192" s="166" t="s">
        <v>410</v>
      </c>
    </row>
    <row r="193" spans="2:6" x14ac:dyDescent="0.25">
      <c r="B193" s="46" t="s">
        <v>2942</v>
      </c>
      <c r="C193" s="40" t="s">
        <v>478</v>
      </c>
      <c r="E193" s="166" t="s">
        <v>8077</v>
      </c>
      <c r="F193" s="166" t="s">
        <v>8078</v>
      </c>
    </row>
    <row r="194" spans="2:6" x14ac:dyDescent="0.25">
      <c r="B194" s="46" t="s">
        <v>2943</v>
      </c>
      <c r="C194" s="40" t="s">
        <v>479</v>
      </c>
      <c r="E194" s="166" t="s">
        <v>8079</v>
      </c>
      <c r="F194" s="166" t="s">
        <v>411</v>
      </c>
    </row>
    <row r="195" spans="2:6" x14ac:dyDescent="0.25">
      <c r="B195" s="46" t="s">
        <v>2944</v>
      </c>
      <c r="C195" s="40" t="s">
        <v>480</v>
      </c>
      <c r="E195" s="166" t="s">
        <v>8080</v>
      </c>
      <c r="F195" s="166" t="s">
        <v>8081</v>
      </c>
    </row>
    <row r="196" spans="2:6" x14ac:dyDescent="0.25">
      <c r="B196" s="46" t="s">
        <v>2945</v>
      </c>
      <c r="C196" s="40" t="s">
        <v>481</v>
      </c>
      <c r="E196" s="166" t="s">
        <v>8082</v>
      </c>
      <c r="F196" s="166" t="s">
        <v>8083</v>
      </c>
    </row>
    <row r="197" spans="2:6" x14ac:dyDescent="0.25">
      <c r="B197" s="46" t="s">
        <v>2946</v>
      </c>
      <c r="C197" s="40" t="s">
        <v>482</v>
      </c>
      <c r="E197" s="166" t="s">
        <v>8084</v>
      </c>
      <c r="F197" s="166" t="s">
        <v>8085</v>
      </c>
    </row>
    <row r="198" spans="2:6" x14ac:dyDescent="0.25">
      <c r="B198" s="46" t="s">
        <v>2947</v>
      </c>
      <c r="C198" s="40" t="s">
        <v>483</v>
      </c>
      <c r="E198" s="166" t="s">
        <v>8086</v>
      </c>
      <c r="F198" s="166" t="s">
        <v>8087</v>
      </c>
    </row>
    <row r="199" spans="2:6" x14ac:dyDescent="0.25">
      <c r="B199" s="46" t="s">
        <v>2948</v>
      </c>
      <c r="C199" s="40" t="s">
        <v>484</v>
      </c>
      <c r="E199" s="166" t="s">
        <v>8088</v>
      </c>
      <c r="F199" s="166" t="s">
        <v>412</v>
      </c>
    </row>
    <row r="200" spans="2:6" x14ac:dyDescent="0.25">
      <c r="B200" s="46" t="s">
        <v>2949</v>
      </c>
      <c r="C200" s="40" t="s">
        <v>485</v>
      </c>
      <c r="E200" s="166" t="s">
        <v>8089</v>
      </c>
      <c r="F200" s="166" t="s">
        <v>8090</v>
      </c>
    </row>
    <row r="201" spans="2:6" x14ac:dyDescent="0.25">
      <c r="B201" s="46" t="s">
        <v>2950</v>
      </c>
      <c r="C201" s="40" t="s">
        <v>486</v>
      </c>
      <c r="E201" s="166" t="s">
        <v>8091</v>
      </c>
      <c r="F201" s="166" t="s">
        <v>413</v>
      </c>
    </row>
    <row r="202" spans="2:6" x14ac:dyDescent="0.25">
      <c r="B202" s="46" t="s">
        <v>2951</v>
      </c>
      <c r="C202" s="40" t="s">
        <v>487</v>
      </c>
      <c r="E202" s="166" t="s">
        <v>8092</v>
      </c>
      <c r="F202" s="166" t="s">
        <v>8093</v>
      </c>
    </row>
    <row r="203" spans="2:6" x14ac:dyDescent="0.25">
      <c r="B203" s="46" t="s">
        <v>2952</v>
      </c>
      <c r="C203" s="40" t="s">
        <v>488</v>
      </c>
      <c r="E203" s="166" t="s">
        <v>8094</v>
      </c>
      <c r="F203" s="166" t="s">
        <v>414</v>
      </c>
    </row>
    <row r="204" spans="2:6" x14ac:dyDescent="0.25">
      <c r="B204" s="46" t="s">
        <v>2953</v>
      </c>
      <c r="C204" s="40" t="s">
        <v>489</v>
      </c>
      <c r="E204" s="166" t="s">
        <v>8095</v>
      </c>
      <c r="F204" s="166" t="s">
        <v>415</v>
      </c>
    </row>
    <row r="205" spans="2:6" x14ac:dyDescent="0.25">
      <c r="B205" s="46" t="s">
        <v>2954</v>
      </c>
      <c r="C205" s="40" t="s">
        <v>490</v>
      </c>
      <c r="E205" s="166" t="s">
        <v>8096</v>
      </c>
      <c r="F205" s="166" t="s">
        <v>8097</v>
      </c>
    </row>
    <row r="206" spans="2:6" x14ac:dyDescent="0.25">
      <c r="B206" s="46" t="s">
        <v>2955</v>
      </c>
      <c r="C206" s="40" t="s">
        <v>491</v>
      </c>
      <c r="E206" s="166" t="s">
        <v>8098</v>
      </c>
      <c r="F206" s="166" t="s">
        <v>416</v>
      </c>
    </row>
    <row r="207" spans="2:6" x14ac:dyDescent="0.25">
      <c r="B207" s="46" t="s">
        <v>2956</v>
      </c>
      <c r="C207" s="40" t="s">
        <v>492</v>
      </c>
      <c r="E207" s="166" t="s">
        <v>8099</v>
      </c>
      <c r="F207" s="166" t="s">
        <v>8100</v>
      </c>
    </row>
    <row r="208" spans="2:6" x14ac:dyDescent="0.25">
      <c r="B208" s="46" t="s">
        <v>2957</v>
      </c>
      <c r="C208" s="40" t="s">
        <v>493</v>
      </c>
      <c r="E208" s="166" t="s">
        <v>8101</v>
      </c>
      <c r="F208" s="166" t="s">
        <v>8102</v>
      </c>
    </row>
    <row r="209" spans="2:6" x14ac:dyDescent="0.25">
      <c r="B209" s="46" t="s">
        <v>2958</v>
      </c>
      <c r="C209" s="40" t="s">
        <v>494</v>
      </c>
      <c r="E209" s="166" t="s">
        <v>8103</v>
      </c>
      <c r="F209" s="166" t="s">
        <v>8104</v>
      </c>
    </row>
    <row r="210" spans="2:6" x14ac:dyDescent="0.25">
      <c r="B210" s="46" t="s">
        <v>2959</v>
      </c>
      <c r="C210" s="40" t="s">
        <v>495</v>
      </c>
      <c r="E210" s="166" t="s">
        <v>8105</v>
      </c>
      <c r="F210" s="166" t="s">
        <v>417</v>
      </c>
    </row>
    <row r="211" spans="2:6" x14ac:dyDescent="0.25">
      <c r="B211" s="46" t="s">
        <v>2960</v>
      </c>
      <c r="C211" s="40" t="s">
        <v>496</v>
      </c>
      <c r="E211" s="166" t="s">
        <v>8106</v>
      </c>
      <c r="F211" s="166" t="s">
        <v>8107</v>
      </c>
    </row>
    <row r="212" spans="2:6" x14ac:dyDescent="0.25">
      <c r="B212" s="46" t="s">
        <v>2961</v>
      </c>
      <c r="C212" s="40" t="s">
        <v>497</v>
      </c>
      <c r="E212" s="166" t="s">
        <v>8108</v>
      </c>
      <c r="F212" s="166" t="s">
        <v>418</v>
      </c>
    </row>
    <row r="213" spans="2:6" x14ac:dyDescent="0.25">
      <c r="B213" s="46" t="s">
        <v>2962</v>
      </c>
      <c r="C213" s="40" t="s">
        <v>498</v>
      </c>
      <c r="E213" s="166" t="s">
        <v>8109</v>
      </c>
      <c r="F213" s="166" t="s">
        <v>8110</v>
      </c>
    </row>
    <row r="214" spans="2:6" x14ac:dyDescent="0.25">
      <c r="B214" s="46" t="s">
        <v>2963</v>
      </c>
      <c r="C214" s="40" t="s">
        <v>499</v>
      </c>
      <c r="E214" s="166" t="s">
        <v>8111</v>
      </c>
      <c r="F214" s="166" t="s">
        <v>419</v>
      </c>
    </row>
    <row r="215" spans="2:6" x14ac:dyDescent="0.25">
      <c r="B215" s="46" t="s">
        <v>2964</v>
      </c>
      <c r="C215" s="40" t="s">
        <v>500</v>
      </c>
      <c r="E215" s="166" t="s">
        <v>8112</v>
      </c>
      <c r="F215" s="166" t="s">
        <v>8113</v>
      </c>
    </row>
    <row r="216" spans="2:6" x14ac:dyDescent="0.25">
      <c r="B216" s="46" t="s">
        <v>2965</v>
      </c>
      <c r="C216" s="40" t="s">
        <v>501</v>
      </c>
      <c r="E216" s="166" t="s">
        <v>8114</v>
      </c>
      <c r="F216" s="166" t="s">
        <v>420</v>
      </c>
    </row>
    <row r="217" spans="2:6" x14ac:dyDescent="0.25">
      <c r="B217" s="46" t="s">
        <v>2966</v>
      </c>
      <c r="C217" s="40" t="s">
        <v>502</v>
      </c>
      <c r="E217" s="166" t="s">
        <v>8115</v>
      </c>
      <c r="F217" s="166" t="s">
        <v>8116</v>
      </c>
    </row>
    <row r="218" spans="2:6" x14ac:dyDescent="0.25">
      <c r="B218" s="46" t="s">
        <v>2967</v>
      </c>
      <c r="C218" s="40" t="s">
        <v>503</v>
      </c>
      <c r="E218" s="166" t="s">
        <v>8117</v>
      </c>
      <c r="F218" s="166" t="s">
        <v>421</v>
      </c>
    </row>
    <row r="219" spans="2:6" x14ac:dyDescent="0.25">
      <c r="B219" s="46" t="s">
        <v>2968</v>
      </c>
      <c r="C219" s="40" t="s">
        <v>504</v>
      </c>
      <c r="E219" s="166" t="s">
        <v>8118</v>
      </c>
      <c r="F219" s="166" t="s">
        <v>422</v>
      </c>
    </row>
    <row r="220" spans="2:6" x14ac:dyDescent="0.25">
      <c r="B220" s="46" t="s">
        <v>2969</v>
      </c>
      <c r="C220" s="40" t="s">
        <v>505</v>
      </c>
      <c r="E220" s="166" t="s">
        <v>8119</v>
      </c>
      <c r="F220" s="166" t="s">
        <v>423</v>
      </c>
    </row>
    <row r="221" spans="2:6" x14ac:dyDescent="0.25">
      <c r="B221" s="46" t="s">
        <v>2970</v>
      </c>
      <c r="C221" s="40" t="s">
        <v>506</v>
      </c>
      <c r="E221" s="166" t="s">
        <v>8120</v>
      </c>
      <c r="F221" s="166" t="s">
        <v>8121</v>
      </c>
    </row>
    <row r="222" spans="2:6" x14ac:dyDescent="0.25">
      <c r="B222" s="46" t="s">
        <v>2971</v>
      </c>
      <c r="C222" s="40" t="s">
        <v>507</v>
      </c>
      <c r="E222" s="166" t="s">
        <v>8122</v>
      </c>
      <c r="F222" s="166" t="s">
        <v>424</v>
      </c>
    </row>
    <row r="223" spans="2:6" x14ac:dyDescent="0.25">
      <c r="B223" s="46" t="s">
        <v>2972</v>
      </c>
      <c r="C223" s="40" t="s">
        <v>508</v>
      </c>
      <c r="E223" s="166" t="s">
        <v>8123</v>
      </c>
      <c r="F223" s="166" t="s">
        <v>8124</v>
      </c>
    </row>
    <row r="224" spans="2:6" x14ac:dyDescent="0.25">
      <c r="B224" s="46" t="s">
        <v>2973</v>
      </c>
      <c r="C224" s="40" t="s">
        <v>509</v>
      </c>
      <c r="E224" s="166" t="s">
        <v>8125</v>
      </c>
      <c r="F224" s="166" t="s">
        <v>425</v>
      </c>
    </row>
    <row r="225" spans="2:6" x14ac:dyDescent="0.25">
      <c r="B225" s="46" t="s">
        <v>2974</v>
      </c>
      <c r="C225" s="40" t="s">
        <v>510</v>
      </c>
      <c r="E225" s="166" t="s">
        <v>8126</v>
      </c>
      <c r="F225" s="166" t="s">
        <v>8127</v>
      </c>
    </row>
    <row r="226" spans="2:6" x14ac:dyDescent="0.25">
      <c r="B226" s="46" t="s">
        <v>2975</v>
      </c>
      <c r="C226" s="40" t="s">
        <v>511</v>
      </c>
      <c r="E226" s="166" t="s">
        <v>8128</v>
      </c>
      <c r="F226" s="166" t="s">
        <v>426</v>
      </c>
    </row>
    <row r="227" spans="2:6" x14ac:dyDescent="0.25">
      <c r="B227" s="46" t="s">
        <v>2976</v>
      </c>
      <c r="C227" s="40" t="s">
        <v>512</v>
      </c>
      <c r="E227" s="166" t="s">
        <v>8129</v>
      </c>
      <c r="F227" s="166" t="s">
        <v>427</v>
      </c>
    </row>
    <row r="228" spans="2:6" x14ac:dyDescent="0.25">
      <c r="B228" s="46" t="s">
        <v>2977</v>
      </c>
      <c r="C228" s="40" t="s">
        <v>513</v>
      </c>
      <c r="E228" s="166" t="s">
        <v>8130</v>
      </c>
      <c r="F228" s="166" t="s">
        <v>8131</v>
      </c>
    </row>
    <row r="229" spans="2:6" x14ac:dyDescent="0.25">
      <c r="B229" s="46" t="s">
        <v>2978</v>
      </c>
      <c r="C229" s="40" t="s">
        <v>514</v>
      </c>
      <c r="E229" s="166" t="s">
        <v>8132</v>
      </c>
      <c r="F229" s="166" t="s">
        <v>428</v>
      </c>
    </row>
    <row r="230" spans="2:6" x14ac:dyDescent="0.25">
      <c r="B230" s="46" t="s">
        <v>2979</v>
      </c>
      <c r="C230" s="40" t="s">
        <v>515</v>
      </c>
      <c r="E230" s="166" t="s">
        <v>8133</v>
      </c>
      <c r="F230" s="166" t="s">
        <v>8134</v>
      </c>
    </row>
    <row r="231" spans="2:6" x14ac:dyDescent="0.25">
      <c r="B231" s="46" t="s">
        <v>2980</v>
      </c>
      <c r="C231" s="40" t="s">
        <v>516</v>
      </c>
      <c r="E231" s="166" t="s">
        <v>8135</v>
      </c>
      <c r="F231" s="166" t="s">
        <v>429</v>
      </c>
    </row>
    <row r="232" spans="2:6" x14ac:dyDescent="0.25">
      <c r="B232" s="46" t="s">
        <v>2981</v>
      </c>
      <c r="C232" s="40" t="s">
        <v>517</v>
      </c>
      <c r="E232" s="166" t="s">
        <v>8136</v>
      </c>
      <c r="F232" s="166" t="s">
        <v>8137</v>
      </c>
    </row>
    <row r="233" spans="2:6" x14ac:dyDescent="0.25">
      <c r="B233" s="46" t="s">
        <v>2982</v>
      </c>
      <c r="C233" s="40" t="s">
        <v>518</v>
      </c>
      <c r="E233" s="166" t="s">
        <v>8138</v>
      </c>
      <c r="F233" s="166" t="s">
        <v>430</v>
      </c>
    </row>
    <row r="234" spans="2:6" x14ac:dyDescent="0.25">
      <c r="B234" s="46" t="s">
        <v>2983</v>
      </c>
      <c r="C234" s="40" t="s">
        <v>519</v>
      </c>
      <c r="E234" s="166" t="s">
        <v>8139</v>
      </c>
      <c r="F234" s="166" t="s">
        <v>8140</v>
      </c>
    </row>
    <row r="235" spans="2:6" x14ac:dyDescent="0.25">
      <c r="B235" s="46" t="s">
        <v>2984</v>
      </c>
      <c r="C235" s="40" t="s">
        <v>520</v>
      </c>
      <c r="E235" s="166" t="s">
        <v>8141</v>
      </c>
      <c r="F235" s="166" t="s">
        <v>431</v>
      </c>
    </row>
    <row r="236" spans="2:6" x14ac:dyDescent="0.25">
      <c r="B236" s="46" t="s">
        <v>2985</v>
      </c>
      <c r="C236" s="40" t="s">
        <v>521</v>
      </c>
      <c r="E236" s="166" t="s">
        <v>8142</v>
      </c>
      <c r="F236" s="166" t="s">
        <v>8143</v>
      </c>
    </row>
    <row r="237" spans="2:6" x14ac:dyDescent="0.25">
      <c r="B237" s="46" t="s">
        <v>2986</v>
      </c>
      <c r="C237" s="40" t="s">
        <v>522</v>
      </c>
      <c r="E237" s="166" t="s">
        <v>8144</v>
      </c>
      <c r="F237" s="166" t="s">
        <v>8145</v>
      </c>
    </row>
    <row r="238" spans="2:6" x14ac:dyDescent="0.25">
      <c r="B238" s="46" t="s">
        <v>2987</v>
      </c>
      <c r="C238" s="40" t="s">
        <v>523</v>
      </c>
      <c r="E238" s="166" t="s">
        <v>8146</v>
      </c>
      <c r="F238" s="166" t="s">
        <v>8147</v>
      </c>
    </row>
    <row r="239" spans="2:6" x14ac:dyDescent="0.25">
      <c r="B239" s="46" t="s">
        <v>2988</v>
      </c>
      <c r="C239" s="40" t="s">
        <v>524</v>
      </c>
      <c r="E239" s="166" t="s">
        <v>8148</v>
      </c>
      <c r="F239" s="166" t="s">
        <v>432</v>
      </c>
    </row>
    <row r="240" spans="2:6" x14ac:dyDescent="0.25">
      <c r="B240" s="46" t="s">
        <v>2989</v>
      </c>
      <c r="C240" s="40" t="s">
        <v>525</v>
      </c>
      <c r="E240" s="166" t="s">
        <v>8149</v>
      </c>
      <c r="F240" s="166" t="s">
        <v>8150</v>
      </c>
    </row>
    <row r="241" spans="2:6" x14ac:dyDescent="0.25">
      <c r="B241" s="46" t="s">
        <v>2990</v>
      </c>
      <c r="C241" s="40" t="s">
        <v>526</v>
      </c>
      <c r="E241" s="166" t="s">
        <v>8151</v>
      </c>
      <c r="F241" s="166" t="s">
        <v>433</v>
      </c>
    </row>
    <row r="242" spans="2:6" x14ac:dyDescent="0.25">
      <c r="B242" s="46" t="s">
        <v>2991</v>
      </c>
      <c r="C242" s="40" t="s">
        <v>527</v>
      </c>
      <c r="E242" s="166" t="s">
        <v>8152</v>
      </c>
      <c r="F242" s="166" t="s">
        <v>8153</v>
      </c>
    </row>
    <row r="243" spans="2:6" x14ac:dyDescent="0.25">
      <c r="B243" s="46" t="s">
        <v>2992</v>
      </c>
      <c r="C243" s="40" t="s">
        <v>528</v>
      </c>
      <c r="E243" s="166" t="s">
        <v>8154</v>
      </c>
      <c r="F243" s="166" t="s">
        <v>434</v>
      </c>
    </row>
    <row r="244" spans="2:6" x14ac:dyDescent="0.25">
      <c r="B244" s="46" t="s">
        <v>2993</v>
      </c>
      <c r="C244" s="40" t="s">
        <v>529</v>
      </c>
      <c r="E244" s="166" t="s">
        <v>8155</v>
      </c>
      <c r="F244" s="166" t="s">
        <v>8156</v>
      </c>
    </row>
    <row r="245" spans="2:6" x14ac:dyDescent="0.25">
      <c r="B245" s="46" t="s">
        <v>2994</v>
      </c>
      <c r="C245" s="40" t="s">
        <v>530</v>
      </c>
      <c r="E245" s="166" t="s">
        <v>8157</v>
      </c>
      <c r="F245" s="166" t="s">
        <v>435</v>
      </c>
    </row>
    <row r="246" spans="2:6" x14ac:dyDescent="0.25">
      <c r="B246" s="46" t="s">
        <v>2995</v>
      </c>
      <c r="C246" s="40" t="s">
        <v>531</v>
      </c>
      <c r="E246" s="166" t="s">
        <v>8158</v>
      </c>
      <c r="F246" s="166" t="s">
        <v>8159</v>
      </c>
    </row>
    <row r="247" spans="2:6" x14ac:dyDescent="0.25">
      <c r="B247" s="46" t="s">
        <v>2996</v>
      </c>
      <c r="C247" s="40" t="s">
        <v>532</v>
      </c>
      <c r="E247" s="166" t="s">
        <v>8160</v>
      </c>
      <c r="F247" s="166" t="s">
        <v>436</v>
      </c>
    </row>
    <row r="248" spans="2:6" x14ac:dyDescent="0.25">
      <c r="B248" s="46" t="s">
        <v>2997</v>
      </c>
      <c r="C248" s="40" t="s">
        <v>533</v>
      </c>
      <c r="E248" s="166" t="s">
        <v>8161</v>
      </c>
      <c r="F248" s="166" t="s">
        <v>8162</v>
      </c>
    </row>
    <row r="249" spans="2:6" x14ac:dyDescent="0.25">
      <c r="B249" s="46" t="s">
        <v>2998</v>
      </c>
      <c r="C249" s="40" t="s">
        <v>534</v>
      </c>
      <c r="E249" s="166" t="s">
        <v>8163</v>
      </c>
      <c r="F249" s="166" t="s">
        <v>437</v>
      </c>
    </row>
    <row r="250" spans="2:6" x14ac:dyDescent="0.25">
      <c r="B250" s="46" t="s">
        <v>2999</v>
      </c>
      <c r="C250" s="40" t="s">
        <v>535</v>
      </c>
      <c r="E250" s="166" t="s">
        <v>8164</v>
      </c>
      <c r="F250" s="166" t="s">
        <v>8165</v>
      </c>
    </row>
    <row r="251" spans="2:6" x14ac:dyDescent="0.25">
      <c r="B251" s="46" t="s">
        <v>3000</v>
      </c>
      <c r="C251" s="40" t="s">
        <v>536</v>
      </c>
      <c r="E251" s="166" t="s">
        <v>8166</v>
      </c>
      <c r="F251" s="166" t="s">
        <v>438</v>
      </c>
    </row>
    <row r="252" spans="2:6" x14ac:dyDescent="0.25">
      <c r="B252" s="46" t="s">
        <v>3001</v>
      </c>
      <c r="C252" s="40" t="s">
        <v>537</v>
      </c>
      <c r="E252" s="166" t="s">
        <v>8167</v>
      </c>
      <c r="F252" s="166" t="s">
        <v>8168</v>
      </c>
    </row>
    <row r="253" spans="2:6" x14ac:dyDescent="0.25">
      <c r="B253" s="46" t="s">
        <v>3002</v>
      </c>
      <c r="C253" s="40" t="s">
        <v>538</v>
      </c>
      <c r="E253" s="166" t="s">
        <v>8169</v>
      </c>
      <c r="F253" s="166" t="s">
        <v>439</v>
      </c>
    </row>
    <row r="254" spans="2:6" x14ac:dyDescent="0.25">
      <c r="B254" s="46" t="s">
        <v>3003</v>
      </c>
      <c r="C254" s="40" t="s">
        <v>539</v>
      </c>
      <c r="E254" s="166" t="s">
        <v>8170</v>
      </c>
      <c r="F254" s="166" t="s">
        <v>8171</v>
      </c>
    </row>
    <row r="255" spans="2:6" x14ac:dyDescent="0.25">
      <c r="B255" s="46" t="s">
        <v>3004</v>
      </c>
      <c r="C255" s="40" t="s">
        <v>541</v>
      </c>
      <c r="E255" s="166" t="s">
        <v>8172</v>
      </c>
      <c r="F255" s="166" t="s">
        <v>440</v>
      </c>
    </row>
    <row r="256" spans="2:6" x14ac:dyDescent="0.25">
      <c r="B256" s="46" t="s">
        <v>3005</v>
      </c>
      <c r="C256" s="40" t="s">
        <v>542</v>
      </c>
      <c r="E256" s="166" t="s">
        <v>8173</v>
      </c>
      <c r="F256" s="166" t="s">
        <v>8174</v>
      </c>
    </row>
    <row r="257" spans="2:6" x14ac:dyDescent="0.25">
      <c r="B257" s="46" t="s">
        <v>3006</v>
      </c>
      <c r="C257" s="40" t="s">
        <v>543</v>
      </c>
      <c r="E257" s="166" t="s">
        <v>8175</v>
      </c>
      <c r="F257" s="166" t="s">
        <v>441</v>
      </c>
    </row>
    <row r="258" spans="2:6" x14ac:dyDescent="0.25">
      <c r="B258" s="46" t="s">
        <v>3007</v>
      </c>
      <c r="C258" s="40" t="s">
        <v>544</v>
      </c>
      <c r="E258" s="166" t="s">
        <v>8176</v>
      </c>
      <c r="F258" s="166" t="s">
        <v>8177</v>
      </c>
    </row>
    <row r="259" spans="2:6" x14ac:dyDescent="0.25">
      <c r="B259" s="46" t="s">
        <v>3008</v>
      </c>
      <c r="C259" s="40" t="s">
        <v>545</v>
      </c>
      <c r="E259" s="166" t="s">
        <v>8178</v>
      </c>
      <c r="F259" s="166" t="s">
        <v>442</v>
      </c>
    </row>
    <row r="260" spans="2:6" x14ac:dyDescent="0.25">
      <c r="B260" s="46" t="s">
        <v>3009</v>
      </c>
      <c r="C260" s="40" t="s">
        <v>546</v>
      </c>
      <c r="E260" s="166" t="s">
        <v>8179</v>
      </c>
      <c r="F260" s="166" t="s">
        <v>443</v>
      </c>
    </row>
    <row r="261" spans="2:6" x14ac:dyDescent="0.25">
      <c r="B261" s="46" t="s">
        <v>3010</v>
      </c>
      <c r="C261" s="40" t="s">
        <v>547</v>
      </c>
      <c r="E261" s="166" t="s">
        <v>8180</v>
      </c>
      <c r="F261" s="166" t="s">
        <v>8181</v>
      </c>
    </row>
    <row r="262" spans="2:6" x14ac:dyDescent="0.25">
      <c r="B262" s="46" t="s">
        <v>3011</v>
      </c>
      <c r="C262" s="40" t="s">
        <v>548</v>
      </c>
      <c r="E262" s="166" t="s">
        <v>8182</v>
      </c>
      <c r="F262" s="166" t="s">
        <v>444</v>
      </c>
    </row>
    <row r="263" spans="2:6" x14ac:dyDescent="0.25">
      <c r="B263" s="46" t="s">
        <v>3012</v>
      </c>
      <c r="C263" s="40" t="s">
        <v>549</v>
      </c>
      <c r="E263" s="166" t="s">
        <v>8183</v>
      </c>
      <c r="F263" s="166" t="s">
        <v>445</v>
      </c>
    </row>
    <row r="264" spans="2:6" x14ac:dyDescent="0.25">
      <c r="B264" s="46" t="s">
        <v>3013</v>
      </c>
      <c r="C264" s="40" t="s">
        <v>550</v>
      </c>
      <c r="E264" s="166" t="s">
        <v>8184</v>
      </c>
      <c r="F264" s="166" t="s">
        <v>8185</v>
      </c>
    </row>
    <row r="265" spans="2:6" x14ac:dyDescent="0.25">
      <c r="B265" s="46" t="s">
        <v>3014</v>
      </c>
      <c r="C265" s="40" t="s">
        <v>551</v>
      </c>
      <c r="E265" s="166" t="s">
        <v>8186</v>
      </c>
      <c r="F265" s="166" t="s">
        <v>446</v>
      </c>
    </row>
    <row r="266" spans="2:6" x14ac:dyDescent="0.25">
      <c r="B266" s="46" t="s">
        <v>3015</v>
      </c>
      <c r="C266" s="40" t="s">
        <v>552</v>
      </c>
      <c r="E266" s="166" t="s">
        <v>8187</v>
      </c>
      <c r="F266" s="166" t="s">
        <v>8188</v>
      </c>
    </row>
    <row r="267" spans="2:6" x14ac:dyDescent="0.25">
      <c r="B267" s="46" t="s">
        <v>3016</v>
      </c>
      <c r="C267" s="40" t="s">
        <v>553</v>
      </c>
      <c r="E267" s="166" t="s">
        <v>8189</v>
      </c>
      <c r="F267" s="166" t="s">
        <v>447</v>
      </c>
    </row>
    <row r="268" spans="2:6" x14ac:dyDescent="0.25">
      <c r="B268" s="46" t="s">
        <v>3017</v>
      </c>
      <c r="C268" s="40" t="s">
        <v>554</v>
      </c>
      <c r="E268" s="166" t="s">
        <v>8190</v>
      </c>
      <c r="F268" s="166" t="s">
        <v>8191</v>
      </c>
    </row>
    <row r="269" spans="2:6" x14ac:dyDescent="0.25">
      <c r="B269" s="46" t="s">
        <v>3018</v>
      </c>
      <c r="C269" s="40" t="s">
        <v>555</v>
      </c>
      <c r="E269" s="166" t="s">
        <v>8192</v>
      </c>
      <c r="F269" s="166" t="s">
        <v>448</v>
      </c>
    </row>
    <row r="270" spans="2:6" x14ac:dyDescent="0.25">
      <c r="B270" s="46" t="s">
        <v>3019</v>
      </c>
      <c r="C270" s="40" t="s">
        <v>556</v>
      </c>
      <c r="E270" s="166" t="s">
        <v>8193</v>
      </c>
      <c r="F270" s="166" t="s">
        <v>449</v>
      </c>
    </row>
    <row r="271" spans="2:6" x14ac:dyDescent="0.25">
      <c r="B271" s="46" t="s">
        <v>3020</v>
      </c>
      <c r="C271" s="40" t="s">
        <v>557</v>
      </c>
      <c r="E271" s="166" t="s">
        <v>8194</v>
      </c>
      <c r="F271" s="166" t="s">
        <v>8195</v>
      </c>
    </row>
    <row r="272" spans="2:6" x14ac:dyDescent="0.25">
      <c r="B272" s="46" t="s">
        <v>3021</v>
      </c>
      <c r="C272" s="40" t="s">
        <v>558</v>
      </c>
      <c r="E272" s="166" t="s">
        <v>8196</v>
      </c>
      <c r="F272" s="166" t="s">
        <v>450</v>
      </c>
    </row>
    <row r="273" spans="2:6" x14ac:dyDescent="0.25">
      <c r="B273" s="46" t="s">
        <v>3022</v>
      </c>
      <c r="C273" s="40" t="s">
        <v>559</v>
      </c>
      <c r="E273" s="166" t="s">
        <v>8197</v>
      </c>
      <c r="F273" s="166" t="s">
        <v>451</v>
      </c>
    </row>
    <row r="274" spans="2:6" x14ac:dyDescent="0.25">
      <c r="B274" s="46" t="s">
        <v>3023</v>
      </c>
      <c r="C274" s="40" t="s">
        <v>560</v>
      </c>
      <c r="E274" s="166" t="s">
        <v>8198</v>
      </c>
      <c r="F274" s="166" t="s">
        <v>8199</v>
      </c>
    </row>
    <row r="275" spans="2:6" x14ac:dyDescent="0.25">
      <c r="B275" s="46" t="s">
        <v>3024</v>
      </c>
      <c r="C275" s="40" t="s">
        <v>561</v>
      </c>
      <c r="E275" s="166" t="s">
        <v>8200</v>
      </c>
      <c r="F275" s="166" t="s">
        <v>452</v>
      </c>
    </row>
    <row r="276" spans="2:6" x14ac:dyDescent="0.25">
      <c r="B276" s="46" t="s">
        <v>3025</v>
      </c>
      <c r="C276" s="40" t="s">
        <v>562</v>
      </c>
      <c r="E276" s="166" t="s">
        <v>8201</v>
      </c>
      <c r="F276" s="166" t="s">
        <v>453</v>
      </c>
    </row>
    <row r="277" spans="2:6" x14ac:dyDescent="0.25">
      <c r="B277" s="46" t="s">
        <v>3026</v>
      </c>
      <c r="C277" s="40" t="s">
        <v>563</v>
      </c>
      <c r="E277" s="166" t="s">
        <v>8202</v>
      </c>
      <c r="F277" s="166" t="s">
        <v>8203</v>
      </c>
    </row>
    <row r="278" spans="2:6" x14ac:dyDescent="0.25">
      <c r="B278" s="46" t="s">
        <v>3027</v>
      </c>
      <c r="C278" s="40" t="s">
        <v>564</v>
      </c>
      <c r="E278" s="166" t="s">
        <v>8204</v>
      </c>
      <c r="F278" s="166" t="s">
        <v>454</v>
      </c>
    </row>
    <row r="279" spans="2:6" x14ac:dyDescent="0.25">
      <c r="B279" s="46" t="s">
        <v>3028</v>
      </c>
      <c r="C279" s="40" t="s">
        <v>565</v>
      </c>
      <c r="E279" s="166" t="s">
        <v>8205</v>
      </c>
      <c r="F279" s="166" t="s">
        <v>8206</v>
      </c>
    </row>
    <row r="280" spans="2:6" x14ac:dyDescent="0.25">
      <c r="B280" s="46" t="s">
        <v>3029</v>
      </c>
      <c r="C280" s="40" t="s">
        <v>566</v>
      </c>
      <c r="E280" s="166" t="s">
        <v>8207</v>
      </c>
      <c r="F280" s="166" t="s">
        <v>455</v>
      </c>
    </row>
    <row r="281" spans="2:6" x14ac:dyDescent="0.25">
      <c r="B281" s="46" t="s">
        <v>3030</v>
      </c>
      <c r="C281" s="40" t="s">
        <v>567</v>
      </c>
      <c r="E281" s="166" t="s">
        <v>8208</v>
      </c>
      <c r="F281" s="166" t="s">
        <v>8209</v>
      </c>
    </row>
    <row r="282" spans="2:6" x14ac:dyDescent="0.25">
      <c r="B282" s="46" t="s">
        <v>3031</v>
      </c>
      <c r="C282" s="40" t="s">
        <v>569</v>
      </c>
      <c r="E282" s="166" t="s">
        <v>8210</v>
      </c>
      <c r="F282" s="166" t="s">
        <v>456</v>
      </c>
    </row>
    <row r="283" spans="2:6" x14ac:dyDescent="0.25">
      <c r="B283" s="46" t="s">
        <v>3032</v>
      </c>
      <c r="C283" s="40" t="s">
        <v>570</v>
      </c>
      <c r="E283" s="166" t="s">
        <v>8211</v>
      </c>
      <c r="F283" s="166" t="s">
        <v>8212</v>
      </c>
    </row>
    <row r="284" spans="2:6" x14ac:dyDescent="0.25">
      <c r="B284" s="46" t="s">
        <v>3033</v>
      </c>
      <c r="C284" s="40" t="s">
        <v>571</v>
      </c>
      <c r="E284" s="166" t="s">
        <v>8213</v>
      </c>
      <c r="F284" s="166" t="s">
        <v>457</v>
      </c>
    </row>
    <row r="285" spans="2:6" x14ac:dyDescent="0.25">
      <c r="B285" s="46" t="s">
        <v>3034</v>
      </c>
      <c r="C285" s="40" t="s">
        <v>572</v>
      </c>
      <c r="E285" s="166" t="s">
        <v>8214</v>
      </c>
      <c r="F285" s="166" t="s">
        <v>458</v>
      </c>
    </row>
    <row r="286" spans="2:6" x14ac:dyDescent="0.25">
      <c r="B286" s="46" t="s">
        <v>3035</v>
      </c>
      <c r="C286" s="40" t="s">
        <v>573</v>
      </c>
      <c r="E286" s="166" t="s">
        <v>8215</v>
      </c>
      <c r="F286" s="166" t="s">
        <v>459</v>
      </c>
    </row>
    <row r="287" spans="2:6" x14ac:dyDescent="0.25">
      <c r="B287" s="46" t="s">
        <v>3036</v>
      </c>
      <c r="C287" s="40" t="s">
        <v>574</v>
      </c>
      <c r="E287" s="166" t="s">
        <v>8216</v>
      </c>
      <c r="F287" s="166" t="s">
        <v>8217</v>
      </c>
    </row>
    <row r="288" spans="2:6" x14ac:dyDescent="0.25">
      <c r="B288" s="46" t="s">
        <v>3037</v>
      </c>
      <c r="C288" s="40" t="s">
        <v>575</v>
      </c>
      <c r="E288" s="166" t="s">
        <v>8218</v>
      </c>
      <c r="F288" s="166" t="s">
        <v>460</v>
      </c>
    </row>
    <row r="289" spans="2:6" x14ac:dyDescent="0.25">
      <c r="B289" s="46" t="s">
        <v>3038</v>
      </c>
      <c r="C289" s="40" t="s">
        <v>576</v>
      </c>
      <c r="E289" s="166" t="s">
        <v>8219</v>
      </c>
      <c r="F289" s="166" t="s">
        <v>461</v>
      </c>
    </row>
    <row r="290" spans="2:6" x14ac:dyDescent="0.25">
      <c r="B290" s="46" t="s">
        <v>3039</v>
      </c>
      <c r="C290" s="40" t="s">
        <v>577</v>
      </c>
      <c r="E290" s="166" t="s">
        <v>8220</v>
      </c>
      <c r="F290" s="166" t="s">
        <v>8221</v>
      </c>
    </row>
    <row r="291" spans="2:6" x14ac:dyDescent="0.25">
      <c r="B291" s="46" t="s">
        <v>3040</v>
      </c>
      <c r="C291" s="40" t="s">
        <v>578</v>
      </c>
      <c r="E291" s="166" t="s">
        <v>8222</v>
      </c>
      <c r="F291" s="166" t="s">
        <v>462</v>
      </c>
    </row>
    <row r="292" spans="2:6" x14ac:dyDescent="0.25">
      <c r="B292" s="46" t="s">
        <v>3041</v>
      </c>
      <c r="C292" s="40" t="s">
        <v>579</v>
      </c>
      <c r="E292" s="166" t="s">
        <v>8223</v>
      </c>
      <c r="F292" s="166" t="s">
        <v>8224</v>
      </c>
    </row>
    <row r="293" spans="2:6" x14ac:dyDescent="0.25">
      <c r="B293" s="46" t="s">
        <v>3042</v>
      </c>
      <c r="C293" s="40" t="s">
        <v>580</v>
      </c>
      <c r="E293" s="166" t="s">
        <v>8225</v>
      </c>
      <c r="F293" s="166" t="s">
        <v>463</v>
      </c>
    </row>
    <row r="294" spans="2:6" x14ac:dyDescent="0.25">
      <c r="B294" s="46" t="s">
        <v>3043</v>
      </c>
      <c r="C294" s="40" t="s">
        <v>581</v>
      </c>
      <c r="E294" s="166" t="s">
        <v>8226</v>
      </c>
      <c r="F294" s="166" t="s">
        <v>8227</v>
      </c>
    </row>
    <row r="295" spans="2:6" x14ac:dyDescent="0.25">
      <c r="B295" s="46" t="s">
        <v>3044</v>
      </c>
      <c r="C295" s="40" t="s">
        <v>582</v>
      </c>
      <c r="E295" s="166" t="s">
        <v>8228</v>
      </c>
      <c r="F295" s="166" t="s">
        <v>464</v>
      </c>
    </row>
    <row r="296" spans="2:6" x14ac:dyDescent="0.25">
      <c r="B296" s="46" t="s">
        <v>3045</v>
      </c>
      <c r="C296" s="40" t="s">
        <v>583</v>
      </c>
      <c r="E296" s="166" t="s">
        <v>8229</v>
      </c>
      <c r="F296" s="166" t="s">
        <v>8230</v>
      </c>
    </row>
    <row r="297" spans="2:6" x14ac:dyDescent="0.25">
      <c r="B297" s="46" t="s">
        <v>3046</v>
      </c>
      <c r="C297" s="40" t="s">
        <v>584</v>
      </c>
      <c r="E297" s="166" t="s">
        <v>8231</v>
      </c>
      <c r="F297" s="166" t="s">
        <v>465</v>
      </c>
    </row>
    <row r="298" spans="2:6" x14ac:dyDescent="0.25">
      <c r="B298" s="46" t="s">
        <v>3047</v>
      </c>
      <c r="C298" s="40" t="s">
        <v>585</v>
      </c>
      <c r="E298" s="166" t="s">
        <v>8232</v>
      </c>
      <c r="F298" s="166" t="s">
        <v>466</v>
      </c>
    </row>
    <row r="299" spans="2:6" x14ac:dyDescent="0.25">
      <c r="B299" s="46" t="s">
        <v>3048</v>
      </c>
      <c r="C299" s="40" t="s">
        <v>586</v>
      </c>
      <c r="E299" s="166" t="s">
        <v>8233</v>
      </c>
      <c r="F299" s="166" t="s">
        <v>8234</v>
      </c>
    </row>
    <row r="300" spans="2:6" x14ac:dyDescent="0.25">
      <c r="B300" s="46" t="s">
        <v>3049</v>
      </c>
      <c r="C300" s="40" t="s">
        <v>587</v>
      </c>
      <c r="E300" s="166" t="s">
        <v>8235</v>
      </c>
      <c r="F300" s="166" t="s">
        <v>8236</v>
      </c>
    </row>
    <row r="301" spans="2:6" x14ac:dyDescent="0.25">
      <c r="B301" s="46" t="s">
        <v>3050</v>
      </c>
      <c r="C301" s="40" t="s">
        <v>588</v>
      </c>
      <c r="E301" s="166" t="s">
        <v>8237</v>
      </c>
      <c r="F301" s="166" t="s">
        <v>8238</v>
      </c>
    </row>
    <row r="302" spans="2:6" x14ac:dyDescent="0.25">
      <c r="B302" s="46" t="s">
        <v>3051</v>
      </c>
      <c r="C302" s="40" t="s">
        <v>589</v>
      </c>
      <c r="E302" s="166" t="s">
        <v>8239</v>
      </c>
      <c r="F302" s="166" t="s">
        <v>467</v>
      </c>
    </row>
    <row r="303" spans="2:6" x14ac:dyDescent="0.25">
      <c r="B303" s="46" t="s">
        <v>3052</v>
      </c>
      <c r="C303" s="40" t="s">
        <v>590</v>
      </c>
      <c r="E303" s="166" t="s">
        <v>8240</v>
      </c>
      <c r="F303" s="166" t="s">
        <v>8241</v>
      </c>
    </row>
    <row r="304" spans="2:6" x14ac:dyDescent="0.25">
      <c r="B304" s="46" t="s">
        <v>3053</v>
      </c>
      <c r="C304" s="40" t="s">
        <v>591</v>
      </c>
      <c r="E304" s="166" t="s">
        <v>8242</v>
      </c>
      <c r="F304" s="166" t="s">
        <v>8243</v>
      </c>
    </row>
    <row r="305" spans="2:6" x14ac:dyDescent="0.25">
      <c r="B305" s="46" t="s">
        <v>3054</v>
      </c>
      <c r="C305" s="40" t="s">
        <v>592</v>
      </c>
      <c r="E305" s="166" t="s">
        <v>8244</v>
      </c>
      <c r="F305" s="166" t="s">
        <v>468</v>
      </c>
    </row>
    <row r="306" spans="2:6" x14ac:dyDescent="0.25">
      <c r="B306" s="46" t="s">
        <v>3055</v>
      </c>
      <c r="C306" s="40" t="s">
        <v>593</v>
      </c>
      <c r="E306" s="166" t="s">
        <v>8245</v>
      </c>
      <c r="F306" s="166" t="s">
        <v>8246</v>
      </c>
    </row>
    <row r="307" spans="2:6" x14ac:dyDescent="0.25">
      <c r="B307" s="46" t="s">
        <v>3056</v>
      </c>
      <c r="C307" s="40" t="s">
        <v>594</v>
      </c>
      <c r="E307" s="166" t="s">
        <v>8247</v>
      </c>
      <c r="F307" s="166" t="s">
        <v>469</v>
      </c>
    </row>
    <row r="308" spans="2:6" x14ac:dyDescent="0.25">
      <c r="B308" s="46" t="s">
        <v>3057</v>
      </c>
      <c r="C308" s="40" t="s">
        <v>596</v>
      </c>
      <c r="E308" s="166" t="s">
        <v>8248</v>
      </c>
      <c r="F308" s="166" t="s">
        <v>8249</v>
      </c>
    </row>
    <row r="309" spans="2:6" x14ac:dyDescent="0.25">
      <c r="B309" s="46" t="s">
        <v>3058</v>
      </c>
      <c r="C309" s="40" t="s">
        <v>597</v>
      </c>
      <c r="E309" s="166" t="s">
        <v>8250</v>
      </c>
      <c r="F309" s="166" t="s">
        <v>470</v>
      </c>
    </row>
    <row r="310" spans="2:6" x14ac:dyDescent="0.25">
      <c r="B310" s="46" t="s">
        <v>3059</v>
      </c>
      <c r="C310" s="40" t="s">
        <v>598</v>
      </c>
      <c r="E310" s="166" t="s">
        <v>8251</v>
      </c>
      <c r="F310" s="166" t="s">
        <v>8252</v>
      </c>
    </row>
    <row r="311" spans="2:6" x14ac:dyDescent="0.25">
      <c r="B311" s="46" t="s">
        <v>3060</v>
      </c>
      <c r="C311" s="40" t="s">
        <v>599</v>
      </c>
      <c r="E311" s="166" t="s">
        <v>8253</v>
      </c>
      <c r="F311" s="166" t="s">
        <v>8254</v>
      </c>
    </row>
    <row r="312" spans="2:6" x14ac:dyDescent="0.25">
      <c r="B312" s="46" t="s">
        <v>3061</v>
      </c>
      <c r="C312" s="40" t="s">
        <v>600</v>
      </c>
      <c r="E312" s="166" t="s">
        <v>8255</v>
      </c>
      <c r="F312" s="166" t="s">
        <v>471</v>
      </c>
    </row>
    <row r="313" spans="2:6" x14ac:dyDescent="0.25">
      <c r="B313" s="46" t="s">
        <v>3062</v>
      </c>
      <c r="C313" s="40" t="s">
        <v>601</v>
      </c>
      <c r="E313" s="166" t="s">
        <v>8256</v>
      </c>
      <c r="F313" s="166" t="s">
        <v>472</v>
      </c>
    </row>
    <row r="314" spans="2:6" x14ac:dyDescent="0.25">
      <c r="B314" s="46" t="s">
        <v>3063</v>
      </c>
      <c r="C314" s="40" t="s">
        <v>602</v>
      </c>
      <c r="E314" s="166" t="s">
        <v>8257</v>
      </c>
      <c r="F314" s="166" t="s">
        <v>8258</v>
      </c>
    </row>
    <row r="315" spans="2:6" x14ac:dyDescent="0.25">
      <c r="B315" s="46" t="s">
        <v>3064</v>
      </c>
      <c r="C315" s="40" t="s">
        <v>603</v>
      </c>
      <c r="E315" s="166" t="s">
        <v>8259</v>
      </c>
      <c r="F315" s="166" t="s">
        <v>473</v>
      </c>
    </row>
    <row r="316" spans="2:6" x14ac:dyDescent="0.25">
      <c r="B316" s="46" t="s">
        <v>3065</v>
      </c>
      <c r="C316" s="40" t="s">
        <v>604</v>
      </c>
      <c r="E316" s="166" t="s">
        <v>8260</v>
      </c>
      <c r="F316" s="166" t="s">
        <v>474</v>
      </c>
    </row>
    <row r="317" spans="2:6" x14ac:dyDescent="0.25">
      <c r="B317" s="46" t="s">
        <v>3066</v>
      </c>
      <c r="C317" s="40" t="s">
        <v>605</v>
      </c>
      <c r="E317" s="166" t="s">
        <v>8261</v>
      </c>
      <c r="F317" s="166" t="s">
        <v>475</v>
      </c>
    </row>
    <row r="318" spans="2:6" x14ac:dyDescent="0.25">
      <c r="B318" s="46" t="s">
        <v>3067</v>
      </c>
      <c r="C318" s="40" t="s">
        <v>606</v>
      </c>
      <c r="E318" s="166" t="s">
        <v>8262</v>
      </c>
      <c r="F318" s="166" t="s">
        <v>8263</v>
      </c>
    </row>
    <row r="319" spans="2:6" ht="15.75" thickBot="1" x14ac:dyDescent="0.3">
      <c r="B319" s="47" t="s">
        <v>3068</v>
      </c>
      <c r="C319" s="41" t="s">
        <v>607</v>
      </c>
      <c r="E319" s="166" t="s">
        <v>8264</v>
      </c>
      <c r="F319" s="166" t="s">
        <v>476</v>
      </c>
    </row>
    <row r="320" spans="2:6" x14ac:dyDescent="0.25">
      <c r="B320" s="53" t="s">
        <v>2753</v>
      </c>
      <c r="C320" s="43" t="s">
        <v>289</v>
      </c>
      <c r="E320" s="166" t="s">
        <v>8265</v>
      </c>
      <c r="F320" s="166" t="s">
        <v>8266</v>
      </c>
    </row>
    <row r="321" spans="2:8" ht="15.75" thickBot="1" x14ac:dyDescent="0.3">
      <c r="E321" s="166" t="s">
        <v>8267</v>
      </c>
      <c r="F321" s="166" t="s">
        <v>477</v>
      </c>
    </row>
    <row r="322" spans="2:8" ht="16.5" thickBot="1" x14ac:dyDescent="0.3">
      <c r="B322" s="89" t="s">
        <v>608</v>
      </c>
      <c r="C322" s="50"/>
      <c r="E322" s="166" t="s">
        <v>8268</v>
      </c>
      <c r="F322" s="166" t="s">
        <v>478</v>
      </c>
    </row>
    <row r="323" spans="2:8" x14ac:dyDescent="0.25">
      <c r="B323" s="45" t="s">
        <v>3070</v>
      </c>
      <c r="C323" s="37" t="s">
        <v>609</v>
      </c>
      <c r="E323" s="166" t="s">
        <v>8269</v>
      </c>
      <c r="F323" s="166" t="s">
        <v>479</v>
      </c>
    </row>
    <row r="324" spans="2:8" ht="15.75" thickBot="1" x14ac:dyDescent="0.3">
      <c r="B324" s="47" t="s">
        <v>3069</v>
      </c>
      <c r="C324" s="38" t="s">
        <v>610</v>
      </c>
      <c r="E324" s="166" t="s">
        <v>8270</v>
      </c>
      <c r="F324" s="166" t="s">
        <v>8271</v>
      </c>
    </row>
    <row r="325" spans="2:8" ht="15.75" thickBot="1" x14ac:dyDescent="0.3">
      <c r="E325" s="166" t="s">
        <v>8272</v>
      </c>
      <c r="F325" s="166" t="s">
        <v>480</v>
      </c>
    </row>
    <row r="326" spans="2:8" ht="15.75" thickBot="1" x14ac:dyDescent="0.3">
      <c r="B326" s="51" t="s">
        <v>611</v>
      </c>
      <c r="C326" s="52"/>
      <c r="E326" s="166" t="s">
        <v>8273</v>
      </c>
      <c r="F326" s="166" t="s">
        <v>8274</v>
      </c>
    </row>
    <row r="327" spans="2:8" x14ac:dyDescent="0.25">
      <c r="B327" s="90" t="s">
        <v>286</v>
      </c>
      <c r="C327" s="91" t="s">
        <v>612</v>
      </c>
      <c r="E327" s="166" t="s">
        <v>8275</v>
      </c>
      <c r="F327" s="166" t="s">
        <v>481</v>
      </c>
    </row>
    <row r="328" spans="2:8" x14ac:dyDescent="0.25">
      <c r="B328" s="46" t="s">
        <v>625</v>
      </c>
      <c r="C328" s="39" t="s">
        <v>626</v>
      </c>
      <c r="E328" s="166" t="s">
        <v>8276</v>
      </c>
      <c r="F328" s="166" t="s">
        <v>482</v>
      </c>
    </row>
    <row r="329" spans="2:8" x14ac:dyDescent="0.25">
      <c r="B329" s="46" t="s">
        <v>631</v>
      </c>
      <c r="C329" s="39" t="s">
        <v>632</v>
      </c>
      <c r="E329" s="166" t="s">
        <v>8277</v>
      </c>
      <c r="F329" s="166" t="s">
        <v>8278</v>
      </c>
    </row>
    <row r="330" spans="2:8" x14ac:dyDescent="0.25">
      <c r="B330" s="46" t="s">
        <v>633</v>
      </c>
      <c r="C330" s="39" t="s">
        <v>634</v>
      </c>
      <c r="E330" s="166" t="s">
        <v>8279</v>
      </c>
      <c r="F330" s="166" t="s">
        <v>483</v>
      </c>
    </row>
    <row r="331" spans="2:8" x14ac:dyDescent="0.25">
      <c r="B331" s="46" t="s">
        <v>635</v>
      </c>
      <c r="C331" s="39" t="s">
        <v>636</v>
      </c>
      <c r="E331" s="166" t="s">
        <v>8280</v>
      </c>
      <c r="F331" s="166" t="s">
        <v>8281</v>
      </c>
    </row>
    <row r="332" spans="2:8" x14ac:dyDescent="0.25">
      <c r="B332" s="46" t="s">
        <v>637</v>
      </c>
      <c r="C332" s="39" t="s">
        <v>638</v>
      </c>
      <c r="E332" s="166" t="s">
        <v>8282</v>
      </c>
      <c r="F332" s="166" t="s">
        <v>8283</v>
      </c>
    </row>
    <row r="333" spans="2:8" x14ac:dyDescent="0.25">
      <c r="B333" s="46" t="s">
        <v>639</v>
      </c>
      <c r="C333" s="39" t="s">
        <v>640</v>
      </c>
      <c r="E333" s="133" t="s">
        <v>8284</v>
      </c>
      <c r="F333" s="133" t="s">
        <v>484</v>
      </c>
    </row>
    <row r="334" spans="2:8" x14ac:dyDescent="0.25">
      <c r="B334" s="46" t="s">
        <v>702</v>
      </c>
      <c r="C334" s="39" t="s">
        <v>703</v>
      </c>
      <c r="E334" s="133" t="s">
        <v>8285</v>
      </c>
      <c r="F334" s="133" t="s">
        <v>8286</v>
      </c>
      <c r="G334" s="24"/>
      <c r="H334" s="24"/>
    </row>
    <row r="335" spans="2:8" x14ac:dyDescent="0.25">
      <c r="B335" s="46" t="s">
        <v>704</v>
      </c>
      <c r="C335" s="39" t="s">
        <v>705</v>
      </c>
      <c r="E335" s="133" t="s">
        <v>8287</v>
      </c>
      <c r="F335" s="133" t="s">
        <v>485</v>
      </c>
      <c r="G335" s="24"/>
      <c r="H335" s="24"/>
    </row>
    <row r="336" spans="2:8" x14ac:dyDescent="0.25">
      <c r="B336" s="46" t="s">
        <v>647</v>
      </c>
      <c r="C336" s="39" t="s">
        <v>648</v>
      </c>
      <c r="E336" s="92" t="s">
        <v>8288</v>
      </c>
      <c r="F336" s="92" t="s">
        <v>486</v>
      </c>
      <c r="G336" s="24"/>
      <c r="H336" s="24"/>
    </row>
    <row r="337" spans="2:8" x14ac:dyDescent="0.25">
      <c r="B337" s="46" t="s">
        <v>641</v>
      </c>
      <c r="C337" s="39" t="s">
        <v>642</v>
      </c>
      <c r="E337" s="133" t="s">
        <v>8289</v>
      </c>
      <c r="F337" s="133" t="s">
        <v>8290</v>
      </c>
      <c r="G337" s="24"/>
      <c r="H337" s="24"/>
    </row>
    <row r="338" spans="2:8" x14ac:dyDescent="0.25">
      <c r="B338" s="46" t="s">
        <v>645</v>
      </c>
      <c r="C338" s="39" t="s">
        <v>646</v>
      </c>
      <c r="E338" s="133" t="s">
        <v>8291</v>
      </c>
      <c r="F338" s="133" t="s">
        <v>487</v>
      </c>
      <c r="G338" s="24"/>
      <c r="H338" s="24"/>
    </row>
    <row r="339" spans="2:8" x14ac:dyDescent="0.25">
      <c r="B339" s="46" t="s">
        <v>643</v>
      </c>
      <c r="C339" s="39" t="s">
        <v>644</v>
      </c>
      <c r="E339" s="166" t="s">
        <v>8292</v>
      </c>
      <c r="F339" s="166" t="s">
        <v>8293</v>
      </c>
      <c r="G339" s="24"/>
      <c r="H339" s="24"/>
    </row>
    <row r="340" spans="2:8" x14ac:dyDescent="0.25">
      <c r="B340" s="46" t="s">
        <v>649</v>
      </c>
      <c r="C340" s="39" t="s">
        <v>650</v>
      </c>
      <c r="E340" s="166" t="s">
        <v>8294</v>
      </c>
      <c r="F340" s="166" t="s">
        <v>488</v>
      </c>
    </row>
    <row r="341" spans="2:8" x14ac:dyDescent="0.25">
      <c r="B341" s="46" t="s">
        <v>624</v>
      </c>
      <c r="C341" s="39">
        <v>30</v>
      </c>
      <c r="E341" s="166" t="s">
        <v>8295</v>
      </c>
      <c r="F341" s="166" t="s">
        <v>489</v>
      </c>
    </row>
    <row r="342" spans="2:8" x14ac:dyDescent="0.25">
      <c r="B342" s="46" t="s">
        <v>657</v>
      </c>
      <c r="C342" s="39" t="s">
        <v>658</v>
      </c>
      <c r="E342" s="166" t="s">
        <v>8296</v>
      </c>
      <c r="F342" s="166" t="s">
        <v>490</v>
      </c>
    </row>
    <row r="343" spans="2:8" x14ac:dyDescent="0.25">
      <c r="B343" s="46" t="s">
        <v>651</v>
      </c>
      <c r="C343" s="39" t="s">
        <v>652</v>
      </c>
      <c r="E343" s="166" t="s">
        <v>8297</v>
      </c>
      <c r="F343" s="166" t="s">
        <v>8298</v>
      </c>
    </row>
    <row r="344" spans="2:8" x14ac:dyDescent="0.25">
      <c r="B344" s="46" t="s">
        <v>655</v>
      </c>
      <c r="C344" s="39" t="s">
        <v>656</v>
      </c>
      <c r="E344" s="166" t="s">
        <v>8299</v>
      </c>
      <c r="F344" s="166" t="s">
        <v>491</v>
      </c>
    </row>
    <row r="345" spans="2:8" x14ac:dyDescent="0.25">
      <c r="B345" s="46" t="s">
        <v>653</v>
      </c>
      <c r="C345" s="39" t="s">
        <v>654</v>
      </c>
      <c r="E345" s="166" t="s">
        <v>8300</v>
      </c>
      <c r="F345" s="166" t="s">
        <v>8301</v>
      </c>
    </row>
    <row r="346" spans="2:8" x14ac:dyDescent="0.25">
      <c r="B346" s="46" t="s">
        <v>706</v>
      </c>
      <c r="C346" s="39" t="s">
        <v>707</v>
      </c>
      <c r="E346" s="166" t="s">
        <v>8302</v>
      </c>
      <c r="F346" s="166" t="s">
        <v>492</v>
      </c>
    </row>
    <row r="347" spans="2:8" x14ac:dyDescent="0.25">
      <c r="B347" s="46" t="s">
        <v>665</v>
      </c>
      <c r="C347" s="39" t="s">
        <v>666</v>
      </c>
      <c r="E347" s="166" t="s">
        <v>8303</v>
      </c>
      <c r="F347" s="166" t="s">
        <v>493</v>
      </c>
    </row>
    <row r="348" spans="2:8" x14ac:dyDescent="0.25">
      <c r="B348" s="46" t="s">
        <v>659</v>
      </c>
      <c r="C348" s="39" t="s">
        <v>660</v>
      </c>
      <c r="E348" s="166" t="s">
        <v>8304</v>
      </c>
      <c r="F348" s="166" t="s">
        <v>494</v>
      </c>
    </row>
    <row r="349" spans="2:8" x14ac:dyDescent="0.25">
      <c r="B349" s="46" t="s">
        <v>663</v>
      </c>
      <c r="C349" s="39" t="s">
        <v>664</v>
      </c>
      <c r="E349" s="166" t="s">
        <v>8305</v>
      </c>
      <c r="F349" s="166" t="s">
        <v>8306</v>
      </c>
    </row>
    <row r="350" spans="2:8" x14ac:dyDescent="0.25">
      <c r="B350" s="46" t="s">
        <v>661</v>
      </c>
      <c r="C350" s="39" t="s">
        <v>662</v>
      </c>
      <c r="E350" s="166" t="s">
        <v>8307</v>
      </c>
      <c r="F350" s="166" t="s">
        <v>495</v>
      </c>
    </row>
    <row r="351" spans="2:8" x14ac:dyDescent="0.25">
      <c r="B351" s="46" t="s">
        <v>629</v>
      </c>
      <c r="C351" s="39" t="s">
        <v>630</v>
      </c>
      <c r="E351" s="166" t="s">
        <v>8308</v>
      </c>
      <c r="F351" s="166" t="s">
        <v>8309</v>
      </c>
    </row>
    <row r="352" spans="2:8" x14ac:dyDescent="0.25">
      <c r="B352" s="46" t="s">
        <v>667</v>
      </c>
      <c r="C352" s="39" t="s">
        <v>668</v>
      </c>
      <c r="E352" s="166" t="s">
        <v>8310</v>
      </c>
      <c r="F352" s="166" t="s">
        <v>496</v>
      </c>
    </row>
    <row r="353" spans="2:6" x14ac:dyDescent="0.25">
      <c r="B353" s="46" t="s">
        <v>669</v>
      </c>
      <c r="C353" s="39" t="s">
        <v>670</v>
      </c>
      <c r="E353" s="166" t="s">
        <v>8311</v>
      </c>
      <c r="F353" s="166" t="s">
        <v>8312</v>
      </c>
    </row>
    <row r="354" spans="2:6" x14ac:dyDescent="0.25">
      <c r="B354" s="46" t="s">
        <v>671</v>
      </c>
      <c r="C354" s="39" t="s">
        <v>671</v>
      </c>
      <c r="E354" s="166" t="s">
        <v>8313</v>
      </c>
      <c r="F354" s="166" t="s">
        <v>497</v>
      </c>
    </row>
    <row r="355" spans="2:6" x14ac:dyDescent="0.25">
      <c r="B355" s="46" t="s">
        <v>672</v>
      </c>
      <c r="C355" s="39" t="s">
        <v>672</v>
      </c>
      <c r="E355" s="166" t="s">
        <v>8314</v>
      </c>
      <c r="F355" s="166" t="s">
        <v>8315</v>
      </c>
    </row>
    <row r="356" spans="2:6" x14ac:dyDescent="0.25">
      <c r="B356" s="93" t="s">
        <v>712</v>
      </c>
      <c r="C356" s="94" t="s">
        <v>713</v>
      </c>
      <c r="E356" s="166" t="s">
        <v>8316</v>
      </c>
      <c r="F356" s="166" t="s">
        <v>498</v>
      </c>
    </row>
    <row r="357" spans="2:6" x14ac:dyDescent="0.25">
      <c r="B357" s="46" t="s">
        <v>627</v>
      </c>
      <c r="C357" s="39" t="s">
        <v>628</v>
      </c>
      <c r="E357" s="166" t="s">
        <v>8317</v>
      </c>
      <c r="F357" s="166" t="s">
        <v>499</v>
      </c>
    </row>
    <row r="358" spans="2:6" x14ac:dyDescent="0.25">
      <c r="B358" s="46" t="s">
        <v>675</v>
      </c>
      <c r="C358" s="39" t="s">
        <v>675</v>
      </c>
      <c r="E358" s="166" t="s">
        <v>8318</v>
      </c>
      <c r="F358" s="166" t="s">
        <v>8319</v>
      </c>
    </row>
    <row r="359" spans="2:6" x14ac:dyDescent="0.25">
      <c r="B359" s="46" t="s">
        <v>673</v>
      </c>
      <c r="C359" s="39" t="s">
        <v>674</v>
      </c>
      <c r="E359" s="166" t="s">
        <v>8320</v>
      </c>
      <c r="F359" s="166" t="s">
        <v>500</v>
      </c>
    </row>
    <row r="360" spans="2:6" x14ac:dyDescent="0.25">
      <c r="B360" s="46" t="s">
        <v>676</v>
      </c>
      <c r="C360" s="39" t="s">
        <v>677</v>
      </c>
      <c r="E360" s="166" t="s">
        <v>8321</v>
      </c>
      <c r="F360" s="166" t="s">
        <v>8322</v>
      </c>
    </row>
    <row r="361" spans="2:6" x14ac:dyDescent="0.25">
      <c r="B361" s="46" t="s">
        <v>678</v>
      </c>
      <c r="C361" s="39" t="s">
        <v>679</v>
      </c>
      <c r="E361" s="166" t="s">
        <v>8323</v>
      </c>
      <c r="F361" s="166" t="s">
        <v>501</v>
      </c>
    </row>
    <row r="362" spans="2:6" x14ac:dyDescent="0.25">
      <c r="B362" s="46" t="s">
        <v>680</v>
      </c>
      <c r="C362" s="39" t="s">
        <v>681</v>
      </c>
      <c r="E362" s="166" t="s">
        <v>8324</v>
      </c>
      <c r="F362" s="166" t="s">
        <v>8325</v>
      </c>
    </row>
    <row r="363" spans="2:6" x14ac:dyDescent="0.25">
      <c r="B363" s="46" t="s">
        <v>682</v>
      </c>
      <c r="C363" s="39" t="s">
        <v>683</v>
      </c>
      <c r="E363" s="166" t="s">
        <v>8326</v>
      </c>
      <c r="F363" s="166" t="s">
        <v>502</v>
      </c>
    </row>
    <row r="364" spans="2:6" x14ac:dyDescent="0.25">
      <c r="B364" s="46" t="s">
        <v>684</v>
      </c>
      <c r="C364" s="39" t="s">
        <v>685</v>
      </c>
      <c r="E364" s="166" t="s">
        <v>8327</v>
      </c>
      <c r="F364" s="166" t="s">
        <v>8328</v>
      </c>
    </row>
    <row r="365" spans="2:6" x14ac:dyDescent="0.25">
      <c r="B365" s="46" t="s">
        <v>686</v>
      </c>
      <c r="C365" s="39" t="s">
        <v>687</v>
      </c>
      <c r="E365" s="166" t="s">
        <v>8329</v>
      </c>
      <c r="F365" s="166" t="s">
        <v>503</v>
      </c>
    </row>
    <row r="366" spans="2:6" x14ac:dyDescent="0.25">
      <c r="B366" s="46" t="s">
        <v>688</v>
      </c>
      <c r="C366" s="39" t="s">
        <v>689</v>
      </c>
      <c r="E366" s="166" t="s">
        <v>8330</v>
      </c>
      <c r="F366" s="166" t="s">
        <v>504</v>
      </c>
    </row>
    <row r="367" spans="2:6" x14ac:dyDescent="0.25">
      <c r="B367" s="46" t="s">
        <v>690</v>
      </c>
      <c r="C367" s="39" t="s">
        <v>691</v>
      </c>
      <c r="E367" s="166" t="s">
        <v>8331</v>
      </c>
      <c r="F367" s="166" t="s">
        <v>8332</v>
      </c>
    </row>
    <row r="368" spans="2:6" x14ac:dyDescent="0.25">
      <c r="B368" s="46" t="s">
        <v>692</v>
      </c>
      <c r="C368" s="39" t="s">
        <v>693</v>
      </c>
      <c r="E368" s="166" t="s">
        <v>8333</v>
      </c>
      <c r="F368" s="166" t="s">
        <v>8334</v>
      </c>
    </row>
    <row r="369" spans="2:6" x14ac:dyDescent="0.25">
      <c r="B369" s="46" t="s">
        <v>694</v>
      </c>
      <c r="C369" s="39" t="s">
        <v>695</v>
      </c>
      <c r="E369" s="166" t="s">
        <v>8335</v>
      </c>
      <c r="F369" s="166" t="s">
        <v>505</v>
      </c>
    </row>
    <row r="370" spans="2:6" x14ac:dyDescent="0.25">
      <c r="B370" s="46" t="s">
        <v>696</v>
      </c>
      <c r="C370" s="39" t="s">
        <v>697</v>
      </c>
      <c r="E370" s="166" t="s">
        <v>8336</v>
      </c>
      <c r="F370" s="166" t="s">
        <v>506</v>
      </c>
    </row>
    <row r="371" spans="2:6" x14ac:dyDescent="0.25">
      <c r="B371" s="46" t="s">
        <v>698</v>
      </c>
      <c r="C371" s="39" t="s">
        <v>699</v>
      </c>
      <c r="E371" s="166" t="s">
        <v>8337</v>
      </c>
      <c r="F371" s="166" t="s">
        <v>8338</v>
      </c>
    </row>
    <row r="372" spans="2:6" x14ac:dyDescent="0.25">
      <c r="B372" s="46" t="s">
        <v>700</v>
      </c>
      <c r="C372" s="39" t="s">
        <v>701</v>
      </c>
      <c r="E372" s="166" t="s">
        <v>8339</v>
      </c>
      <c r="F372" s="166" t="s">
        <v>507</v>
      </c>
    </row>
    <row r="373" spans="2:6" x14ac:dyDescent="0.25">
      <c r="B373" s="46" t="s">
        <v>613</v>
      </c>
      <c r="C373" s="39" t="s">
        <v>614</v>
      </c>
      <c r="E373" s="166" t="s">
        <v>8340</v>
      </c>
      <c r="F373" s="166" t="s">
        <v>508</v>
      </c>
    </row>
    <row r="374" spans="2:6" x14ac:dyDescent="0.25">
      <c r="B374" s="46" t="s">
        <v>615</v>
      </c>
      <c r="C374" s="39" t="s">
        <v>616</v>
      </c>
      <c r="E374" s="166" t="s">
        <v>8341</v>
      </c>
      <c r="F374" s="166" t="s">
        <v>509</v>
      </c>
    </row>
    <row r="375" spans="2:6" x14ac:dyDescent="0.25">
      <c r="B375" s="46" t="s">
        <v>617</v>
      </c>
      <c r="C375" s="39" t="s">
        <v>618</v>
      </c>
      <c r="E375" s="166" t="s">
        <v>8342</v>
      </c>
      <c r="F375" s="166" t="s">
        <v>8343</v>
      </c>
    </row>
    <row r="376" spans="2:6" x14ac:dyDescent="0.25">
      <c r="B376" s="46" t="s">
        <v>708</v>
      </c>
      <c r="C376" s="39" t="s">
        <v>709</v>
      </c>
      <c r="E376" s="166" t="s">
        <v>8344</v>
      </c>
      <c r="F376" s="166" t="s">
        <v>510</v>
      </c>
    </row>
    <row r="377" spans="2:6" x14ac:dyDescent="0.25">
      <c r="B377" s="46" t="s">
        <v>714</v>
      </c>
      <c r="C377" s="40" t="s">
        <v>715</v>
      </c>
      <c r="E377" s="166" t="s">
        <v>8345</v>
      </c>
      <c r="F377" s="166" t="s">
        <v>511</v>
      </c>
    </row>
    <row r="378" spans="2:6" x14ac:dyDescent="0.25">
      <c r="B378" s="46" t="s">
        <v>710</v>
      </c>
      <c r="C378" s="39" t="s">
        <v>711</v>
      </c>
      <c r="E378" s="166" t="s">
        <v>8346</v>
      </c>
      <c r="F378" s="166" t="s">
        <v>512</v>
      </c>
    </row>
    <row r="379" spans="2:6" x14ac:dyDescent="0.25">
      <c r="B379" s="46" t="s">
        <v>621</v>
      </c>
      <c r="C379" s="39" t="s">
        <v>621</v>
      </c>
      <c r="E379" s="166" t="s">
        <v>8347</v>
      </c>
      <c r="F379" s="166" t="s">
        <v>8348</v>
      </c>
    </row>
    <row r="380" spans="2:6" x14ac:dyDescent="0.25">
      <c r="B380" s="46" t="s">
        <v>622</v>
      </c>
      <c r="C380" s="39" t="s">
        <v>623</v>
      </c>
      <c r="E380" s="166" t="s">
        <v>8349</v>
      </c>
      <c r="F380" s="166" t="s">
        <v>513</v>
      </c>
    </row>
    <row r="381" spans="2:6" ht="15.75" thickBot="1" x14ac:dyDescent="0.3">
      <c r="B381" s="47" t="s">
        <v>619</v>
      </c>
      <c r="C381" s="41" t="s">
        <v>620</v>
      </c>
      <c r="E381" s="166" t="s">
        <v>8350</v>
      </c>
      <c r="F381" s="166" t="s">
        <v>514</v>
      </c>
    </row>
    <row r="382" spans="2:6" x14ac:dyDescent="0.25">
      <c r="E382" s="166" t="s">
        <v>8351</v>
      </c>
      <c r="F382" s="166" t="s">
        <v>515</v>
      </c>
    </row>
    <row r="383" spans="2:6" ht="15.75" thickBot="1" x14ac:dyDescent="0.3">
      <c r="E383" s="166" t="s">
        <v>8352</v>
      </c>
      <c r="F383" s="166" t="s">
        <v>8353</v>
      </c>
    </row>
    <row r="384" spans="2:6" ht="16.5" thickBot="1" x14ac:dyDescent="0.3">
      <c r="B384" s="48" t="s">
        <v>716</v>
      </c>
      <c r="C384" s="52"/>
      <c r="E384" s="166" t="s">
        <v>8354</v>
      </c>
      <c r="F384" s="166" t="s">
        <v>516</v>
      </c>
    </row>
    <row r="385" spans="2:6" x14ac:dyDescent="0.25">
      <c r="B385" s="53" t="s">
        <v>286</v>
      </c>
      <c r="C385" s="43" t="s">
        <v>612</v>
      </c>
      <c r="E385" s="166" t="s">
        <v>8355</v>
      </c>
      <c r="F385" s="166" t="s">
        <v>517</v>
      </c>
    </row>
    <row r="386" spans="2:6" x14ac:dyDescent="0.25">
      <c r="B386" s="46" t="s">
        <v>717</v>
      </c>
      <c r="C386" s="40" t="s">
        <v>718</v>
      </c>
      <c r="E386" s="166" t="s">
        <v>8356</v>
      </c>
      <c r="F386" s="166" t="s">
        <v>8357</v>
      </c>
    </row>
    <row r="387" spans="2:6" x14ac:dyDescent="0.25">
      <c r="B387" s="46" t="s">
        <v>719</v>
      </c>
      <c r="C387" s="40" t="s">
        <v>720</v>
      </c>
      <c r="E387" s="166" t="s">
        <v>8358</v>
      </c>
      <c r="F387" s="166" t="s">
        <v>518</v>
      </c>
    </row>
    <row r="388" spans="2:6" x14ac:dyDescent="0.25">
      <c r="B388" s="46" t="s">
        <v>721</v>
      </c>
      <c r="C388" s="40" t="s">
        <v>722</v>
      </c>
      <c r="E388" s="166" t="s">
        <v>8359</v>
      </c>
      <c r="F388" s="166" t="s">
        <v>8360</v>
      </c>
    </row>
    <row r="389" spans="2:6" x14ac:dyDescent="0.25">
      <c r="B389" s="46" t="s">
        <v>723</v>
      </c>
      <c r="C389" s="40" t="s">
        <v>724</v>
      </c>
      <c r="E389" s="166" t="s">
        <v>8361</v>
      </c>
      <c r="F389" s="166" t="s">
        <v>519</v>
      </c>
    </row>
    <row r="390" spans="2:6" x14ac:dyDescent="0.25">
      <c r="B390" s="46" t="s">
        <v>725</v>
      </c>
      <c r="C390" s="40" t="s">
        <v>726</v>
      </c>
      <c r="E390" s="166" t="s">
        <v>8362</v>
      </c>
      <c r="F390" s="166" t="s">
        <v>520</v>
      </c>
    </row>
    <row r="391" spans="2:6" x14ac:dyDescent="0.25">
      <c r="B391" s="46" t="s">
        <v>727</v>
      </c>
      <c r="C391" s="40" t="s">
        <v>728</v>
      </c>
      <c r="E391" s="166" t="s">
        <v>8363</v>
      </c>
      <c r="F391" s="166" t="s">
        <v>8364</v>
      </c>
    </row>
    <row r="392" spans="2:6" x14ac:dyDescent="0.25">
      <c r="B392" s="46" t="s">
        <v>729</v>
      </c>
      <c r="C392" s="40" t="s">
        <v>730</v>
      </c>
      <c r="E392" s="166" t="s">
        <v>8365</v>
      </c>
      <c r="F392" s="166" t="s">
        <v>521</v>
      </c>
    </row>
    <row r="393" spans="2:6" x14ac:dyDescent="0.25">
      <c r="B393" s="46" t="s">
        <v>731</v>
      </c>
      <c r="C393" s="40" t="s">
        <v>732</v>
      </c>
      <c r="E393" s="166" t="s">
        <v>8366</v>
      </c>
      <c r="F393" s="166" t="s">
        <v>8367</v>
      </c>
    </row>
    <row r="394" spans="2:6" x14ac:dyDescent="0.25">
      <c r="B394" s="46" t="s">
        <v>733</v>
      </c>
      <c r="C394" s="40" t="s">
        <v>734</v>
      </c>
      <c r="E394" s="166" t="s">
        <v>8368</v>
      </c>
      <c r="F394" s="166" t="s">
        <v>522</v>
      </c>
    </row>
    <row r="395" spans="2:6" x14ac:dyDescent="0.25">
      <c r="B395" s="46" t="s">
        <v>735</v>
      </c>
      <c r="C395" s="40" t="s">
        <v>736</v>
      </c>
      <c r="E395" s="166" t="s">
        <v>8369</v>
      </c>
      <c r="F395" s="166" t="s">
        <v>8370</v>
      </c>
    </row>
    <row r="396" spans="2:6" x14ac:dyDescent="0.25">
      <c r="B396" s="46" t="s">
        <v>737</v>
      </c>
      <c r="C396" s="40" t="s">
        <v>738</v>
      </c>
      <c r="E396" s="166" t="s">
        <v>8371</v>
      </c>
      <c r="F396" s="166" t="s">
        <v>523</v>
      </c>
    </row>
    <row r="397" spans="2:6" x14ac:dyDescent="0.25">
      <c r="B397" s="46" t="s">
        <v>739</v>
      </c>
      <c r="C397" s="40" t="s">
        <v>740</v>
      </c>
      <c r="E397" s="166" t="s">
        <v>8372</v>
      </c>
      <c r="F397" s="166" t="s">
        <v>8373</v>
      </c>
    </row>
    <row r="398" spans="2:6" x14ac:dyDescent="0.25">
      <c r="B398" s="46" t="s">
        <v>741</v>
      </c>
      <c r="C398" s="40" t="s">
        <v>742</v>
      </c>
      <c r="E398" s="166" t="s">
        <v>8374</v>
      </c>
      <c r="F398" s="166" t="s">
        <v>524</v>
      </c>
    </row>
    <row r="399" spans="2:6" x14ac:dyDescent="0.25">
      <c r="B399" s="46" t="s">
        <v>743</v>
      </c>
      <c r="C399" s="40" t="s">
        <v>744</v>
      </c>
      <c r="E399" s="166" t="s">
        <v>8375</v>
      </c>
      <c r="F399" s="166" t="s">
        <v>525</v>
      </c>
    </row>
    <row r="400" spans="2:6" x14ac:dyDescent="0.25">
      <c r="B400" s="46" t="s">
        <v>745</v>
      </c>
      <c r="C400" s="40" t="s">
        <v>746</v>
      </c>
      <c r="E400" s="166" t="s">
        <v>8376</v>
      </c>
      <c r="F400" s="166" t="s">
        <v>8377</v>
      </c>
    </row>
    <row r="401" spans="2:6" x14ac:dyDescent="0.25">
      <c r="B401" s="46" t="s">
        <v>747</v>
      </c>
      <c r="C401" s="40" t="s">
        <v>748</v>
      </c>
      <c r="E401" s="166" t="s">
        <v>8378</v>
      </c>
      <c r="F401" s="166" t="s">
        <v>8379</v>
      </c>
    </row>
    <row r="402" spans="2:6" x14ac:dyDescent="0.25">
      <c r="B402" s="46" t="s">
        <v>749</v>
      </c>
      <c r="C402" s="40" t="s">
        <v>750</v>
      </c>
      <c r="E402" s="166" t="s">
        <v>8380</v>
      </c>
      <c r="F402" s="166" t="s">
        <v>526</v>
      </c>
    </row>
    <row r="403" spans="2:6" x14ac:dyDescent="0.25">
      <c r="B403" s="46" t="s">
        <v>751</v>
      </c>
      <c r="C403" s="40" t="s">
        <v>752</v>
      </c>
      <c r="E403" s="166" t="s">
        <v>8381</v>
      </c>
      <c r="F403" s="166" t="s">
        <v>527</v>
      </c>
    </row>
    <row r="404" spans="2:6" x14ac:dyDescent="0.25">
      <c r="B404" s="46" t="s">
        <v>753</v>
      </c>
      <c r="C404" s="40" t="s">
        <v>754</v>
      </c>
      <c r="E404" s="166" t="s">
        <v>8382</v>
      </c>
      <c r="F404" s="166" t="s">
        <v>528</v>
      </c>
    </row>
    <row r="405" spans="2:6" x14ac:dyDescent="0.25">
      <c r="B405" s="46" t="s">
        <v>755</v>
      </c>
      <c r="C405" s="40" t="s">
        <v>756</v>
      </c>
      <c r="E405" s="166" t="s">
        <v>8383</v>
      </c>
      <c r="F405" s="166" t="s">
        <v>8384</v>
      </c>
    </row>
    <row r="406" spans="2:6" x14ac:dyDescent="0.25">
      <c r="B406" s="46" t="s">
        <v>757</v>
      </c>
      <c r="C406" s="40" t="s">
        <v>758</v>
      </c>
      <c r="E406" s="166" t="s">
        <v>8385</v>
      </c>
      <c r="F406" s="166" t="s">
        <v>529</v>
      </c>
    </row>
    <row r="407" spans="2:6" x14ac:dyDescent="0.25">
      <c r="B407" s="46" t="s">
        <v>759</v>
      </c>
      <c r="C407" s="40" t="s">
        <v>760</v>
      </c>
      <c r="E407" s="166" t="s">
        <v>8386</v>
      </c>
      <c r="F407" s="166" t="s">
        <v>530</v>
      </c>
    </row>
    <row r="408" spans="2:6" x14ac:dyDescent="0.25">
      <c r="B408" s="46" t="s">
        <v>761</v>
      </c>
      <c r="C408" s="40" t="s">
        <v>762</v>
      </c>
      <c r="E408" s="166" t="s">
        <v>8387</v>
      </c>
      <c r="F408" s="166" t="s">
        <v>531</v>
      </c>
    </row>
    <row r="409" spans="2:6" x14ac:dyDescent="0.25">
      <c r="B409" s="46" t="s">
        <v>763</v>
      </c>
      <c r="C409" s="40" t="s">
        <v>764</v>
      </c>
      <c r="E409" s="166" t="s">
        <v>8388</v>
      </c>
      <c r="F409" s="166" t="s">
        <v>532</v>
      </c>
    </row>
    <row r="410" spans="2:6" x14ac:dyDescent="0.25">
      <c r="B410" s="46" t="s">
        <v>765</v>
      </c>
      <c r="C410" s="40" t="s">
        <v>766</v>
      </c>
      <c r="E410" s="166" t="s">
        <v>8389</v>
      </c>
      <c r="F410" s="166" t="s">
        <v>8390</v>
      </c>
    </row>
    <row r="411" spans="2:6" x14ac:dyDescent="0.25">
      <c r="B411" s="46" t="s">
        <v>767</v>
      </c>
      <c r="C411" s="40" t="s">
        <v>768</v>
      </c>
      <c r="E411" s="166" t="s">
        <v>8391</v>
      </c>
      <c r="F411" s="166" t="s">
        <v>533</v>
      </c>
    </row>
    <row r="412" spans="2:6" x14ac:dyDescent="0.25">
      <c r="B412" s="46" t="s">
        <v>769</v>
      </c>
      <c r="C412" s="40" t="s">
        <v>770</v>
      </c>
      <c r="E412" s="166" t="s">
        <v>8392</v>
      </c>
      <c r="F412" s="166" t="s">
        <v>8393</v>
      </c>
    </row>
    <row r="413" spans="2:6" x14ac:dyDescent="0.25">
      <c r="B413" s="46" t="s">
        <v>771</v>
      </c>
      <c r="C413" s="40" t="s">
        <v>772</v>
      </c>
      <c r="E413" s="166" t="s">
        <v>8394</v>
      </c>
      <c r="F413" s="166" t="s">
        <v>534</v>
      </c>
    </row>
    <row r="414" spans="2:6" x14ac:dyDescent="0.25">
      <c r="B414" s="46" t="s">
        <v>773</v>
      </c>
      <c r="C414" s="40" t="s">
        <v>774</v>
      </c>
      <c r="E414" s="166" t="s">
        <v>8395</v>
      </c>
      <c r="F414" s="166" t="s">
        <v>8396</v>
      </c>
    </row>
    <row r="415" spans="2:6" x14ac:dyDescent="0.25">
      <c r="B415" s="46" t="s">
        <v>775</v>
      </c>
      <c r="C415" s="40" t="s">
        <v>776</v>
      </c>
      <c r="E415" s="166" t="s">
        <v>8397</v>
      </c>
      <c r="F415" s="166" t="s">
        <v>535</v>
      </c>
    </row>
    <row r="416" spans="2:6" x14ac:dyDescent="0.25">
      <c r="B416" s="46" t="s">
        <v>777</v>
      </c>
      <c r="C416" s="40" t="s">
        <v>778</v>
      </c>
      <c r="E416" s="166" t="s">
        <v>8398</v>
      </c>
      <c r="F416" s="166" t="s">
        <v>536</v>
      </c>
    </row>
    <row r="417" spans="2:6" x14ac:dyDescent="0.25">
      <c r="B417" s="46" t="s">
        <v>779</v>
      </c>
      <c r="C417" s="40" t="s">
        <v>779</v>
      </c>
      <c r="E417" s="166" t="s">
        <v>8399</v>
      </c>
      <c r="F417" s="166" t="s">
        <v>537</v>
      </c>
    </row>
    <row r="418" spans="2:6" x14ac:dyDescent="0.25">
      <c r="B418" s="46" t="s">
        <v>780</v>
      </c>
      <c r="C418" s="40" t="s">
        <v>781</v>
      </c>
      <c r="E418" s="166" t="s">
        <v>8400</v>
      </c>
      <c r="F418" s="166" t="s">
        <v>8401</v>
      </c>
    </row>
    <row r="419" spans="2:6" x14ac:dyDescent="0.25">
      <c r="B419" s="46" t="s">
        <v>782</v>
      </c>
      <c r="C419" s="40" t="s">
        <v>783</v>
      </c>
      <c r="E419" s="166" t="s">
        <v>8402</v>
      </c>
      <c r="F419" s="166" t="s">
        <v>538</v>
      </c>
    </row>
    <row r="420" spans="2:6" x14ac:dyDescent="0.25">
      <c r="B420" s="46" t="s">
        <v>784</v>
      </c>
      <c r="C420" s="40" t="s">
        <v>785</v>
      </c>
      <c r="E420" s="166" t="s">
        <v>8403</v>
      </c>
      <c r="F420" s="166" t="s">
        <v>539</v>
      </c>
    </row>
    <row r="421" spans="2:6" x14ac:dyDescent="0.25">
      <c r="B421" s="46" t="s">
        <v>786</v>
      </c>
      <c r="C421" s="40" t="s">
        <v>787</v>
      </c>
      <c r="E421" s="166" t="s">
        <v>8404</v>
      </c>
      <c r="F421" s="166" t="s">
        <v>8405</v>
      </c>
    </row>
    <row r="422" spans="2:6" x14ac:dyDescent="0.25">
      <c r="B422" s="46" t="s">
        <v>788</v>
      </c>
      <c r="C422" s="40" t="s">
        <v>789</v>
      </c>
      <c r="E422" s="166" t="s">
        <v>8406</v>
      </c>
      <c r="F422" s="166" t="s">
        <v>541</v>
      </c>
    </row>
    <row r="423" spans="2:6" x14ac:dyDescent="0.25">
      <c r="B423" s="46" t="s">
        <v>790</v>
      </c>
      <c r="C423" s="40" t="s">
        <v>791</v>
      </c>
      <c r="E423" s="166" t="s">
        <v>8407</v>
      </c>
      <c r="F423" s="166" t="s">
        <v>542</v>
      </c>
    </row>
    <row r="424" spans="2:6" x14ac:dyDescent="0.25">
      <c r="B424" s="46" t="s">
        <v>792</v>
      </c>
      <c r="C424" s="40" t="s">
        <v>793</v>
      </c>
      <c r="E424" s="166" t="s">
        <v>8408</v>
      </c>
      <c r="F424" s="166" t="s">
        <v>543</v>
      </c>
    </row>
    <row r="425" spans="2:6" x14ac:dyDescent="0.25">
      <c r="B425" s="46" t="s">
        <v>794</v>
      </c>
      <c r="C425" s="40" t="s">
        <v>795</v>
      </c>
      <c r="E425" s="166" t="s">
        <v>8409</v>
      </c>
      <c r="F425" s="166" t="s">
        <v>8410</v>
      </c>
    </row>
    <row r="426" spans="2:6" x14ac:dyDescent="0.25">
      <c r="B426" s="46" t="s">
        <v>796</v>
      </c>
      <c r="C426" s="40" t="s">
        <v>797</v>
      </c>
      <c r="E426" s="166" t="s">
        <v>8411</v>
      </c>
      <c r="F426" s="166" t="s">
        <v>8412</v>
      </c>
    </row>
    <row r="427" spans="2:6" x14ac:dyDescent="0.25">
      <c r="B427" s="46" t="s">
        <v>798</v>
      </c>
      <c r="C427" s="40" t="s">
        <v>799</v>
      </c>
      <c r="E427" s="166" t="s">
        <v>8413</v>
      </c>
      <c r="F427" s="166" t="s">
        <v>544</v>
      </c>
    </row>
    <row r="428" spans="2:6" x14ac:dyDescent="0.25">
      <c r="B428" s="46" t="s">
        <v>800</v>
      </c>
      <c r="C428" s="40" t="s">
        <v>801</v>
      </c>
      <c r="E428" s="166" t="s">
        <v>8414</v>
      </c>
      <c r="F428" s="166" t="s">
        <v>8415</v>
      </c>
    </row>
    <row r="429" spans="2:6" x14ac:dyDescent="0.25">
      <c r="B429" s="46" t="s">
        <v>568</v>
      </c>
      <c r="C429" s="40" t="s">
        <v>802</v>
      </c>
      <c r="E429" s="166" t="s">
        <v>8416</v>
      </c>
      <c r="F429" s="166" t="s">
        <v>545</v>
      </c>
    </row>
    <row r="430" spans="2:6" x14ac:dyDescent="0.25">
      <c r="B430" s="46" t="s">
        <v>803</v>
      </c>
      <c r="C430" s="40" t="s">
        <v>804</v>
      </c>
      <c r="E430" s="166" t="s">
        <v>8417</v>
      </c>
      <c r="F430" s="166" t="s">
        <v>8418</v>
      </c>
    </row>
    <row r="431" spans="2:6" x14ac:dyDescent="0.25">
      <c r="B431" s="46" t="s">
        <v>805</v>
      </c>
      <c r="C431" s="40" t="s">
        <v>806</v>
      </c>
      <c r="E431" s="166" t="s">
        <v>8419</v>
      </c>
      <c r="F431" s="166" t="s">
        <v>546</v>
      </c>
    </row>
    <row r="432" spans="2:6" x14ac:dyDescent="0.25">
      <c r="B432" s="46" t="s">
        <v>807</v>
      </c>
      <c r="C432" s="40" t="s">
        <v>808</v>
      </c>
      <c r="E432" s="166" t="s">
        <v>8420</v>
      </c>
      <c r="F432" s="166" t="s">
        <v>547</v>
      </c>
    </row>
    <row r="433" spans="2:6" x14ac:dyDescent="0.25">
      <c r="B433" s="46" t="s">
        <v>809</v>
      </c>
      <c r="C433" s="40" t="s">
        <v>810</v>
      </c>
      <c r="E433" s="166" t="s">
        <v>8421</v>
      </c>
      <c r="F433" s="166" t="s">
        <v>548</v>
      </c>
    </row>
    <row r="434" spans="2:6" x14ac:dyDescent="0.25">
      <c r="B434" s="46" t="s">
        <v>811</v>
      </c>
      <c r="C434" s="40" t="s">
        <v>812</v>
      </c>
      <c r="E434" s="166" t="s">
        <v>8422</v>
      </c>
      <c r="F434" s="166" t="s">
        <v>8423</v>
      </c>
    </row>
    <row r="435" spans="2:6" x14ac:dyDescent="0.25">
      <c r="B435" s="46" t="s">
        <v>813</v>
      </c>
      <c r="C435" s="40" t="s">
        <v>814</v>
      </c>
      <c r="E435" s="166" t="s">
        <v>8424</v>
      </c>
      <c r="F435" s="166" t="s">
        <v>549</v>
      </c>
    </row>
    <row r="436" spans="2:6" x14ac:dyDescent="0.25">
      <c r="B436" s="46" t="s">
        <v>815</v>
      </c>
      <c r="C436" s="40" t="s">
        <v>816</v>
      </c>
      <c r="E436" s="166" t="s">
        <v>8425</v>
      </c>
      <c r="F436" s="166" t="s">
        <v>6894</v>
      </c>
    </row>
    <row r="437" spans="2:6" x14ac:dyDescent="0.25">
      <c r="B437" s="46" t="s">
        <v>817</v>
      </c>
      <c r="C437" s="40" t="s">
        <v>818</v>
      </c>
      <c r="E437" s="166" t="s">
        <v>8426</v>
      </c>
      <c r="F437" s="166" t="s">
        <v>288</v>
      </c>
    </row>
    <row r="438" spans="2:6" x14ac:dyDescent="0.25">
      <c r="B438" s="46" t="s">
        <v>819</v>
      </c>
      <c r="C438" s="40" t="s">
        <v>820</v>
      </c>
      <c r="E438" s="166" t="s">
        <v>8427</v>
      </c>
      <c r="F438" s="166" t="s">
        <v>8428</v>
      </c>
    </row>
    <row r="439" spans="2:6" x14ac:dyDescent="0.25">
      <c r="B439" s="46" t="s">
        <v>821</v>
      </c>
      <c r="C439" s="40" t="s">
        <v>822</v>
      </c>
      <c r="E439" s="166" t="s">
        <v>8429</v>
      </c>
      <c r="F439" s="166" t="s">
        <v>550</v>
      </c>
    </row>
    <row r="440" spans="2:6" x14ac:dyDescent="0.25">
      <c r="B440" s="46" t="s">
        <v>823</v>
      </c>
      <c r="C440" s="40" t="s">
        <v>824</v>
      </c>
      <c r="E440" s="166" t="s">
        <v>8430</v>
      </c>
      <c r="F440" s="166" t="s">
        <v>551</v>
      </c>
    </row>
    <row r="441" spans="2:6" x14ac:dyDescent="0.25">
      <c r="B441" s="46" t="s">
        <v>825</v>
      </c>
      <c r="C441" s="40" t="s">
        <v>826</v>
      </c>
      <c r="E441" s="166" t="s">
        <v>8431</v>
      </c>
      <c r="F441" s="166" t="s">
        <v>552</v>
      </c>
    </row>
    <row r="442" spans="2:6" x14ac:dyDescent="0.25">
      <c r="B442" s="46" t="s">
        <v>827</v>
      </c>
      <c r="C442" s="40" t="s">
        <v>828</v>
      </c>
      <c r="E442" s="166" t="s">
        <v>8432</v>
      </c>
      <c r="F442" s="166" t="s">
        <v>553</v>
      </c>
    </row>
    <row r="443" spans="2:6" x14ac:dyDescent="0.25">
      <c r="B443" s="46" t="s">
        <v>829</v>
      </c>
      <c r="C443" s="40" t="s">
        <v>830</v>
      </c>
      <c r="E443" s="166" t="s">
        <v>8433</v>
      </c>
      <c r="F443" s="166" t="s">
        <v>554</v>
      </c>
    </row>
    <row r="444" spans="2:6" x14ac:dyDescent="0.25">
      <c r="B444" s="46" t="s">
        <v>831</v>
      </c>
      <c r="C444" s="40" t="s">
        <v>832</v>
      </c>
      <c r="E444" s="166" t="s">
        <v>8434</v>
      </c>
      <c r="F444" s="166" t="s">
        <v>555</v>
      </c>
    </row>
    <row r="445" spans="2:6" x14ac:dyDescent="0.25">
      <c r="B445" s="46" t="s">
        <v>833</v>
      </c>
      <c r="C445" s="40" t="s">
        <v>834</v>
      </c>
      <c r="E445" s="166" t="s">
        <v>8435</v>
      </c>
      <c r="F445" s="166" t="s">
        <v>556</v>
      </c>
    </row>
    <row r="446" spans="2:6" x14ac:dyDescent="0.25">
      <c r="B446" s="46" t="s">
        <v>835</v>
      </c>
      <c r="C446" s="40" t="s">
        <v>836</v>
      </c>
      <c r="E446" s="166" t="s">
        <v>8436</v>
      </c>
      <c r="F446" s="166" t="s">
        <v>8437</v>
      </c>
    </row>
    <row r="447" spans="2:6" x14ac:dyDescent="0.25">
      <c r="B447" s="46" t="s">
        <v>837</v>
      </c>
      <c r="C447" s="40" t="s">
        <v>838</v>
      </c>
      <c r="E447" s="166" t="s">
        <v>8438</v>
      </c>
      <c r="F447" s="166" t="s">
        <v>557</v>
      </c>
    </row>
    <row r="448" spans="2:6" x14ac:dyDescent="0.25">
      <c r="B448" s="46" t="s">
        <v>839</v>
      </c>
      <c r="C448" s="40" t="s">
        <v>840</v>
      </c>
      <c r="E448" s="166" t="s">
        <v>8439</v>
      </c>
      <c r="F448" s="166" t="s">
        <v>8440</v>
      </c>
    </row>
    <row r="449" spans="2:6" x14ac:dyDescent="0.25">
      <c r="B449" s="46" t="s">
        <v>841</v>
      </c>
      <c r="C449" s="40" t="s">
        <v>842</v>
      </c>
      <c r="E449" s="166" t="s">
        <v>8441</v>
      </c>
      <c r="F449" s="166" t="s">
        <v>558</v>
      </c>
    </row>
    <row r="450" spans="2:6" x14ac:dyDescent="0.25">
      <c r="B450" s="46" t="s">
        <v>843</v>
      </c>
      <c r="C450" s="40" t="s">
        <v>844</v>
      </c>
      <c r="E450" s="166" t="s">
        <v>8442</v>
      </c>
      <c r="F450" s="166" t="s">
        <v>559</v>
      </c>
    </row>
    <row r="451" spans="2:6" x14ac:dyDescent="0.25">
      <c r="B451" s="46" t="s">
        <v>845</v>
      </c>
      <c r="C451" s="40" t="s">
        <v>846</v>
      </c>
      <c r="E451" s="166" t="s">
        <v>8443</v>
      </c>
      <c r="F451" s="166" t="s">
        <v>560</v>
      </c>
    </row>
    <row r="452" spans="2:6" x14ac:dyDescent="0.25">
      <c r="B452" s="46" t="s">
        <v>847</v>
      </c>
      <c r="C452" s="40" t="s">
        <v>848</v>
      </c>
      <c r="E452" s="166" t="s">
        <v>8444</v>
      </c>
      <c r="F452" s="166" t="s">
        <v>561</v>
      </c>
    </row>
    <row r="453" spans="2:6" x14ac:dyDescent="0.25">
      <c r="B453" s="46" t="s">
        <v>849</v>
      </c>
      <c r="C453" s="40" t="s">
        <v>850</v>
      </c>
      <c r="E453" s="166" t="s">
        <v>8445</v>
      </c>
      <c r="F453" s="166" t="s">
        <v>562</v>
      </c>
    </row>
    <row r="454" spans="2:6" x14ac:dyDescent="0.25">
      <c r="B454" s="46" t="s">
        <v>851</v>
      </c>
      <c r="C454" s="40" t="s">
        <v>852</v>
      </c>
      <c r="E454" s="166" t="s">
        <v>8446</v>
      </c>
      <c r="F454" s="166" t="s">
        <v>563</v>
      </c>
    </row>
    <row r="455" spans="2:6" x14ac:dyDescent="0.25">
      <c r="B455" s="46" t="s">
        <v>853</v>
      </c>
      <c r="C455" s="40" t="s">
        <v>854</v>
      </c>
      <c r="E455" s="166" t="s">
        <v>8447</v>
      </c>
      <c r="F455" s="166" t="s">
        <v>8448</v>
      </c>
    </row>
    <row r="456" spans="2:6" x14ac:dyDescent="0.25">
      <c r="B456" s="46" t="s">
        <v>855</v>
      </c>
      <c r="C456" s="40" t="s">
        <v>856</v>
      </c>
      <c r="E456" s="166" t="s">
        <v>8449</v>
      </c>
      <c r="F456" s="166" t="s">
        <v>564</v>
      </c>
    </row>
    <row r="457" spans="2:6" x14ac:dyDescent="0.25">
      <c r="B457" s="46" t="s">
        <v>857</v>
      </c>
      <c r="C457" s="40" t="s">
        <v>858</v>
      </c>
      <c r="E457" s="166" t="s">
        <v>8450</v>
      </c>
      <c r="F457" s="166" t="s">
        <v>565</v>
      </c>
    </row>
    <row r="458" spans="2:6" x14ac:dyDescent="0.25">
      <c r="B458" s="46" t="s">
        <v>859</v>
      </c>
      <c r="C458" s="40" t="s">
        <v>860</v>
      </c>
      <c r="E458" s="166" t="s">
        <v>8451</v>
      </c>
      <c r="F458" s="166" t="s">
        <v>8452</v>
      </c>
    </row>
    <row r="459" spans="2:6" x14ac:dyDescent="0.25">
      <c r="B459" s="46" t="s">
        <v>861</v>
      </c>
      <c r="C459" s="40" t="s">
        <v>862</v>
      </c>
      <c r="E459" s="166" t="s">
        <v>8453</v>
      </c>
      <c r="F459" s="166" t="s">
        <v>566</v>
      </c>
    </row>
    <row r="460" spans="2:6" x14ac:dyDescent="0.25">
      <c r="B460" s="46" t="s">
        <v>863</v>
      </c>
      <c r="C460" s="40" t="s">
        <v>864</v>
      </c>
      <c r="E460" s="166" t="s">
        <v>8454</v>
      </c>
      <c r="F460" s="166" t="s">
        <v>567</v>
      </c>
    </row>
    <row r="461" spans="2:6" x14ac:dyDescent="0.25">
      <c r="B461" s="46" t="s">
        <v>865</v>
      </c>
      <c r="C461" s="40" t="s">
        <v>866</v>
      </c>
      <c r="E461" s="166" t="s">
        <v>8455</v>
      </c>
      <c r="F461" s="166" t="s">
        <v>8456</v>
      </c>
    </row>
    <row r="462" spans="2:6" x14ac:dyDescent="0.25">
      <c r="B462" s="46" t="s">
        <v>867</v>
      </c>
      <c r="C462" s="40" t="s">
        <v>868</v>
      </c>
      <c r="E462" s="166" t="s">
        <v>8457</v>
      </c>
      <c r="F462" s="166" t="s">
        <v>569</v>
      </c>
    </row>
    <row r="463" spans="2:6" x14ac:dyDescent="0.25">
      <c r="B463" s="46" t="s">
        <v>869</v>
      </c>
      <c r="C463" s="40" t="s">
        <v>870</v>
      </c>
      <c r="E463" s="166" t="s">
        <v>8458</v>
      </c>
      <c r="F463" s="166" t="s">
        <v>8459</v>
      </c>
    </row>
    <row r="464" spans="2:6" x14ac:dyDescent="0.25">
      <c r="B464" s="46" t="s">
        <v>871</v>
      </c>
      <c r="C464" s="40" t="s">
        <v>872</v>
      </c>
      <c r="E464" s="166" t="s">
        <v>8460</v>
      </c>
      <c r="F464" s="166" t="s">
        <v>570</v>
      </c>
    </row>
    <row r="465" spans="2:6" x14ac:dyDescent="0.25">
      <c r="B465" s="46" t="s">
        <v>873</v>
      </c>
      <c r="C465" s="40" t="s">
        <v>874</v>
      </c>
      <c r="E465" s="166" t="s">
        <v>8461</v>
      </c>
      <c r="F465" s="166" t="s">
        <v>571</v>
      </c>
    </row>
    <row r="466" spans="2:6" x14ac:dyDescent="0.25">
      <c r="B466" s="46" t="s">
        <v>875</v>
      </c>
      <c r="C466" s="40" t="s">
        <v>876</v>
      </c>
      <c r="E466" s="166" t="s">
        <v>8462</v>
      </c>
      <c r="F466" s="166" t="s">
        <v>572</v>
      </c>
    </row>
    <row r="467" spans="2:6" x14ac:dyDescent="0.25">
      <c r="B467" s="46" t="s">
        <v>877</v>
      </c>
      <c r="C467" s="40" t="s">
        <v>878</v>
      </c>
      <c r="E467" s="166" t="s">
        <v>8463</v>
      </c>
      <c r="F467" s="166" t="s">
        <v>573</v>
      </c>
    </row>
    <row r="468" spans="2:6" x14ac:dyDescent="0.25">
      <c r="B468" s="46" t="s">
        <v>879</v>
      </c>
      <c r="C468" s="40" t="s">
        <v>880</v>
      </c>
      <c r="E468" s="166" t="s">
        <v>8464</v>
      </c>
      <c r="F468" s="166" t="s">
        <v>574</v>
      </c>
    </row>
    <row r="469" spans="2:6" x14ac:dyDescent="0.25">
      <c r="B469" s="46" t="s">
        <v>881</v>
      </c>
      <c r="C469" s="40" t="s">
        <v>882</v>
      </c>
      <c r="E469" s="166" t="s">
        <v>8465</v>
      </c>
      <c r="F469" s="166" t="s">
        <v>8466</v>
      </c>
    </row>
    <row r="470" spans="2:6" x14ac:dyDescent="0.25">
      <c r="B470" s="46" t="s">
        <v>883</v>
      </c>
      <c r="C470" s="40" t="s">
        <v>884</v>
      </c>
      <c r="E470" s="166" t="s">
        <v>8467</v>
      </c>
      <c r="F470" s="166" t="s">
        <v>575</v>
      </c>
    </row>
    <row r="471" spans="2:6" x14ac:dyDescent="0.25">
      <c r="B471" s="46" t="s">
        <v>885</v>
      </c>
      <c r="C471" s="40" t="s">
        <v>886</v>
      </c>
      <c r="E471" s="166" t="s">
        <v>8468</v>
      </c>
      <c r="F471" s="166" t="s">
        <v>576</v>
      </c>
    </row>
    <row r="472" spans="2:6" x14ac:dyDescent="0.25">
      <c r="B472" s="46" t="s">
        <v>887</v>
      </c>
      <c r="C472" s="40" t="s">
        <v>888</v>
      </c>
      <c r="E472" s="166" t="s">
        <v>8469</v>
      </c>
      <c r="F472" s="166" t="s">
        <v>577</v>
      </c>
    </row>
    <row r="473" spans="2:6" x14ac:dyDescent="0.25">
      <c r="B473" s="46" t="s">
        <v>889</v>
      </c>
      <c r="C473" s="40" t="s">
        <v>890</v>
      </c>
      <c r="E473" s="166" t="s">
        <v>8470</v>
      </c>
      <c r="F473" s="166" t="s">
        <v>578</v>
      </c>
    </row>
    <row r="474" spans="2:6" x14ac:dyDescent="0.25">
      <c r="B474" s="46" t="s">
        <v>891</v>
      </c>
      <c r="C474" s="40" t="s">
        <v>892</v>
      </c>
      <c r="E474" s="166" t="s">
        <v>8471</v>
      </c>
      <c r="F474" s="166" t="s">
        <v>579</v>
      </c>
    </row>
    <row r="475" spans="2:6" x14ac:dyDescent="0.25">
      <c r="B475" s="46" t="s">
        <v>893</v>
      </c>
      <c r="C475" s="40" t="s">
        <v>894</v>
      </c>
      <c r="E475" s="166" t="s">
        <v>8472</v>
      </c>
      <c r="F475" s="166" t="s">
        <v>580</v>
      </c>
    </row>
    <row r="476" spans="2:6" x14ac:dyDescent="0.25">
      <c r="B476" s="46" t="s">
        <v>895</v>
      </c>
      <c r="C476" s="40" t="s">
        <v>896</v>
      </c>
      <c r="E476" s="166" t="s">
        <v>8473</v>
      </c>
      <c r="F476" s="166" t="s">
        <v>581</v>
      </c>
    </row>
    <row r="477" spans="2:6" x14ac:dyDescent="0.25">
      <c r="B477" s="46" t="s">
        <v>897</v>
      </c>
      <c r="C477" s="40" t="s">
        <v>898</v>
      </c>
      <c r="E477" s="166" t="s">
        <v>8474</v>
      </c>
      <c r="F477" s="166" t="s">
        <v>8475</v>
      </c>
    </row>
    <row r="478" spans="2:6" x14ac:dyDescent="0.25">
      <c r="B478" s="46" t="s">
        <v>899</v>
      </c>
      <c r="C478" s="40" t="s">
        <v>900</v>
      </c>
      <c r="E478" s="166" t="s">
        <v>8476</v>
      </c>
      <c r="F478" s="166" t="s">
        <v>582</v>
      </c>
    </row>
    <row r="479" spans="2:6" x14ac:dyDescent="0.25">
      <c r="B479" s="46" t="s">
        <v>901</v>
      </c>
      <c r="C479" s="40" t="s">
        <v>902</v>
      </c>
      <c r="E479" s="166" t="s">
        <v>8477</v>
      </c>
      <c r="F479" s="166" t="s">
        <v>583</v>
      </c>
    </row>
    <row r="480" spans="2:6" x14ac:dyDescent="0.25">
      <c r="B480" s="46" t="s">
        <v>903</v>
      </c>
      <c r="C480" s="40" t="s">
        <v>904</v>
      </c>
      <c r="E480" s="166" t="s">
        <v>8478</v>
      </c>
      <c r="F480" s="166" t="s">
        <v>584</v>
      </c>
    </row>
    <row r="481" spans="2:6" x14ac:dyDescent="0.25">
      <c r="B481" s="46" t="s">
        <v>905</v>
      </c>
      <c r="C481" s="40" t="s">
        <v>906</v>
      </c>
      <c r="E481" s="166" t="s">
        <v>8479</v>
      </c>
      <c r="F481" s="166" t="s">
        <v>8480</v>
      </c>
    </row>
    <row r="482" spans="2:6" x14ac:dyDescent="0.25">
      <c r="B482" s="46" t="s">
        <v>907</v>
      </c>
      <c r="C482" s="40" t="s">
        <v>908</v>
      </c>
      <c r="E482" s="166" t="s">
        <v>8481</v>
      </c>
      <c r="F482" s="166" t="s">
        <v>585</v>
      </c>
    </row>
    <row r="483" spans="2:6" x14ac:dyDescent="0.25">
      <c r="B483" s="46" t="s">
        <v>909</v>
      </c>
      <c r="C483" s="40" t="s">
        <v>910</v>
      </c>
      <c r="E483" s="166" t="s">
        <v>8482</v>
      </c>
      <c r="F483" s="166" t="s">
        <v>586</v>
      </c>
    </row>
    <row r="484" spans="2:6" x14ac:dyDescent="0.25">
      <c r="B484" s="46" t="s">
        <v>911</v>
      </c>
      <c r="C484" s="40" t="s">
        <v>912</v>
      </c>
      <c r="E484" s="166" t="s">
        <v>8483</v>
      </c>
      <c r="F484" s="166" t="s">
        <v>587</v>
      </c>
    </row>
    <row r="485" spans="2:6" x14ac:dyDescent="0.25">
      <c r="B485" s="46" t="s">
        <v>913</v>
      </c>
      <c r="C485" s="40" t="s">
        <v>914</v>
      </c>
      <c r="E485" s="166" t="s">
        <v>8484</v>
      </c>
      <c r="F485" s="166" t="s">
        <v>588</v>
      </c>
    </row>
    <row r="486" spans="2:6" x14ac:dyDescent="0.25">
      <c r="B486" s="46" t="s">
        <v>915</v>
      </c>
      <c r="C486" s="40" t="s">
        <v>916</v>
      </c>
      <c r="E486" s="166" t="s">
        <v>8485</v>
      </c>
      <c r="F486" s="166" t="s">
        <v>589</v>
      </c>
    </row>
    <row r="487" spans="2:6" x14ac:dyDescent="0.25">
      <c r="B487" s="46" t="s">
        <v>917</v>
      </c>
      <c r="C487" s="40" t="s">
        <v>918</v>
      </c>
      <c r="E487" s="166" t="s">
        <v>8486</v>
      </c>
      <c r="F487" s="166" t="s">
        <v>590</v>
      </c>
    </row>
    <row r="488" spans="2:6" x14ac:dyDescent="0.25">
      <c r="B488" s="46" t="s">
        <v>919</v>
      </c>
      <c r="C488" s="40" t="s">
        <v>920</v>
      </c>
      <c r="E488" s="166" t="s">
        <v>8487</v>
      </c>
      <c r="F488" s="166" t="s">
        <v>591</v>
      </c>
    </row>
    <row r="489" spans="2:6" x14ac:dyDescent="0.25">
      <c r="B489" s="46" t="s">
        <v>921</v>
      </c>
      <c r="C489" s="40" t="s">
        <v>922</v>
      </c>
      <c r="E489" s="166" t="s">
        <v>8488</v>
      </c>
      <c r="F489" s="166" t="s">
        <v>592</v>
      </c>
    </row>
    <row r="490" spans="2:6" x14ac:dyDescent="0.25">
      <c r="B490" s="46" t="s">
        <v>923</v>
      </c>
      <c r="C490" s="40" t="s">
        <v>924</v>
      </c>
      <c r="E490" s="166" t="s">
        <v>8489</v>
      </c>
      <c r="F490" s="166" t="s">
        <v>593</v>
      </c>
    </row>
    <row r="491" spans="2:6" x14ac:dyDescent="0.25">
      <c r="B491" s="46" t="s">
        <v>925</v>
      </c>
      <c r="C491" s="40" t="s">
        <v>926</v>
      </c>
      <c r="E491" s="166" t="s">
        <v>8490</v>
      </c>
      <c r="F491" s="166" t="s">
        <v>594</v>
      </c>
    </row>
    <row r="492" spans="2:6" x14ac:dyDescent="0.25">
      <c r="B492" s="46" t="s">
        <v>927</v>
      </c>
      <c r="C492" s="40" t="s">
        <v>928</v>
      </c>
      <c r="E492" s="166" t="s">
        <v>8491</v>
      </c>
      <c r="F492" s="166" t="s">
        <v>596</v>
      </c>
    </row>
    <row r="493" spans="2:6" x14ac:dyDescent="0.25">
      <c r="B493" s="46" t="s">
        <v>929</v>
      </c>
      <c r="C493" s="40" t="s">
        <v>930</v>
      </c>
      <c r="E493" s="166" t="s">
        <v>8492</v>
      </c>
      <c r="F493" s="166" t="s">
        <v>597</v>
      </c>
    </row>
    <row r="494" spans="2:6" x14ac:dyDescent="0.25">
      <c r="B494" s="46" t="s">
        <v>931</v>
      </c>
      <c r="C494" s="40" t="s">
        <v>932</v>
      </c>
      <c r="E494" s="166" t="s">
        <v>8493</v>
      </c>
      <c r="F494" s="166" t="s">
        <v>598</v>
      </c>
    </row>
    <row r="495" spans="2:6" x14ac:dyDescent="0.25">
      <c r="B495" s="46" t="s">
        <v>933</v>
      </c>
      <c r="C495" s="40" t="s">
        <v>934</v>
      </c>
      <c r="E495" s="166" t="s">
        <v>8494</v>
      </c>
      <c r="F495" s="166" t="s">
        <v>8495</v>
      </c>
    </row>
    <row r="496" spans="2:6" x14ac:dyDescent="0.25">
      <c r="B496" s="46" t="s">
        <v>935</v>
      </c>
      <c r="C496" s="40" t="s">
        <v>936</v>
      </c>
      <c r="E496" s="166" t="s">
        <v>8496</v>
      </c>
      <c r="F496" s="166" t="s">
        <v>599</v>
      </c>
    </row>
    <row r="497" spans="2:6" x14ac:dyDescent="0.25">
      <c r="B497" s="46" t="s">
        <v>937</v>
      </c>
      <c r="C497" s="40" t="s">
        <v>938</v>
      </c>
      <c r="E497" s="166" t="s">
        <v>8497</v>
      </c>
      <c r="F497" s="166" t="s">
        <v>600</v>
      </c>
    </row>
    <row r="498" spans="2:6" x14ac:dyDescent="0.25">
      <c r="B498" s="46" t="s">
        <v>939</v>
      </c>
      <c r="C498" s="40" t="s">
        <v>940</v>
      </c>
      <c r="E498" s="166" t="s">
        <v>8498</v>
      </c>
      <c r="F498" s="166" t="s">
        <v>8499</v>
      </c>
    </row>
    <row r="499" spans="2:6" x14ac:dyDescent="0.25">
      <c r="B499" s="46" t="s">
        <v>941</v>
      </c>
      <c r="C499" s="40" t="s">
        <v>942</v>
      </c>
      <c r="E499" s="166" t="s">
        <v>8500</v>
      </c>
      <c r="F499" s="166" t="s">
        <v>601</v>
      </c>
    </row>
    <row r="500" spans="2:6" x14ac:dyDescent="0.25">
      <c r="B500" s="46" t="s">
        <v>943</v>
      </c>
      <c r="C500" s="40" t="s">
        <v>944</v>
      </c>
      <c r="E500" s="166" t="s">
        <v>8501</v>
      </c>
      <c r="F500" s="166" t="s">
        <v>602</v>
      </c>
    </row>
    <row r="501" spans="2:6" x14ac:dyDescent="0.25">
      <c r="B501" s="46" t="s">
        <v>945</v>
      </c>
      <c r="C501" s="40" t="s">
        <v>946</v>
      </c>
      <c r="E501" s="166" t="s">
        <v>8502</v>
      </c>
      <c r="F501" s="166" t="s">
        <v>8503</v>
      </c>
    </row>
    <row r="502" spans="2:6" x14ac:dyDescent="0.25">
      <c r="B502" s="46" t="s">
        <v>947</v>
      </c>
      <c r="C502" s="40" t="s">
        <v>948</v>
      </c>
      <c r="E502" s="166" t="s">
        <v>8504</v>
      </c>
      <c r="F502" s="166" t="s">
        <v>603</v>
      </c>
    </row>
    <row r="503" spans="2:6" x14ac:dyDescent="0.25">
      <c r="B503" s="46" t="s">
        <v>949</v>
      </c>
      <c r="C503" s="40" t="s">
        <v>950</v>
      </c>
      <c r="E503" s="166" t="s">
        <v>8505</v>
      </c>
      <c r="F503" s="166" t="s">
        <v>604</v>
      </c>
    </row>
    <row r="504" spans="2:6" x14ac:dyDescent="0.25">
      <c r="B504" s="46" t="s">
        <v>951</v>
      </c>
      <c r="C504" s="40" t="s">
        <v>952</v>
      </c>
      <c r="E504" s="166" t="s">
        <v>8506</v>
      </c>
      <c r="F504" s="166" t="s">
        <v>8507</v>
      </c>
    </row>
    <row r="505" spans="2:6" x14ac:dyDescent="0.25">
      <c r="B505" s="46" t="s">
        <v>953</v>
      </c>
      <c r="C505" s="40" t="s">
        <v>954</v>
      </c>
      <c r="E505" s="166" t="s">
        <v>8508</v>
      </c>
      <c r="F505" s="166" t="s">
        <v>8509</v>
      </c>
    </row>
    <row r="506" spans="2:6" x14ac:dyDescent="0.25">
      <c r="B506" s="46" t="s">
        <v>955</v>
      </c>
      <c r="C506" s="40" t="s">
        <v>956</v>
      </c>
      <c r="E506" s="166" t="s">
        <v>8510</v>
      </c>
      <c r="F506" s="166" t="s">
        <v>8511</v>
      </c>
    </row>
    <row r="507" spans="2:6" x14ac:dyDescent="0.25">
      <c r="B507" s="46" t="s">
        <v>957</v>
      </c>
      <c r="C507" s="40" t="s">
        <v>958</v>
      </c>
      <c r="E507" s="166" t="s">
        <v>8512</v>
      </c>
      <c r="F507" s="166" t="s">
        <v>8513</v>
      </c>
    </row>
    <row r="508" spans="2:6" x14ac:dyDescent="0.25">
      <c r="B508" s="46" t="s">
        <v>959</v>
      </c>
      <c r="C508" s="40" t="s">
        <v>960</v>
      </c>
      <c r="E508" s="166" t="s">
        <v>8514</v>
      </c>
      <c r="F508" s="166" t="s">
        <v>605</v>
      </c>
    </row>
    <row r="509" spans="2:6" x14ac:dyDescent="0.25">
      <c r="B509" s="46" t="s">
        <v>961</v>
      </c>
      <c r="C509" s="40" t="s">
        <v>962</v>
      </c>
      <c r="E509" s="166" t="s">
        <v>8515</v>
      </c>
      <c r="F509" s="166" t="s">
        <v>606</v>
      </c>
    </row>
    <row r="510" spans="2:6" x14ac:dyDescent="0.25">
      <c r="B510" s="46" t="s">
        <v>963</v>
      </c>
      <c r="C510" s="40" t="s">
        <v>964</v>
      </c>
      <c r="E510" s="166" t="s">
        <v>8516</v>
      </c>
      <c r="F510" s="166" t="s">
        <v>8517</v>
      </c>
    </row>
    <row r="511" spans="2:6" x14ac:dyDescent="0.25">
      <c r="B511" s="46" t="s">
        <v>965</v>
      </c>
      <c r="C511" s="40" t="s">
        <v>966</v>
      </c>
      <c r="E511" s="166" t="s">
        <v>8518</v>
      </c>
      <c r="F511" s="166" t="s">
        <v>8519</v>
      </c>
    </row>
    <row r="512" spans="2:6" x14ac:dyDescent="0.25">
      <c r="B512" s="46" t="s">
        <v>967</v>
      </c>
      <c r="C512" s="40" t="s">
        <v>968</v>
      </c>
      <c r="E512" s="166" t="s">
        <v>8520</v>
      </c>
      <c r="F512" s="166" t="s">
        <v>8521</v>
      </c>
    </row>
    <row r="513" spans="2:6" x14ac:dyDescent="0.25">
      <c r="B513" s="46" t="s">
        <v>969</v>
      </c>
      <c r="C513" s="40" t="s">
        <v>970</v>
      </c>
      <c r="E513" s="166" t="s">
        <v>8522</v>
      </c>
      <c r="F513" s="166" t="s">
        <v>8523</v>
      </c>
    </row>
    <row r="514" spans="2:6" x14ac:dyDescent="0.25">
      <c r="B514" s="46" t="s">
        <v>971</v>
      </c>
      <c r="C514" s="40" t="s">
        <v>972</v>
      </c>
      <c r="E514" s="166" t="s">
        <v>8524</v>
      </c>
      <c r="F514" s="166" t="s">
        <v>607</v>
      </c>
    </row>
    <row r="515" spans="2:6" x14ac:dyDescent="0.25">
      <c r="B515" s="46" t="s">
        <v>973</v>
      </c>
      <c r="C515" s="40" t="s">
        <v>974</v>
      </c>
      <c r="E515" s="166" t="s">
        <v>8525</v>
      </c>
      <c r="F515" s="166" t="s">
        <v>8526</v>
      </c>
    </row>
    <row r="516" spans="2:6" x14ac:dyDescent="0.25">
      <c r="B516" s="46" t="s">
        <v>975</v>
      </c>
      <c r="C516" s="40" t="s">
        <v>976</v>
      </c>
      <c r="E516" s="166" t="s">
        <v>8527</v>
      </c>
      <c r="F516" s="166" t="s">
        <v>8528</v>
      </c>
    </row>
    <row r="517" spans="2:6" x14ac:dyDescent="0.25">
      <c r="B517" s="46" t="s">
        <v>977</v>
      </c>
      <c r="C517" s="40" t="s">
        <v>978</v>
      </c>
      <c r="E517" s="166" t="s">
        <v>8529</v>
      </c>
      <c r="F517" s="166" t="s">
        <v>8530</v>
      </c>
    </row>
    <row r="518" spans="2:6" x14ac:dyDescent="0.25">
      <c r="B518" s="46" t="s">
        <v>979</v>
      </c>
      <c r="C518" s="40" t="s">
        <v>980</v>
      </c>
      <c r="E518" s="166" t="s">
        <v>7817</v>
      </c>
      <c r="F518" s="166" t="s">
        <v>289</v>
      </c>
    </row>
    <row r="519" spans="2:6" x14ac:dyDescent="0.25">
      <c r="B519" s="46" t="s">
        <v>981</v>
      </c>
      <c r="C519" s="40" t="s">
        <v>982</v>
      </c>
    </row>
    <row r="520" spans="2:6" x14ac:dyDescent="0.25">
      <c r="B520" s="46" t="s">
        <v>983</v>
      </c>
      <c r="C520" s="40" t="s">
        <v>984</v>
      </c>
    </row>
    <row r="521" spans="2:6" x14ac:dyDescent="0.25">
      <c r="B521" s="46" t="s">
        <v>985</v>
      </c>
      <c r="C521" s="40" t="s">
        <v>986</v>
      </c>
    </row>
    <row r="522" spans="2:6" x14ac:dyDescent="0.25">
      <c r="B522" s="46" t="s">
        <v>987</v>
      </c>
      <c r="C522" s="40" t="s">
        <v>988</v>
      </c>
    </row>
    <row r="523" spans="2:6" x14ac:dyDescent="0.25">
      <c r="B523" s="46" t="s">
        <v>989</v>
      </c>
      <c r="C523" s="40" t="s">
        <v>990</v>
      </c>
    </row>
    <row r="524" spans="2:6" x14ac:dyDescent="0.25">
      <c r="B524" s="46" t="s">
        <v>991</v>
      </c>
      <c r="C524" s="40" t="s">
        <v>992</v>
      </c>
    </row>
    <row r="525" spans="2:6" x14ac:dyDescent="0.25">
      <c r="B525" s="46" t="s">
        <v>993</v>
      </c>
      <c r="C525" s="40" t="s">
        <v>994</v>
      </c>
    </row>
    <row r="526" spans="2:6" x14ac:dyDescent="0.25">
      <c r="B526" s="46" t="s">
        <v>995</v>
      </c>
      <c r="C526" s="40" t="s">
        <v>996</v>
      </c>
    </row>
    <row r="527" spans="2:6" x14ac:dyDescent="0.25">
      <c r="B527" s="46" t="s">
        <v>997</v>
      </c>
      <c r="C527" s="40" t="s">
        <v>998</v>
      </c>
    </row>
    <row r="528" spans="2:6" x14ac:dyDescent="0.25">
      <c r="B528" s="46" t="s">
        <v>999</v>
      </c>
      <c r="C528" s="40" t="s">
        <v>1000</v>
      </c>
    </row>
    <row r="529" spans="2:3" x14ac:dyDescent="0.25">
      <c r="B529" s="46" t="s">
        <v>1001</v>
      </c>
      <c r="C529" s="40" t="s">
        <v>1002</v>
      </c>
    </row>
    <row r="530" spans="2:3" x14ac:dyDescent="0.25">
      <c r="B530" s="46" t="s">
        <v>1003</v>
      </c>
      <c r="C530" s="40" t="s">
        <v>1004</v>
      </c>
    </row>
    <row r="531" spans="2:3" x14ac:dyDescent="0.25">
      <c r="B531" s="46" t="s">
        <v>1005</v>
      </c>
      <c r="C531" s="40" t="s">
        <v>1006</v>
      </c>
    </row>
    <row r="532" spans="2:3" x14ac:dyDescent="0.25">
      <c r="B532" s="46" t="s">
        <v>1007</v>
      </c>
      <c r="C532" s="40" t="s">
        <v>1008</v>
      </c>
    </row>
    <row r="533" spans="2:3" x14ac:dyDescent="0.25">
      <c r="B533" s="46" t="s">
        <v>1009</v>
      </c>
      <c r="C533" s="40" t="s">
        <v>1010</v>
      </c>
    </row>
    <row r="534" spans="2:3" x14ac:dyDescent="0.25">
      <c r="B534" s="46" t="s">
        <v>1011</v>
      </c>
      <c r="C534" s="40" t="s">
        <v>1012</v>
      </c>
    </row>
    <row r="535" spans="2:3" x14ac:dyDescent="0.25">
      <c r="B535" s="46" t="s">
        <v>1013</v>
      </c>
      <c r="C535" s="40" t="s">
        <v>1014</v>
      </c>
    </row>
    <row r="536" spans="2:3" x14ac:dyDescent="0.25">
      <c r="B536" s="46" t="s">
        <v>1015</v>
      </c>
      <c r="C536" s="40" t="s">
        <v>1016</v>
      </c>
    </row>
    <row r="537" spans="2:3" x14ac:dyDescent="0.25">
      <c r="B537" s="46" t="s">
        <v>1017</v>
      </c>
      <c r="C537" s="40" t="s">
        <v>1018</v>
      </c>
    </row>
    <row r="538" spans="2:3" x14ac:dyDescent="0.25">
      <c r="B538" s="46" t="s">
        <v>1019</v>
      </c>
      <c r="C538" s="40" t="s">
        <v>1020</v>
      </c>
    </row>
    <row r="539" spans="2:3" x14ac:dyDescent="0.25">
      <c r="B539" s="46" t="s">
        <v>1021</v>
      </c>
      <c r="C539" s="40" t="s">
        <v>1022</v>
      </c>
    </row>
    <row r="540" spans="2:3" x14ac:dyDescent="0.25">
      <c r="B540" s="46" t="s">
        <v>1023</v>
      </c>
      <c r="C540" s="40" t="s">
        <v>1024</v>
      </c>
    </row>
    <row r="541" spans="2:3" x14ac:dyDescent="0.25">
      <c r="B541" s="46" t="s">
        <v>1025</v>
      </c>
      <c r="C541" s="40" t="s">
        <v>1026</v>
      </c>
    </row>
    <row r="542" spans="2:3" x14ac:dyDescent="0.25">
      <c r="B542" s="46" t="s">
        <v>1027</v>
      </c>
      <c r="C542" s="40" t="s">
        <v>1028</v>
      </c>
    </row>
    <row r="543" spans="2:3" x14ac:dyDescent="0.25">
      <c r="B543" s="46" t="s">
        <v>1029</v>
      </c>
      <c r="C543" s="40" t="s">
        <v>1030</v>
      </c>
    </row>
    <row r="544" spans="2:3" x14ac:dyDescent="0.25">
      <c r="B544" s="46" t="s">
        <v>1031</v>
      </c>
      <c r="C544" s="40" t="s">
        <v>1032</v>
      </c>
    </row>
    <row r="545" spans="2:3" x14ac:dyDescent="0.25">
      <c r="B545" s="46" t="s">
        <v>1033</v>
      </c>
      <c r="C545" s="40" t="s">
        <v>1034</v>
      </c>
    </row>
    <row r="546" spans="2:3" x14ac:dyDescent="0.25">
      <c r="B546" s="46" t="s">
        <v>1035</v>
      </c>
      <c r="C546" s="40" t="s">
        <v>100</v>
      </c>
    </row>
    <row r="547" spans="2:3" x14ac:dyDescent="0.25">
      <c r="B547" s="46" t="s">
        <v>1036</v>
      </c>
      <c r="C547" s="40" t="s">
        <v>1037</v>
      </c>
    </row>
    <row r="548" spans="2:3" x14ac:dyDescent="0.25">
      <c r="B548" s="46" t="s">
        <v>1038</v>
      </c>
      <c r="C548" s="40" t="s">
        <v>1039</v>
      </c>
    </row>
    <row r="549" spans="2:3" x14ac:dyDescent="0.25">
      <c r="B549" s="46" t="s">
        <v>1040</v>
      </c>
      <c r="C549" s="40" t="s">
        <v>1041</v>
      </c>
    </row>
    <row r="550" spans="2:3" x14ac:dyDescent="0.25">
      <c r="B550" s="46" t="s">
        <v>1042</v>
      </c>
      <c r="C550" s="40" t="s">
        <v>1043</v>
      </c>
    </row>
    <row r="551" spans="2:3" x14ac:dyDescent="0.25">
      <c r="B551" s="46" t="s">
        <v>1044</v>
      </c>
      <c r="C551" s="40" t="s">
        <v>1045</v>
      </c>
    </row>
    <row r="552" spans="2:3" x14ac:dyDescent="0.25">
      <c r="B552" s="46" t="s">
        <v>1046</v>
      </c>
      <c r="C552" s="40" t="s">
        <v>1047</v>
      </c>
    </row>
    <row r="553" spans="2:3" x14ac:dyDescent="0.25">
      <c r="B553" s="46" t="s">
        <v>1048</v>
      </c>
      <c r="C553" s="40" t="s">
        <v>1049</v>
      </c>
    </row>
    <row r="554" spans="2:3" x14ac:dyDescent="0.25">
      <c r="B554" s="46" t="s">
        <v>1050</v>
      </c>
      <c r="C554" s="40" t="s">
        <v>1051</v>
      </c>
    </row>
    <row r="555" spans="2:3" x14ac:dyDescent="0.25">
      <c r="B555" s="46" t="s">
        <v>1052</v>
      </c>
      <c r="C555" s="40" t="s">
        <v>1053</v>
      </c>
    </row>
    <row r="556" spans="2:3" x14ac:dyDescent="0.25">
      <c r="B556" s="46" t="s">
        <v>1054</v>
      </c>
      <c r="C556" s="40" t="s">
        <v>1055</v>
      </c>
    </row>
    <row r="557" spans="2:3" x14ac:dyDescent="0.25">
      <c r="B557" s="46" t="s">
        <v>1056</v>
      </c>
      <c r="C557" s="40" t="s">
        <v>1057</v>
      </c>
    </row>
    <row r="558" spans="2:3" x14ac:dyDescent="0.25">
      <c r="B558" s="46" t="s">
        <v>1058</v>
      </c>
      <c r="C558" s="40" t="s">
        <v>1059</v>
      </c>
    </row>
    <row r="559" spans="2:3" x14ac:dyDescent="0.25">
      <c r="B559" s="46" t="s">
        <v>1060</v>
      </c>
      <c r="C559" s="40" t="s">
        <v>1061</v>
      </c>
    </row>
    <row r="560" spans="2:3" x14ac:dyDescent="0.25">
      <c r="B560" s="46" t="s">
        <v>595</v>
      </c>
      <c r="C560" s="40" t="s">
        <v>1062</v>
      </c>
    </row>
    <row r="561" spans="2:3" x14ac:dyDescent="0.25">
      <c r="B561" s="46" t="s">
        <v>1063</v>
      </c>
      <c r="C561" s="40" t="s">
        <v>1064</v>
      </c>
    </row>
    <row r="562" spans="2:3" x14ac:dyDescent="0.25">
      <c r="B562" s="46" t="s">
        <v>1065</v>
      </c>
      <c r="C562" s="40" t="s">
        <v>1066</v>
      </c>
    </row>
    <row r="563" spans="2:3" x14ac:dyDescent="0.25">
      <c r="B563" s="46" t="s">
        <v>1067</v>
      </c>
      <c r="C563" s="40" t="s">
        <v>1068</v>
      </c>
    </row>
    <row r="564" spans="2:3" x14ac:dyDescent="0.25">
      <c r="B564" s="46" t="s">
        <v>1069</v>
      </c>
      <c r="C564" s="40" t="s">
        <v>1070</v>
      </c>
    </row>
    <row r="565" spans="2:3" x14ac:dyDescent="0.25">
      <c r="B565" s="46" t="s">
        <v>1071</v>
      </c>
      <c r="C565" s="40" t="s">
        <v>1072</v>
      </c>
    </row>
    <row r="566" spans="2:3" x14ac:dyDescent="0.25">
      <c r="B566" s="46" t="s">
        <v>1073</v>
      </c>
      <c r="C566" s="40" t="s">
        <v>1074</v>
      </c>
    </row>
    <row r="567" spans="2:3" x14ac:dyDescent="0.25">
      <c r="B567" s="46" t="s">
        <v>1075</v>
      </c>
      <c r="C567" s="40" t="s">
        <v>1076</v>
      </c>
    </row>
    <row r="568" spans="2:3" x14ac:dyDescent="0.25">
      <c r="B568" s="46" t="s">
        <v>1077</v>
      </c>
      <c r="C568" s="40" t="s">
        <v>1078</v>
      </c>
    </row>
    <row r="569" spans="2:3" x14ac:dyDescent="0.25">
      <c r="B569" s="46" t="s">
        <v>1079</v>
      </c>
      <c r="C569" s="40" t="s">
        <v>1080</v>
      </c>
    </row>
    <row r="570" spans="2:3" x14ac:dyDescent="0.25">
      <c r="B570" s="46" t="s">
        <v>1081</v>
      </c>
      <c r="C570" s="40" t="s">
        <v>1082</v>
      </c>
    </row>
    <row r="571" spans="2:3" x14ac:dyDescent="0.25">
      <c r="B571" s="46" t="s">
        <v>1083</v>
      </c>
      <c r="C571" s="40" t="s">
        <v>1084</v>
      </c>
    </row>
    <row r="572" spans="2:3" x14ac:dyDescent="0.25">
      <c r="B572" s="46" t="s">
        <v>1085</v>
      </c>
      <c r="C572" s="40" t="s">
        <v>1086</v>
      </c>
    </row>
    <row r="573" spans="2:3" x14ac:dyDescent="0.25">
      <c r="B573" s="46" t="s">
        <v>1087</v>
      </c>
      <c r="C573" s="40" t="s">
        <v>1088</v>
      </c>
    </row>
    <row r="574" spans="2:3" x14ac:dyDescent="0.25">
      <c r="B574" s="46" t="s">
        <v>1089</v>
      </c>
      <c r="C574" s="40" t="s">
        <v>1090</v>
      </c>
    </row>
    <row r="575" spans="2:3" x14ac:dyDescent="0.25">
      <c r="B575" s="46" t="s">
        <v>1091</v>
      </c>
      <c r="C575" s="40" t="s">
        <v>1092</v>
      </c>
    </row>
    <row r="576" spans="2:3" x14ac:dyDescent="0.25">
      <c r="B576" s="46" t="s">
        <v>1093</v>
      </c>
      <c r="C576" s="40" t="s">
        <v>1094</v>
      </c>
    </row>
    <row r="577" spans="2:3" x14ac:dyDescent="0.25">
      <c r="B577" s="46" t="s">
        <v>1095</v>
      </c>
      <c r="C577" s="40" t="s">
        <v>1096</v>
      </c>
    </row>
    <row r="578" spans="2:3" x14ac:dyDescent="0.25">
      <c r="B578" s="46" t="s">
        <v>1097</v>
      </c>
      <c r="C578" s="40" t="s">
        <v>1098</v>
      </c>
    </row>
    <row r="579" spans="2:3" x14ac:dyDescent="0.25">
      <c r="B579" s="46" t="s">
        <v>1099</v>
      </c>
      <c r="C579" s="40" t="s">
        <v>1100</v>
      </c>
    </row>
    <row r="580" spans="2:3" x14ac:dyDescent="0.25">
      <c r="B580" s="46" t="s">
        <v>1101</v>
      </c>
      <c r="C580" s="40" t="s">
        <v>1102</v>
      </c>
    </row>
    <row r="581" spans="2:3" x14ac:dyDescent="0.25">
      <c r="B581" s="46" t="s">
        <v>1103</v>
      </c>
      <c r="C581" s="40" t="s">
        <v>1104</v>
      </c>
    </row>
    <row r="582" spans="2:3" x14ac:dyDescent="0.25">
      <c r="B582" s="46" t="s">
        <v>1105</v>
      </c>
      <c r="C582" s="40" t="s">
        <v>1106</v>
      </c>
    </row>
    <row r="583" spans="2:3" x14ac:dyDescent="0.25">
      <c r="B583" s="46" t="s">
        <v>1107</v>
      </c>
      <c r="C583" s="40" t="s">
        <v>1108</v>
      </c>
    </row>
    <row r="584" spans="2:3" x14ac:dyDescent="0.25">
      <c r="B584" s="46" t="s">
        <v>1109</v>
      </c>
      <c r="C584" s="40" t="s">
        <v>1110</v>
      </c>
    </row>
    <row r="585" spans="2:3" x14ac:dyDescent="0.25">
      <c r="B585" s="46" t="s">
        <v>1111</v>
      </c>
      <c r="C585" s="40" t="s">
        <v>1112</v>
      </c>
    </row>
    <row r="586" spans="2:3" x14ac:dyDescent="0.25">
      <c r="B586" s="46" t="s">
        <v>1113</v>
      </c>
      <c r="C586" s="40" t="s">
        <v>1114</v>
      </c>
    </row>
    <row r="587" spans="2:3" x14ac:dyDescent="0.25">
      <c r="B587" s="46" t="s">
        <v>1115</v>
      </c>
      <c r="C587" s="40" t="s">
        <v>1116</v>
      </c>
    </row>
    <row r="588" spans="2:3" x14ac:dyDescent="0.25">
      <c r="B588" s="46" t="s">
        <v>1117</v>
      </c>
      <c r="C588" s="40" t="s">
        <v>1118</v>
      </c>
    </row>
    <row r="589" spans="2:3" x14ac:dyDescent="0.25">
      <c r="B589" s="46" t="s">
        <v>1119</v>
      </c>
      <c r="C589" s="40" t="s">
        <v>1120</v>
      </c>
    </row>
    <row r="590" spans="2:3" x14ac:dyDescent="0.25">
      <c r="B590" s="46" t="s">
        <v>1121</v>
      </c>
      <c r="C590" s="40" t="s">
        <v>1122</v>
      </c>
    </row>
    <row r="591" spans="2:3" x14ac:dyDescent="0.25">
      <c r="B591" s="46" t="s">
        <v>1123</v>
      </c>
      <c r="C591" s="40" t="s">
        <v>1124</v>
      </c>
    </row>
    <row r="592" spans="2:3" x14ac:dyDescent="0.25">
      <c r="B592" s="46" t="s">
        <v>1125</v>
      </c>
      <c r="C592" s="40" t="s">
        <v>1126</v>
      </c>
    </row>
    <row r="593" spans="2:3" x14ac:dyDescent="0.25">
      <c r="B593" s="46" t="s">
        <v>1127</v>
      </c>
      <c r="C593" s="40" t="s">
        <v>1128</v>
      </c>
    </row>
    <row r="594" spans="2:3" x14ac:dyDescent="0.25">
      <c r="B594" s="46" t="s">
        <v>1129</v>
      </c>
      <c r="C594" s="40" t="s">
        <v>1130</v>
      </c>
    </row>
    <row r="595" spans="2:3" x14ac:dyDescent="0.25">
      <c r="B595" s="46" t="s">
        <v>1131</v>
      </c>
      <c r="C595" s="40" t="s">
        <v>1132</v>
      </c>
    </row>
    <row r="596" spans="2:3" x14ac:dyDescent="0.25">
      <c r="B596" s="46" t="s">
        <v>1133</v>
      </c>
      <c r="C596" s="40" t="s">
        <v>1134</v>
      </c>
    </row>
    <row r="597" spans="2:3" x14ac:dyDescent="0.25">
      <c r="B597" s="46" t="s">
        <v>1135</v>
      </c>
      <c r="C597" s="40" t="s">
        <v>1136</v>
      </c>
    </row>
    <row r="598" spans="2:3" x14ac:dyDescent="0.25">
      <c r="B598" s="46" t="s">
        <v>1137</v>
      </c>
      <c r="C598" s="40" t="s">
        <v>1138</v>
      </c>
    </row>
    <row r="599" spans="2:3" x14ac:dyDescent="0.25">
      <c r="B599" s="46" t="s">
        <v>1139</v>
      </c>
      <c r="C599" s="40" t="s">
        <v>1140</v>
      </c>
    </row>
    <row r="600" spans="2:3" x14ac:dyDescent="0.25">
      <c r="B600" s="46" t="s">
        <v>1141</v>
      </c>
      <c r="C600" s="40" t="s">
        <v>1142</v>
      </c>
    </row>
    <row r="601" spans="2:3" x14ac:dyDescent="0.25">
      <c r="B601" s="46" t="s">
        <v>1143</v>
      </c>
      <c r="C601" s="40" t="s">
        <v>1144</v>
      </c>
    </row>
    <row r="602" spans="2:3" x14ac:dyDescent="0.25">
      <c r="B602" s="46" t="s">
        <v>1145</v>
      </c>
      <c r="C602" s="40" t="s">
        <v>1146</v>
      </c>
    </row>
    <row r="603" spans="2:3" x14ac:dyDescent="0.25">
      <c r="B603" s="46" t="s">
        <v>1147</v>
      </c>
      <c r="C603" s="40" t="s">
        <v>1148</v>
      </c>
    </row>
    <row r="604" spans="2:3" x14ac:dyDescent="0.25">
      <c r="B604" s="46" t="s">
        <v>1149</v>
      </c>
      <c r="C604" s="40" t="s">
        <v>1150</v>
      </c>
    </row>
    <row r="605" spans="2:3" x14ac:dyDescent="0.25">
      <c r="B605" s="46" t="s">
        <v>1151</v>
      </c>
      <c r="C605" s="40" t="s">
        <v>1152</v>
      </c>
    </row>
    <row r="606" spans="2:3" x14ac:dyDescent="0.25">
      <c r="B606" s="46" t="s">
        <v>1153</v>
      </c>
      <c r="C606" s="40" t="s">
        <v>1154</v>
      </c>
    </row>
    <row r="607" spans="2:3" x14ac:dyDescent="0.25">
      <c r="B607" s="46" t="s">
        <v>1155</v>
      </c>
      <c r="C607" s="40" t="s">
        <v>1156</v>
      </c>
    </row>
    <row r="608" spans="2:3" x14ac:dyDescent="0.25">
      <c r="B608" s="46" t="s">
        <v>1157</v>
      </c>
      <c r="C608" s="40" t="s">
        <v>1158</v>
      </c>
    </row>
    <row r="609" spans="2:3" x14ac:dyDescent="0.25">
      <c r="B609" s="46" t="s">
        <v>1159</v>
      </c>
      <c r="C609" s="40" t="s">
        <v>1160</v>
      </c>
    </row>
    <row r="610" spans="2:3" x14ac:dyDescent="0.25">
      <c r="B610" s="46" t="s">
        <v>1161</v>
      </c>
      <c r="C610" s="40" t="s">
        <v>1162</v>
      </c>
    </row>
    <row r="611" spans="2:3" x14ac:dyDescent="0.25">
      <c r="B611" s="46" t="s">
        <v>1163</v>
      </c>
      <c r="C611" s="40" t="s">
        <v>1164</v>
      </c>
    </row>
    <row r="612" spans="2:3" x14ac:dyDescent="0.25">
      <c r="B612" s="46" t="s">
        <v>1165</v>
      </c>
      <c r="C612" s="40" t="s">
        <v>1166</v>
      </c>
    </row>
    <row r="613" spans="2:3" x14ac:dyDescent="0.25">
      <c r="B613" s="46" t="s">
        <v>1167</v>
      </c>
      <c r="C613" s="40" t="s">
        <v>1168</v>
      </c>
    </row>
    <row r="614" spans="2:3" x14ac:dyDescent="0.25">
      <c r="B614" s="46" t="s">
        <v>1169</v>
      </c>
      <c r="C614" s="40" t="s">
        <v>1170</v>
      </c>
    </row>
    <row r="615" spans="2:3" x14ac:dyDescent="0.25">
      <c r="B615" s="46" t="s">
        <v>1171</v>
      </c>
      <c r="C615" s="40" t="s">
        <v>1172</v>
      </c>
    </row>
    <row r="616" spans="2:3" x14ac:dyDescent="0.25">
      <c r="B616" s="46" t="s">
        <v>1173</v>
      </c>
      <c r="C616" s="40" t="s">
        <v>1174</v>
      </c>
    </row>
    <row r="617" spans="2:3" x14ac:dyDescent="0.25">
      <c r="B617" s="46" t="s">
        <v>1175</v>
      </c>
      <c r="C617" s="40" t="s">
        <v>1176</v>
      </c>
    </row>
    <row r="618" spans="2:3" x14ac:dyDescent="0.25">
      <c r="B618" s="46" t="s">
        <v>1177</v>
      </c>
      <c r="C618" s="40" t="s">
        <v>1178</v>
      </c>
    </row>
    <row r="619" spans="2:3" x14ac:dyDescent="0.25">
      <c r="B619" s="46" t="s">
        <v>1179</v>
      </c>
      <c r="C619" s="40" t="s">
        <v>1180</v>
      </c>
    </row>
    <row r="620" spans="2:3" x14ac:dyDescent="0.25">
      <c r="B620" s="46" t="s">
        <v>1181</v>
      </c>
      <c r="C620" s="40">
        <v>983</v>
      </c>
    </row>
    <row r="621" spans="2:3" x14ac:dyDescent="0.25">
      <c r="B621" s="46" t="s">
        <v>1182</v>
      </c>
      <c r="C621" s="40" t="s">
        <v>1183</v>
      </c>
    </row>
    <row r="622" spans="2:3" x14ac:dyDescent="0.25">
      <c r="B622" s="46" t="s">
        <v>1184</v>
      </c>
      <c r="C622" s="40" t="s">
        <v>1185</v>
      </c>
    </row>
    <row r="623" spans="2:3" x14ac:dyDescent="0.25">
      <c r="B623" s="46" t="s">
        <v>1186</v>
      </c>
      <c r="C623" s="40" t="s">
        <v>1187</v>
      </c>
    </row>
    <row r="624" spans="2:3" x14ac:dyDescent="0.25">
      <c r="B624" s="46" t="s">
        <v>1188</v>
      </c>
      <c r="C624" s="40" t="s">
        <v>1189</v>
      </c>
    </row>
    <row r="625" spans="2:3" x14ac:dyDescent="0.25">
      <c r="B625" s="46" t="s">
        <v>1190</v>
      </c>
      <c r="C625" s="40" t="s">
        <v>1191</v>
      </c>
    </row>
    <row r="626" spans="2:3" x14ac:dyDescent="0.25">
      <c r="B626" s="46" t="s">
        <v>1192</v>
      </c>
      <c r="C626" s="40" t="s">
        <v>1193</v>
      </c>
    </row>
    <row r="627" spans="2:3" x14ac:dyDescent="0.25">
      <c r="B627" s="46" t="s">
        <v>1194</v>
      </c>
      <c r="C627" s="40" t="s">
        <v>1195</v>
      </c>
    </row>
    <row r="628" spans="2:3" x14ac:dyDescent="0.25">
      <c r="B628" s="46" t="s">
        <v>1196</v>
      </c>
      <c r="C628" s="40" t="s">
        <v>1197</v>
      </c>
    </row>
    <row r="629" spans="2:3" x14ac:dyDescent="0.25">
      <c r="B629" s="46" t="s">
        <v>1198</v>
      </c>
      <c r="C629" s="40" t="s">
        <v>1199</v>
      </c>
    </row>
    <row r="630" spans="2:3" x14ac:dyDescent="0.25">
      <c r="B630" s="46" t="s">
        <v>1200</v>
      </c>
      <c r="C630" s="40" t="s">
        <v>1201</v>
      </c>
    </row>
    <row r="631" spans="2:3" x14ac:dyDescent="0.25">
      <c r="B631" s="46" t="s">
        <v>1202</v>
      </c>
      <c r="C631" s="40" t="s">
        <v>1203</v>
      </c>
    </row>
    <row r="632" spans="2:3" x14ac:dyDescent="0.25">
      <c r="B632" s="46" t="s">
        <v>1204</v>
      </c>
      <c r="C632" s="40" t="s">
        <v>1205</v>
      </c>
    </row>
    <row r="633" spans="2:3" x14ac:dyDescent="0.25">
      <c r="B633" s="46" t="s">
        <v>540</v>
      </c>
      <c r="C633" s="40" t="s">
        <v>1206</v>
      </c>
    </row>
    <row r="634" spans="2:3" x14ac:dyDescent="0.25">
      <c r="B634" s="46" t="s">
        <v>1207</v>
      </c>
      <c r="C634" s="40" t="s">
        <v>1208</v>
      </c>
    </row>
    <row r="635" spans="2:3" x14ac:dyDescent="0.25">
      <c r="B635" s="46" t="s">
        <v>1209</v>
      </c>
      <c r="C635" s="40" t="s">
        <v>1210</v>
      </c>
    </row>
    <row r="636" spans="2:3" x14ac:dyDescent="0.25">
      <c r="B636" s="46" t="s">
        <v>1211</v>
      </c>
      <c r="C636" s="40" t="s">
        <v>1212</v>
      </c>
    </row>
    <row r="637" spans="2:3" x14ac:dyDescent="0.25">
      <c r="B637" s="46" t="s">
        <v>1213</v>
      </c>
      <c r="C637" s="40" t="s">
        <v>1214</v>
      </c>
    </row>
    <row r="638" spans="2:3" x14ac:dyDescent="0.25">
      <c r="B638" s="46" t="s">
        <v>1215</v>
      </c>
      <c r="C638" s="40" t="s">
        <v>1216</v>
      </c>
    </row>
    <row r="639" spans="2:3" x14ac:dyDescent="0.25">
      <c r="B639" s="46" t="s">
        <v>1217</v>
      </c>
      <c r="C639" s="40" t="s">
        <v>1218</v>
      </c>
    </row>
    <row r="640" spans="2:3" x14ac:dyDescent="0.25">
      <c r="B640" s="46" t="s">
        <v>1219</v>
      </c>
      <c r="C640" s="40" t="s">
        <v>1220</v>
      </c>
    </row>
    <row r="641" spans="2:3" x14ac:dyDescent="0.25">
      <c r="B641" s="46" t="s">
        <v>1221</v>
      </c>
      <c r="C641" s="40" t="s">
        <v>1222</v>
      </c>
    </row>
    <row r="642" spans="2:3" x14ac:dyDescent="0.25">
      <c r="B642" s="46" t="s">
        <v>1223</v>
      </c>
      <c r="C642" s="40" t="s">
        <v>1224</v>
      </c>
    </row>
    <row r="643" spans="2:3" x14ac:dyDescent="0.25">
      <c r="B643" s="46" t="s">
        <v>1225</v>
      </c>
      <c r="C643" s="40" t="s">
        <v>1226</v>
      </c>
    </row>
    <row r="644" spans="2:3" x14ac:dyDescent="0.25">
      <c r="B644" s="46" t="s">
        <v>1227</v>
      </c>
      <c r="C644" s="40" t="s">
        <v>1228</v>
      </c>
    </row>
    <row r="645" spans="2:3" x14ac:dyDescent="0.25">
      <c r="B645" s="46" t="s">
        <v>1229</v>
      </c>
      <c r="C645" s="40" t="s">
        <v>1230</v>
      </c>
    </row>
    <row r="646" spans="2:3" x14ac:dyDescent="0.25">
      <c r="B646" s="46" t="s">
        <v>1231</v>
      </c>
      <c r="C646" s="40" t="s">
        <v>1232</v>
      </c>
    </row>
    <row r="647" spans="2:3" x14ac:dyDescent="0.25">
      <c r="B647" s="46" t="s">
        <v>1233</v>
      </c>
      <c r="C647" s="40" t="s">
        <v>1234</v>
      </c>
    </row>
    <row r="648" spans="2:3" x14ac:dyDescent="0.25">
      <c r="B648" s="46" t="s">
        <v>1235</v>
      </c>
      <c r="C648" s="40" t="s">
        <v>1236</v>
      </c>
    </row>
    <row r="649" spans="2:3" x14ac:dyDescent="0.25">
      <c r="B649" s="46" t="s">
        <v>1237</v>
      </c>
      <c r="C649" s="40" t="s">
        <v>1238</v>
      </c>
    </row>
    <row r="650" spans="2:3" x14ac:dyDescent="0.25">
      <c r="B650" s="46" t="s">
        <v>1239</v>
      </c>
      <c r="C650" s="40" t="s">
        <v>1240</v>
      </c>
    </row>
    <row r="651" spans="2:3" x14ac:dyDescent="0.25">
      <c r="B651" s="46" t="s">
        <v>1241</v>
      </c>
      <c r="C651" s="40" t="s">
        <v>1242</v>
      </c>
    </row>
    <row r="652" spans="2:3" ht="15.75" thickBot="1" x14ac:dyDescent="0.3">
      <c r="B652" s="47" t="s">
        <v>1243</v>
      </c>
      <c r="C652" s="41" t="s">
        <v>1244</v>
      </c>
    </row>
  </sheetData>
  <sortState ref="B327:C381">
    <sortCondition ref="B328"/>
  </sortState>
  <mergeCells count="2">
    <mergeCell ref="B2:C2"/>
    <mergeCell ref="E2:F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U7"/>
  <sheetViews>
    <sheetView workbookViewId="0">
      <selection activeCell="G24" sqref="G24"/>
    </sheetView>
  </sheetViews>
  <sheetFormatPr defaultRowHeight="15" x14ac:dyDescent="0.25"/>
  <cols>
    <col min="1" max="1" width="9.140625" style="55"/>
    <col min="2" max="5" width="11.28515625" style="55" customWidth="1"/>
    <col min="6" max="6" width="13" style="55" customWidth="1"/>
    <col min="7" max="8" width="11.28515625" style="55" customWidth="1"/>
    <col min="9" max="9" width="13.85546875" style="55" bestFit="1" customWidth="1"/>
    <col min="10" max="11" width="11.28515625" style="55" customWidth="1"/>
    <col min="12" max="12" width="12.28515625" style="55" bestFit="1" customWidth="1"/>
    <col min="13" max="15" width="11.28515625" style="55" customWidth="1"/>
    <col min="16" max="16" width="12.5703125" style="55" customWidth="1"/>
    <col min="17" max="21" width="11.28515625" style="55" customWidth="1"/>
    <col min="22" max="16384" width="9.140625" style="55"/>
  </cols>
  <sheetData>
    <row r="1" spans="2:21" ht="15.75" thickBot="1" x14ac:dyDescent="0.3"/>
    <row r="2" spans="2:21" ht="16.5" thickBot="1" x14ac:dyDescent="0.3">
      <c r="B2" s="65" t="s">
        <v>1245</v>
      </c>
      <c r="C2" s="66"/>
      <c r="D2" s="67"/>
      <c r="E2" s="67"/>
      <c r="F2" s="67"/>
      <c r="G2" s="67"/>
      <c r="H2" s="67"/>
      <c r="I2" s="67"/>
      <c r="J2" s="67"/>
      <c r="K2" s="67"/>
      <c r="L2" s="67"/>
      <c r="M2" s="67"/>
      <c r="N2" s="67"/>
      <c r="O2" s="67"/>
      <c r="P2" s="67"/>
      <c r="Q2" s="67"/>
      <c r="R2" s="67"/>
      <c r="S2" s="67"/>
      <c r="T2" s="67"/>
      <c r="U2" s="68"/>
    </row>
    <row r="3" spans="2:21" x14ac:dyDescent="0.25">
      <c r="B3" s="62" t="s">
        <v>1</v>
      </c>
      <c r="C3" s="63" t="s">
        <v>2</v>
      </c>
      <c r="D3" s="63" t="s">
        <v>3</v>
      </c>
      <c r="E3" s="63" t="s">
        <v>4</v>
      </c>
      <c r="F3" s="63" t="s">
        <v>5</v>
      </c>
      <c r="G3" s="63" t="s">
        <v>6</v>
      </c>
      <c r="H3" s="63" t="s">
        <v>7</v>
      </c>
      <c r="I3" s="63" t="s">
        <v>8</v>
      </c>
      <c r="J3" s="63" t="s">
        <v>10</v>
      </c>
      <c r="K3" s="63" t="s">
        <v>11</v>
      </c>
      <c r="L3" s="63" t="s">
        <v>12</v>
      </c>
      <c r="M3" s="63" t="s">
        <v>1246</v>
      </c>
      <c r="N3" s="63" t="s">
        <v>13</v>
      </c>
      <c r="O3" s="63" t="s">
        <v>15</v>
      </c>
      <c r="P3" s="63" t="s">
        <v>14</v>
      </c>
      <c r="Q3" s="63" t="s">
        <v>16</v>
      </c>
      <c r="R3" s="63" t="s">
        <v>17</v>
      </c>
      <c r="S3" s="63" t="s">
        <v>18</v>
      </c>
      <c r="T3" s="63" t="s">
        <v>19</v>
      </c>
      <c r="U3" s="64" t="s">
        <v>20</v>
      </c>
    </row>
    <row r="4" spans="2:21" ht="45" x14ac:dyDescent="0.25">
      <c r="B4" s="56" t="s">
        <v>162</v>
      </c>
      <c r="C4" s="57" t="s">
        <v>1247</v>
      </c>
      <c r="D4" s="57" t="s">
        <v>1248</v>
      </c>
      <c r="E4" s="57" t="s">
        <v>1247</v>
      </c>
      <c r="F4" s="57" t="s">
        <v>1247</v>
      </c>
      <c r="G4" s="57" t="s">
        <v>1247</v>
      </c>
      <c r="H4" s="57" t="s">
        <v>1247</v>
      </c>
      <c r="I4" s="57" t="s">
        <v>1249</v>
      </c>
      <c r="J4" s="57" t="s">
        <v>1250</v>
      </c>
      <c r="K4" s="57" t="s">
        <v>1247</v>
      </c>
      <c r="L4" s="57" t="s">
        <v>1251</v>
      </c>
      <c r="M4" s="57" t="s">
        <v>1249</v>
      </c>
      <c r="N4" s="57" t="s">
        <v>1247</v>
      </c>
      <c r="O4" s="57" t="s">
        <v>1247</v>
      </c>
      <c r="P4" s="57" t="s">
        <v>1247</v>
      </c>
      <c r="Q4" s="57" t="s">
        <v>1247</v>
      </c>
      <c r="R4" s="57" t="s">
        <v>1250</v>
      </c>
      <c r="S4" s="57" t="s">
        <v>1252</v>
      </c>
      <c r="T4" s="57" t="s">
        <v>1250</v>
      </c>
      <c r="U4" s="58" t="s">
        <v>1247</v>
      </c>
    </row>
    <row r="5" spans="2:21" ht="33" customHeight="1" x14ac:dyDescent="0.25">
      <c r="B5" s="56"/>
      <c r="C5" s="57"/>
      <c r="D5" s="57"/>
      <c r="E5" s="57"/>
      <c r="F5" s="57"/>
      <c r="G5" s="57" t="s">
        <v>1253</v>
      </c>
      <c r="H5" s="57"/>
      <c r="I5" s="57" t="s">
        <v>1254</v>
      </c>
      <c r="J5" s="57" t="s">
        <v>1255</v>
      </c>
      <c r="K5" s="57" t="s">
        <v>1253</v>
      </c>
      <c r="L5" s="57" t="s">
        <v>1256</v>
      </c>
      <c r="M5" s="57" t="s">
        <v>1253</v>
      </c>
      <c r="N5" s="57"/>
      <c r="P5" s="57" t="s">
        <v>1257</v>
      </c>
      <c r="Q5" s="57"/>
      <c r="R5" s="57" t="s">
        <v>1255</v>
      </c>
      <c r="S5" s="57" t="s">
        <v>1247</v>
      </c>
      <c r="T5" s="57"/>
      <c r="U5" s="58" t="s">
        <v>1258</v>
      </c>
    </row>
    <row r="6" spans="2:21" ht="33" customHeight="1" x14ac:dyDescent="0.25">
      <c r="B6" s="56"/>
      <c r="C6" s="57"/>
      <c r="D6" s="57"/>
      <c r="E6" s="57"/>
      <c r="F6" s="57"/>
      <c r="G6" s="57"/>
      <c r="H6" s="57"/>
      <c r="I6" s="57" t="s">
        <v>1247</v>
      </c>
      <c r="J6" s="57"/>
      <c r="K6" s="57"/>
      <c r="L6" s="57"/>
      <c r="M6" s="57" t="s">
        <v>1258</v>
      </c>
      <c r="N6" s="57"/>
      <c r="O6" s="57"/>
      <c r="P6" s="57"/>
      <c r="Q6" s="57"/>
      <c r="R6" s="57"/>
      <c r="S6" s="57" t="s">
        <v>1253</v>
      </c>
      <c r="T6" s="57"/>
      <c r="U6" s="58" t="s">
        <v>1253</v>
      </c>
    </row>
    <row r="7" spans="2:21" ht="45.75" thickBot="1" x14ac:dyDescent="0.3">
      <c r="B7" s="59"/>
      <c r="C7" s="60"/>
      <c r="D7" s="60"/>
      <c r="E7" s="60"/>
      <c r="F7" s="60"/>
      <c r="G7" s="60"/>
      <c r="H7" s="60"/>
      <c r="I7" s="60" t="s">
        <v>1258</v>
      </c>
      <c r="J7" s="60"/>
      <c r="K7" s="60"/>
      <c r="L7" s="60"/>
      <c r="M7" s="60" t="s">
        <v>1247</v>
      </c>
      <c r="N7" s="60"/>
      <c r="O7" s="60"/>
      <c r="P7" s="60"/>
      <c r="Q7" s="60"/>
      <c r="R7" s="60"/>
      <c r="S7" s="60"/>
      <c r="T7" s="60"/>
      <c r="U7" s="61" t="s">
        <v>1249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C1858"/>
  <sheetViews>
    <sheetView topLeftCell="A1564" workbookViewId="0">
      <selection activeCell="B1590" sqref="B1590"/>
    </sheetView>
  </sheetViews>
  <sheetFormatPr defaultRowHeight="15" x14ac:dyDescent="0.25"/>
  <cols>
    <col min="2" max="2" width="47.7109375" bestFit="1" customWidth="1"/>
    <col min="3" max="3" width="8.7109375" customWidth="1"/>
    <col min="4" max="4" width="43.85546875" customWidth="1"/>
  </cols>
  <sheetData>
    <row r="1" spans="2:3" ht="15.75" thickBot="1" x14ac:dyDescent="0.3"/>
    <row r="2" spans="2:3" ht="16.5" thickBot="1" x14ac:dyDescent="0.3">
      <c r="B2" s="48" t="s">
        <v>1260</v>
      </c>
      <c r="C2" s="49"/>
    </row>
    <row r="3" spans="2:3" ht="15.75" thickBot="1" x14ac:dyDescent="0.3">
      <c r="B3" s="74" t="s">
        <v>286</v>
      </c>
      <c r="C3" s="73" t="s">
        <v>612</v>
      </c>
    </row>
    <row r="4" spans="2:3" x14ac:dyDescent="0.25">
      <c r="B4" s="46" t="s">
        <v>1261</v>
      </c>
      <c r="C4" s="40" t="s">
        <v>1261</v>
      </c>
    </row>
    <row r="5" spans="2:3" x14ac:dyDescent="0.25">
      <c r="B5" s="46" t="s">
        <v>1263</v>
      </c>
      <c r="C5" s="40" t="s">
        <v>1262</v>
      </c>
    </row>
    <row r="6" spans="2:3" x14ac:dyDescent="0.25">
      <c r="B6" s="46" t="s">
        <v>1265</v>
      </c>
      <c r="C6" s="40" t="s">
        <v>1264</v>
      </c>
    </row>
    <row r="7" spans="2:3" x14ac:dyDescent="0.25">
      <c r="B7" s="46" t="s">
        <v>1267</v>
      </c>
      <c r="C7" s="40" t="s">
        <v>1266</v>
      </c>
    </row>
    <row r="8" spans="2:3" x14ac:dyDescent="0.25">
      <c r="B8" s="46" t="s">
        <v>1269</v>
      </c>
      <c r="C8" s="40" t="s">
        <v>1268</v>
      </c>
    </row>
    <row r="9" spans="2:3" x14ac:dyDescent="0.25">
      <c r="B9" s="46" t="s">
        <v>1271</v>
      </c>
      <c r="C9" s="40" t="s">
        <v>1270</v>
      </c>
    </row>
    <row r="10" spans="2:3" x14ac:dyDescent="0.25">
      <c r="B10" s="46" t="s">
        <v>1273</v>
      </c>
      <c r="C10" s="40" t="s">
        <v>1272</v>
      </c>
    </row>
    <row r="11" spans="2:3" x14ac:dyDescent="0.25">
      <c r="B11" s="46" t="s">
        <v>1275</v>
      </c>
      <c r="C11" s="40" t="s">
        <v>1274</v>
      </c>
    </row>
    <row r="12" spans="2:3" x14ac:dyDescent="0.25">
      <c r="B12" s="46" t="s">
        <v>1277</v>
      </c>
      <c r="C12" s="40" t="s">
        <v>1276</v>
      </c>
    </row>
    <row r="13" spans="2:3" x14ac:dyDescent="0.25">
      <c r="B13" s="46" t="s">
        <v>1279</v>
      </c>
      <c r="C13" s="40" t="s">
        <v>1278</v>
      </c>
    </row>
    <row r="14" spans="2:3" x14ac:dyDescent="0.25">
      <c r="B14" s="46" t="s">
        <v>1281</v>
      </c>
      <c r="C14" s="40" t="s">
        <v>1280</v>
      </c>
    </row>
    <row r="15" spans="2:3" x14ac:dyDescent="0.25">
      <c r="B15" s="46" t="s">
        <v>1283</v>
      </c>
      <c r="C15" s="40" t="s">
        <v>1282</v>
      </c>
    </row>
    <row r="16" spans="2:3" x14ac:dyDescent="0.25">
      <c r="B16" s="46" t="s">
        <v>1285</v>
      </c>
      <c r="C16" s="40" t="s">
        <v>1284</v>
      </c>
    </row>
    <row r="17" spans="2:3" x14ac:dyDescent="0.25">
      <c r="B17" s="46" t="s">
        <v>1287</v>
      </c>
      <c r="C17" s="40" t="s">
        <v>1286</v>
      </c>
    </row>
    <row r="18" spans="2:3" x14ac:dyDescent="0.25">
      <c r="B18" s="46" t="s">
        <v>1289</v>
      </c>
      <c r="C18" s="40" t="s">
        <v>1288</v>
      </c>
    </row>
    <row r="19" spans="2:3" x14ac:dyDescent="0.25">
      <c r="B19" s="46" t="s">
        <v>1291</v>
      </c>
      <c r="C19" s="40" t="s">
        <v>1290</v>
      </c>
    </row>
    <row r="20" spans="2:3" x14ac:dyDescent="0.25">
      <c r="B20" s="46" t="s">
        <v>1293</v>
      </c>
      <c r="C20" s="40" t="s">
        <v>1292</v>
      </c>
    </row>
    <row r="21" spans="2:3" x14ac:dyDescent="0.25">
      <c r="B21" s="46" t="s">
        <v>1295</v>
      </c>
      <c r="C21" s="40" t="s">
        <v>1294</v>
      </c>
    </row>
    <row r="22" spans="2:3" x14ac:dyDescent="0.25">
      <c r="B22" s="46" t="s">
        <v>1297</v>
      </c>
      <c r="C22" s="40" t="s">
        <v>1296</v>
      </c>
    </row>
    <row r="23" spans="2:3" x14ac:dyDescent="0.25">
      <c r="B23" s="46" t="s">
        <v>1299</v>
      </c>
      <c r="C23" s="40" t="s">
        <v>1298</v>
      </c>
    </row>
    <row r="24" spans="2:3" x14ac:dyDescent="0.25">
      <c r="B24" s="46" t="s">
        <v>1301</v>
      </c>
      <c r="C24" s="40" t="s">
        <v>1300</v>
      </c>
    </row>
    <row r="25" spans="2:3" x14ac:dyDescent="0.25">
      <c r="B25" s="46" t="s">
        <v>1303</v>
      </c>
      <c r="C25" s="40" t="s">
        <v>1302</v>
      </c>
    </row>
    <row r="26" spans="2:3" x14ac:dyDescent="0.25">
      <c r="B26" s="46" t="s">
        <v>1305</v>
      </c>
      <c r="C26" s="40" t="s">
        <v>1304</v>
      </c>
    </row>
    <row r="27" spans="2:3" x14ac:dyDescent="0.25">
      <c r="B27" s="46" t="s">
        <v>1307</v>
      </c>
      <c r="C27" s="40" t="s">
        <v>1306</v>
      </c>
    </row>
    <row r="28" spans="2:3" x14ac:dyDescent="0.25">
      <c r="B28" s="46" t="s">
        <v>1309</v>
      </c>
      <c r="C28" s="40" t="s">
        <v>1308</v>
      </c>
    </row>
    <row r="29" spans="2:3" x14ac:dyDescent="0.25">
      <c r="B29" s="46" t="s">
        <v>1311</v>
      </c>
      <c r="C29" s="40" t="s">
        <v>1310</v>
      </c>
    </row>
    <row r="30" spans="2:3" x14ac:dyDescent="0.25">
      <c r="B30" s="46" t="s">
        <v>1313</v>
      </c>
      <c r="C30" s="40" t="s">
        <v>1312</v>
      </c>
    </row>
    <row r="31" spans="2:3" x14ac:dyDescent="0.25">
      <c r="B31" s="46" t="s">
        <v>1315</v>
      </c>
      <c r="C31" s="40" t="s">
        <v>1314</v>
      </c>
    </row>
    <row r="32" spans="2:3" x14ac:dyDescent="0.25">
      <c r="B32" s="46" t="s">
        <v>1317</v>
      </c>
      <c r="C32" s="40" t="s">
        <v>1316</v>
      </c>
    </row>
    <row r="33" spans="2:3" x14ac:dyDescent="0.25">
      <c r="B33" s="46" t="s">
        <v>1319</v>
      </c>
      <c r="C33" s="40" t="s">
        <v>1318</v>
      </c>
    </row>
    <row r="34" spans="2:3" x14ac:dyDescent="0.25">
      <c r="B34" s="46" t="s">
        <v>1321</v>
      </c>
      <c r="C34" s="40" t="s">
        <v>1320</v>
      </c>
    </row>
    <row r="35" spans="2:3" x14ac:dyDescent="0.25">
      <c r="B35" s="46" t="s">
        <v>1323</v>
      </c>
      <c r="C35" s="40" t="s">
        <v>1322</v>
      </c>
    </row>
    <row r="36" spans="2:3" x14ac:dyDescent="0.25">
      <c r="B36" s="46" t="s">
        <v>1325</v>
      </c>
      <c r="C36" s="40" t="s">
        <v>1324</v>
      </c>
    </row>
    <row r="37" spans="2:3" x14ac:dyDescent="0.25">
      <c r="B37" s="46" t="s">
        <v>1327</v>
      </c>
      <c r="C37" s="40" t="s">
        <v>1326</v>
      </c>
    </row>
    <row r="38" spans="2:3" x14ac:dyDescent="0.25">
      <c r="B38" s="46" t="s">
        <v>1329</v>
      </c>
      <c r="C38" s="40" t="s">
        <v>1328</v>
      </c>
    </row>
    <row r="39" spans="2:3" x14ac:dyDescent="0.25">
      <c r="B39" s="46" t="s">
        <v>1331</v>
      </c>
      <c r="C39" s="40" t="s">
        <v>1330</v>
      </c>
    </row>
    <row r="40" spans="2:3" x14ac:dyDescent="0.25">
      <c r="B40" s="46" t="s">
        <v>1333</v>
      </c>
      <c r="C40" s="40" t="s">
        <v>1332</v>
      </c>
    </row>
    <row r="41" spans="2:3" x14ac:dyDescent="0.25">
      <c r="B41" s="46" t="s">
        <v>1335</v>
      </c>
      <c r="C41" s="40" t="s">
        <v>1334</v>
      </c>
    </row>
    <row r="42" spans="2:3" x14ac:dyDescent="0.25">
      <c r="B42" s="46" t="s">
        <v>1337</v>
      </c>
      <c r="C42" s="40" t="s">
        <v>1336</v>
      </c>
    </row>
    <row r="43" spans="2:3" x14ac:dyDescent="0.25">
      <c r="B43" s="46" t="s">
        <v>1339</v>
      </c>
      <c r="C43" s="40" t="s">
        <v>1338</v>
      </c>
    </row>
    <row r="44" spans="2:3" x14ac:dyDescent="0.25">
      <c r="B44" s="46" t="s">
        <v>1341</v>
      </c>
      <c r="C44" s="40" t="s">
        <v>1340</v>
      </c>
    </row>
    <row r="45" spans="2:3" x14ac:dyDescent="0.25">
      <c r="B45" s="46" t="s">
        <v>1343</v>
      </c>
      <c r="C45" s="40" t="s">
        <v>1342</v>
      </c>
    </row>
    <row r="46" spans="2:3" x14ac:dyDescent="0.25">
      <c r="B46" s="46" t="s">
        <v>1345</v>
      </c>
      <c r="C46" s="40" t="s">
        <v>1344</v>
      </c>
    </row>
    <row r="47" spans="2:3" x14ac:dyDescent="0.25">
      <c r="B47" s="46" t="s">
        <v>1347</v>
      </c>
      <c r="C47" s="40" t="s">
        <v>1346</v>
      </c>
    </row>
    <row r="48" spans="2:3" x14ac:dyDescent="0.25">
      <c r="B48" s="46" t="s">
        <v>1349</v>
      </c>
      <c r="C48" s="40" t="s">
        <v>1348</v>
      </c>
    </row>
    <row r="49" spans="2:3" x14ac:dyDescent="0.25">
      <c r="B49" s="46" t="s">
        <v>1351</v>
      </c>
      <c r="C49" s="40" t="s">
        <v>1350</v>
      </c>
    </row>
    <row r="50" spans="2:3" x14ac:dyDescent="0.25">
      <c r="B50" s="46" t="s">
        <v>1353</v>
      </c>
      <c r="C50" s="40" t="s">
        <v>1352</v>
      </c>
    </row>
    <row r="51" spans="2:3" x14ac:dyDescent="0.25">
      <c r="B51" s="46" t="s">
        <v>1355</v>
      </c>
      <c r="C51" s="40" t="s">
        <v>1354</v>
      </c>
    </row>
    <row r="52" spans="2:3" x14ac:dyDescent="0.25">
      <c r="B52" s="46" t="s">
        <v>1357</v>
      </c>
      <c r="C52" s="40" t="s">
        <v>1356</v>
      </c>
    </row>
    <row r="53" spans="2:3" x14ac:dyDescent="0.25">
      <c r="B53" s="46" t="s">
        <v>1359</v>
      </c>
      <c r="C53" s="40" t="s">
        <v>1358</v>
      </c>
    </row>
    <row r="54" spans="2:3" x14ac:dyDescent="0.25">
      <c r="B54" s="46" t="s">
        <v>1361</v>
      </c>
      <c r="C54" s="40" t="s">
        <v>1360</v>
      </c>
    </row>
    <row r="55" spans="2:3" x14ac:dyDescent="0.25">
      <c r="B55" s="46" t="s">
        <v>1363</v>
      </c>
      <c r="C55" s="40" t="s">
        <v>1362</v>
      </c>
    </row>
    <row r="56" spans="2:3" x14ac:dyDescent="0.25">
      <c r="B56" s="46" t="s">
        <v>1365</v>
      </c>
      <c r="C56" s="40" t="s">
        <v>1364</v>
      </c>
    </row>
    <row r="57" spans="2:3" x14ac:dyDescent="0.25">
      <c r="B57" s="46" t="s">
        <v>1367</v>
      </c>
      <c r="C57" s="40" t="s">
        <v>1366</v>
      </c>
    </row>
    <row r="58" spans="2:3" x14ac:dyDescent="0.25">
      <c r="B58" s="46" t="s">
        <v>1369</v>
      </c>
      <c r="C58" s="40" t="s">
        <v>1368</v>
      </c>
    </row>
    <row r="59" spans="2:3" x14ac:dyDescent="0.25">
      <c r="B59" s="46" t="s">
        <v>1371</v>
      </c>
      <c r="C59" s="40" t="s">
        <v>1370</v>
      </c>
    </row>
    <row r="60" spans="2:3" x14ac:dyDescent="0.25">
      <c r="B60" s="46" t="s">
        <v>1373</v>
      </c>
      <c r="C60" s="40" t="s">
        <v>1372</v>
      </c>
    </row>
    <row r="61" spans="2:3" x14ac:dyDescent="0.25">
      <c r="B61" s="46" t="s">
        <v>1375</v>
      </c>
      <c r="C61" s="40" t="s">
        <v>1374</v>
      </c>
    </row>
    <row r="62" spans="2:3" x14ac:dyDescent="0.25">
      <c r="B62" s="46" t="s">
        <v>1377</v>
      </c>
      <c r="C62" s="40" t="s">
        <v>1376</v>
      </c>
    </row>
    <row r="63" spans="2:3" x14ac:dyDescent="0.25">
      <c r="B63" s="46" t="s">
        <v>1379</v>
      </c>
      <c r="C63" s="40" t="s">
        <v>1378</v>
      </c>
    </row>
    <row r="64" spans="2:3" x14ac:dyDescent="0.25">
      <c r="B64" s="46" t="s">
        <v>1381</v>
      </c>
      <c r="C64" s="40" t="s">
        <v>1380</v>
      </c>
    </row>
    <row r="65" spans="2:3" x14ac:dyDescent="0.25">
      <c r="B65" s="46" t="s">
        <v>1383</v>
      </c>
      <c r="C65" s="40" t="s">
        <v>1382</v>
      </c>
    </row>
    <row r="66" spans="2:3" x14ac:dyDescent="0.25">
      <c r="B66" s="46" t="s">
        <v>1385</v>
      </c>
      <c r="C66" s="40" t="s">
        <v>1384</v>
      </c>
    </row>
    <row r="67" spans="2:3" x14ac:dyDescent="0.25">
      <c r="B67" s="46" t="s">
        <v>1387</v>
      </c>
      <c r="C67" s="40" t="s">
        <v>1386</v>
      </c>
    </row>
    <row r="68" spans="2:3" x14ac:dyDescent="0.25">
      <c r="B68" s="46" t="s">
        <v>1389</v>
      </c>
      <c r="C68" s="40" t="s">
        <v>1388</v>
      </c>
    </row>
    <row r="69" spans="2:3" x14ac:dyDescent="0.25">
      <c r="B69" s="46" t="s">
        <v>1391</v>
      </c>
      <c r="C69" s="40" t="s">
        <v>1390</v>
      </c>
    </row>
    <row r="70" spans="2:3" x14ac:dyDescent="0.25">
      <c r="B70" s="46" t="s">
        <v>1393</v>
      </c>
      <c r="C70" s="40" t="s">
        <v>1392</v>
      </c>
    </row>
    <row r="71" spans="2:3" x14ac:dyDescent="0.25">
      <c r="B71" s="46" t="s">
        <v>1395</v>
      </c>
      <c r="C71" s="40" t="s">
        <v>1394</v>
      </c>
    </row>
    <row r="72" spans="2:3" x14ac:dyDescent="0.25">
      <c r="B72" s="46" t="s">
        <v>1397</v>
      </c>
      <c r="C72" s="40" t="s">
        <v>1396</v>
      </c>
    </row>
    <row r="73" spans="2:3" x14ac:dyDescent="0.25">
      <c r="B73" s="46" t="s">
        <v>1399</v>
      </c>
      <c r="C73" s="40" t="s">
        <v>1398</v>
      </c>
    </row>
    <row r="74" spans="2:3" x14ac:dyDescent="0.25">
      <c r="B74" s="46" t="s">
        <v>1401</v>
      </c>
      <c r="C74" s="40" t="s">
        <v>1400</v>
      </c>
    </row>
    <row r="75" spans="2:3" x14ac:dyDescent="0.25">
      <c r="B75" s="46" t="s">
        <v>1403</v>
      </c>
      <c r="C75" s="40" t="s">
        <v>1402</v>
      </c>
    </row>
    <row r="76" spans="2:3" x14ac:dyDescent="0.25">
      <c r="B76" s="46" t="s">
        <v>1405</v>
      </c>
      <c r="C76" s="40" t="s">
        <v>1404</v>
      </c>
    </row>
    <row r="77" spans="2:3" x14ac:dyDescent="0.25">
      <c r="B77" s="46" t="s">
        <v>1407</v>
      </c>
      <c r="C77" s="40" t="s">
        <v>1406</v>
      </c>
    </row>
    <row r="78" spans="2:3" x14ac:dyDescent="0.25">
      <c r="B78" s="46" t="s">
        <v>1409</v>
      </c>
      <c r="C78" s="40" t="s">
        <v>1408</v>
      </c>
    </row>
    <row r="79" spans="2:3" x14ac:dyDescent="0.25">
      <c r="B79" s="46" t="s">
        <v>1411</v>
      </c>
      <c r="C79" s="40" t="s">
        <v>1410</v>
      </c>
    </row>
    <row r="80" spans="2:3" x14ac:dyDescent="0.25">
      <c r="B80" s="46" t="s">
        <v>1413</v>
      </c>
      <c r="C80" s="40" t="s">
        <v>1412</v>
      </c>
    </row>
    <row r="81" spans="2:3" x14ac:dyDescent="0.25">
      <c r="B81" s="46" t="s">
        <v>1415</v>
      </c>
      <c r="C81" s="40" t="s">
        <v>1414</v>
      </c>
    </row>
    <row r="82" spans="2:3" x14ac:dyDescent="0.25">
      <c r="B82" s="46" t="s">
        <v>1417</v>
      </c>
      <c r="C82" s="40" t="s">
        <v>1416</v>
      </c>
    </row>
    <row r="83" spans="2:3" x14ac:dyDescent="0.25">
      <c r="B83" s="46" t="s">
        <v>1419</v>
      </c>
      <c r="C83" s="40" t="s">
        <v>1418</v>
      </c>
    </row>
    <row r="84" spans="2:3" x14ac:dyDescent="0.25">
      <c r="B84" s="46" t="s">
        <v>1421</v>
      </c>
      <c r="C84" s="40" t="s">
        <v>1420</v>
      </c>
    </row>
    <row r="85" spans="2:3" x14ac:dyDescent="0.25">
      <c r="B85" s="46" t="s">
        <v>1423</v>
      </c>
      <c r="C85" s="40" t="s">
        <v>1422</v>
      </c>
    </row>
    <row r="86" spans="2:3" x14ac:dyDescent="0.25">
      <c r="B86" s="46" t="s">
        <v>1425</v>
      </c>
      <c r="C86" s="40" t="s">
        <v>1424</v>
      </c>
    </row>
    <row r="87" spans="2:3" x14ac:dyDescent="0.25">
      <c r="B87" s="46" t="s">
        <v>1427</v>
      </c>
      <c r="C87" s="40" t="s">
        <v>1426</v>
      </c>
    </row>
    <row r="88" spans="2:3" x14ac:dyDescent="0.25">
      <c r="B88" s="46" t="s">
        <v>1429</v>
      </c>
      <c r="C88" s="40" t="s">
        <v>1428</v>
      </c>
    </row>
    <row r="89" spans="2:3" x14ac:dyDescent="0.25">
      <c r="B89" s="46" t="s">
        <v>1431</v>
      </c>
      <c r="C89" s="40" t="s">
        <v>1430</v>
      </c>
    </row>
    <row r="90" spans="2:3" x14ac:dyDescent="0.25">
      <c r="B90" s="46" t="s">
        <v>1433</v>
      </c>
      <c r="C90" s="40" t="s">
        <v>1432</v>
      </c>
    </row>
    <row r="91" spans="2:3" x14ac:dyDescent="0.25">
      <c r="B91" s="46" t="s">
        <v>1435</v>
      </c>
      <c r="C91" s="40" t="s">
        <v>1434</v>
      </c>
    </row>
    <row r="92" spans="2:3" x14ac:dyDescent="0.25">
      <c r="B92" s="46" t="s">
        <v>1437</v>
      </c>
      <c r="C92" s="40" t="s">
        <v>1436</v>
      </c>
    </row>
    <row r="93" spans="2:3" x14ac:dyDescent="0.25">
      <c r="B93" s="46" t="s">
        <v>1439</v>
      </c>
      <c r="C93" s="40" t="s">
        <v>1438</v>
      </c>
    </row>
    <row r="94" spans="2:3" x14ac:dyDescent="0.25">
      <c r="B94" s="46" t="s">
        <v>1441</v>
      </c>
      <c r="C94" s="40" t="s">
        <v>1440</v>
      </c>
    </row>
    <row r="95" spans="2:3" x14ac:dyDescent="0.25">
      <c r="B95" s="46" t="s">
        <v>1443</v>
      </c>
      <c r="C95" s="40" t="s">
        <v>1442</v>
      </c>
    </row>
    <row r="96" spans="2:3" x14ac:dyDescent="0.25">
      <c r="B96" s="46" t="s">
        <v>1445</v>
      </c>
      <c r="C96" s="40" t="s">
        <v>1444</v>
      </c>
    </row>
    <row r="97" spans="2:3" x14ac:dyDescent="0.25">
      <c r="B97" s="46" t="s">
        <v>1447</v>
      </c>
      <c r="C97" s="40" t="s">
        <v>1446</v>
      </c>
    </row>
    <row r="98" spans="2:3" x14ac:dyDescent="0.25">
      <c r="B98" s="46" t="s">
        <v>1449</v>
      </c>
      <c r="C98" s="40" t="s">
        <v>1448</v>
      </c>
    </row>
    <row r="99" spans="2:3" x14ac:dyDescent="0.25">
      <c r="B99" s="46" t="s">
        <v>1451</v>
      </c>
      <c r="C99" s="40" t="s">
        <v>1450</v>
      </c>
    </row>
    <row r="100" spans="2:3" x14ac:dyDescent="0.25">
      <c r="B100" s="46" t="s">
        <v>1453</v>
      </c>
      <c r="C100" s="40" t="s">
        <v>1452</v>
      </c>
    </row>
    <row r="101" spans="2:3" x14ac:dyDescent="0.25">
      <c r="B101" s="46" t="s">
        <v>1455</v>
      </c>
      <c r="C101" s="40" t="s">
        <v>1454</v>
      </c>
    </row>
    <row r="102" spans="2:3" x14ac:dyDescent="0.25">
      <c r="B102" s="46" t="s">
        <v>1457</v>
      </c>
      <c r="C102" s="40" t="s">
        <v>1456</v>
      </c>
    </row>
    <row r="103" spans="2:3" x14ac:dyDescent="0.25">
      <c r="B103" s="46" t="s">
        <v>1459</v>
      </c>
      <c r="C103" s="40" t="s">
        <v>1458</v>
      </c>
    </row>
    <row r="104" spans="2:3" x14ac:dyDescent="0.25">
      <c r="B104" s="46" t="s">
        <v>1461</v>
      </c>
      <c r="C104" s="40" t="s">
        <v>1460</v>
      </c>
    </row>
    <row r="105" spans="2:3" x14ac:dyDescent="0.25">
      <c r="B105" s="46" t="s">
        <v>1463</v>
      </c>
      <c r="C105" s="40" t="s">
        <v>1462</v>
      </c>
    </row>
    <row r="106" spans="2:3" x14ac:dyDescent="0.25">
      <c r="B106" s="46" t="s">
        <v>1465</v>
      </c>
      <c r="C106" s="40" t="s">
        <v>1464</v>
      </c>
    </row>
    <row r="107" spans="2:3" x14ac:dyDescent="0.25">
      <c r="B107" s="46" t="s">
        <v>1467</v>
      </c>
      <c r="C107" s="40" t="s">
        <v>1466</v>
      </c>
    </row>
    <row r="108" spans="2:3" x14ac:dyDescent="0.25">
      <c r="B108" s="46" t="s">
        <v>1469</v>
      </c>
      <c r="C108" s="40" t="s">
        <v>1468</v>
      </c>
    </row>
    <row r="109" spans="2:3" x14ac:dyDescent="0.25">
      <c r="B109" s="46" t="s">
        <v>1471</v>
      </c>
      <c r="C109" s="40" t="s">
        <v>1470</v>
      </c>
    </row>
    <row r="110" spans="2:3" x14ac:dyDescent="0.25">
      <c r="B110" s="46" t="s">
        <v>1473</v>
      </c>
      <c r="C110" s="40" t="s">
        <v>1472</v>
      </c>
    </row>
    <row r="111" spans="2:3" x14ac:dyDescent="0.25">
      <c r="B111" s="46" t="s">
        <v>1475</v>
      </c>
      <c r="C111" s="40" t="s">
        <v>1474</v>
      </c>
    </row>
    <row r="112" spans="2:3" x14ac:dyDescent="0.25">
      <c r="B112" s="46" t="s">
        <v>1477</v>
      </c>
      <c r="C112" s="40" t="s">
        <v>1476</v>
      </c>
    </row>
    <row r="113" spans="2:3" x14ac:dyDescent="0.25">
      <c r="B113" s="46" t="s">
        <v>1479</v>
      </c>
      <c r="C113" s="40" t="s">
        <v>1478</v>
      </c>
    </row>
    <row r="114" spans="2:3" x14ac:dyDescent="0.25">
      <c r="B114" s="46" t="s">
        <v>1481</v>
      </c>
      <c r="C114" s="40" t="s">
        <v>1480</v>
      </c>
    </row>
    <row r="115" spans="2:3" x14ac:dyDescent="0.25">
      <c r="B115" s="46" t="s">
        <v>1483</v>
      </c>
      <c r="C115" s="40" t="s">
        <v>1482</v>
      </c>
    </row>
    <row r="116" spans="2:3" x14ac:dyDescent="0.25">
      <c r="B116" s="46" t="s">
        <v>1485</v>
      </c>
      <c r="C116" s="40" t="s">
        <v>1484</v>
      </c>
    </row>
    <row r="117" spans="2:3" x14ac:dyDescent="0.25">
      <c r="B117" s="46" t="s">
        <v>1487</v>
      </c>
      <c r="C117" s="40" t="s">
        <v>1486</v>
      </c>
    </row>
    <row r="118" spans="2:3" x14ac:dyDescent="0.25">
      <c r="B118" s="46" t="s">
        <v>1489</v>
      </c>
      <c r="C118" s="40" t="s">
        <v>1488</v>
      </c>
    </row>
    <row r="119" spans="2:3" x14ac:dyDescent="0.25">
      <c r="B119" s="46" t="s">
        <v>1491</v>
      </c>
      <c r="C119" s="40" t="s">
        <v>1490</v>
      </c>
    </row>
    <row r="120" spans="2:3" x14ac:dyDescent="0.25">
      <c r="B120" s="46" t="s">
        <v>1493</v>
      </c>
      <c r="C120" s="40" t="s">
        <v>1492</v>
      </c>
    </row>
    <row r="121" spans="2:3" x14ac:dyDescent="0.25">
      <c r="B121" s="46" t="s">
        <v>1495</v>
      </c>
      <c r="C121" s="40" t="s">
        <v>1494</v>
      </c>
    </row>
    <row r="122" spans="2:3" x14ac:dyDescent="0.25">
      <c r="B122" s="46" t="s">
        <v>1497</v>
      </c>
      <c r="C122" s="40" t="s">
        <v>1496</v>
      </c>
    </row>
    <row r="123" spans="2:3" x14ac:dyDescent="0.25">
      <c r="B123" s="46" t="s">
        <v>1499</v>
      </c>
      <c r="C123" s="40" t="s">
        <v>1498</v>
      </c>
    </row>
    <row r="124" spans="2:3" x14ac:dyDescent="0.25">
      <c r="B124" s="46" t="s">
        <v>1501</v>
      </c>
      <c r="C124" s="40" t="s">
        <v>1500</v>
      </c>
    </row>
    <row r="125" spans="2:3" x14ac:dyDescent="0.25">
      <c r="B125" s="46" t="s">
        <v>1503</v>
      </c>
      <c r="C125" s="40" t="s">
        <v>1502</v>
      </c>
    </row>
    <row r="126" spans="2:3" x14ac:dyDescent="0.25">
      <c r="B126" s="46" t="s">
        <v>1505</v>
      </c>
      <c r="C126" s="40" t="s">
        <v>1504</v>
      </c>
    </row>
    <row r="127" spans="2:3" x14ac:dyDescent="0.25">
      <c r="B127" s="46" t="s">
        <v>1507</v>
      </c>
      <c r="C127" s="40" t="s">
        <v>1506</v>
      </c>
    </row>
    <row r="128" spans="2:3" x14ac:dyDescent="0.25">
      <c r="B128" s="46" t="s">
        <v>1509</v>
      </c>
      <c r="C128" s="40" t="s">
        <v>1508</v>
      </c>
    </row>
    <row r="129" spans="2:3" x14ac:dyDescent="0.25">
      <c r="B129" s="46" t="s">
        <v>1511</v>
      </c>
      <c r="C129" s="40" t="s">
        <v>1510</v>
      </c>
    </row>
    <row r="130" spans="2:3" x14ac:dyDescent="0.25">
      <c r="B130" s="46" t="s">
        <v>1513</v>
      </c>
      <c r="C130" s="40" t="s">
        <v>1512</v>
      </c>
    </row>
    <row r="131" spans="2:3" x14ac:dyDescent="0.25">
      <c r="B131" s="46" t="s">
        <v>1515</v>
      </c>
      <c r="C131" s="40" t="s">
        <v>1514</v>
      </c>
    </row>
    <row r="132" spans="2:3" x14ac:dyDescent="0.25">
      <c r="B132" s="46" t="s">
        <v>1517</v>
      </c>
      <c r="C132" s="40" t="s">
        <v>1516</v>
      </c>
    </row>
    <row r="133" spans="2:3" x14ac:dyDescent="0.25">
      <c r="B133" s="46" t="s">
        <v>1519</v>
      </c>
      <c r="C133" s="40" t="s">
        <v>1518</v>
      </c>
    </row>
    <row r="134" spans="2:3" x14ac:dyDescent="0.25">
      <c r="B134" s="46" t="s">
        <v>1521</v>
      </c>
      <c r="C134" s="40" t="s">
        <v>1520</v>
      </c>
    </row>
    <row r="135" spans="2:3" x14ac:dyDescent="0.25">
      <c r="B135" s="46" t="s">
        <v>1523</v>
      </c>
      <c r="C135" s="40" t="s">
        <v>1522</v>
      </c>
    </row>
    <row r="136" spans="2:3" x14ac:dyDescent="0.25">
      <c r="B136" s="46" t="s">
        <v>1525</v>
      </c>
      <c r="C136" s="40" t="s">
        <v>1524</v>
      </c>
    </row>
    <row r="137" spans="2:3" x14ac:dyDescent="0.25">
      <c r="B137" s="46" t="s">
        <v>1527</v>
      </c>
      <c r="C137" s="40" t="s">
        <v>1526</v>
      </c>
    </row>
    <row r="138" spans="2:3" x14ac:dyDescent="0.25">
      <c r="B138" s="46" t="s">
        <v>1529</v>
      </c>
      <c r="C138" s="40" t="s">
        <v>1528</v>
      </c>
    </row>
    <row r="139" spans="2:3" x14ac:dyDescent="0.25">
      <c r="B139" s="46" t="s">
        <v>1531</v>
      </c>
      <c r="C139" s="40" t="s">
        <v>1530</v>
      </c>
    </row>
    <row r="140" spans="2:3" x14ac:dyDescent="0.25">
      <c r="B140" s="46" t="s">
        <v>1533</v>
      </c>
      <c r="C140" s="40" t="s">
        <v>1532</v>
      </c>
    </row>
    <row r="141" spans="2:3" x14ac:dyDescent="0.25">
      <c r="B141" s="46" t="s">
        <v>1535</v>
      </c>
      <c r="C141" s="40" t="s">
        <v>1534</v>
      </c>
    </row>
    <row r="142" spans="2:3" x14ac:dyDescent="0.25">
      <c r="B142" s="46" t="s">
        <v>1537</v>
      </c>
      <c r="C142" s="40" t="s">
        <v>1536</v>
      </c>
    </row>
    <row r="143" spans="2:3" x14ac:dyDescent="0.25">
      <c r="B143" s="46" t="s">
        <v>1539</v>
      </c>
      <c r="C143" s="40" t="s">
        <v>1538</v>
      </c>
    </row>
    <row r="144" spans="2:3" x14ac:dyDescent="0.25">
      <c r="B144" s="46" t="s">
        <v>1541</v>
      </c>
      <c r="C144" s="40" t="s">
        <v>1540</v>
      </c>
    </row>
    <row r="145" spans="2:3" x14ac:dyDescent="0.25">
      <c r="B145" s="46" t="s">
        <v>1543</v>
      </c>
      <c r="C145" s="40" t="s">
        <v>1542</v>
      </c>
    </row>
    <row r="146" spans="2:3" x14ac:dyDescent="0.25">
      <c r="B146" s="46" t="s">
        <v>1545</v>
      </c>
      <c r="C146" s="40" t="s">
        <v>1544</v>
      </c>
    </row>
    <row r="147" spans="2:3" x14ac:dyDescent="0.25">
      <c r="B147" s="46" t="s">
        <v>1547</v>
      </c>
      <c r="C147" s="40" t="s">
        <v>1546</v>
      </c>
    </row>
    <row r="148" spans="2:3" x14ac:dyDescent="0.25">
      <c r="B148" s="46" t="s">
        <v>1549</v>
      </c>
      <c r="C148" s="40" t="s">
        <v>1548</v>
      </c>
    </row>
    <row r="149" spans="2:3" x14ac:dyDescent="0.25">
      <c r="B149" s="46" t="s">
        <v>1551</v>
      </c>
      <c r="C149" s="40" t="s">
        <v>1550</v>
      </c>
    </row>
    <row r="150" spans="2:3" x14ac:dyDescent="0.25">
      <c r="B150" s="46" t="s">
        <v>1552</v>
      </c>
      <c r="C150" s="40" t="s">
        <v>1552</v>
      </c>
    </row>
    <row r="151" spans="2:3" x14ac:dyDescent="0.25">
      <c r="B151" s="46" t="s">
        <v>1554</v>
      </c>
      <c r="C151" s="40" t="s">
        <v>1553</v>
      </c>
    </row>
    <row r="152" spans="2:3" x14ac:dyDescent="0.25">
      <c r="B152" s="46" t="s">
        <v>1556</v>
      </c>
      <c r="C152" s="40" t="s">
        <v>1555</v>
      </c>
    </row>
    <row r="153" spans="2:3" x14ac:dyDescent="0.25">
      <c r="B153" s="46" t="s">
        <v>1558</v>
      </c>
      <c r="C153" s="40" t="s">
        <v>1557</v>
      </c>
    </row>
    <row r="154" spans="2:3" x14ac:dyDescent="0.25">
      <c r="B154" s="46" t="s">
        <v>1560</v>
      </c>
      <c r="C154" s="40" t="s">
        <v>1559</v>
      </c>
    </row>
    <row r="155" spans="2:3" x14ac:dyDescent="0.25">
      <c r="B155" s="46" t="s">
        <v>1562</v>
      </c>
      <c r="C155" s="40" t="s">
        <v>1561</v>
      </c>
    </row>
    <row r="156" spans="2:3" x14ac:dyDescent="0.25">
      <c r="B156" s="46" t="s">
        <v>1564</v>
      </c>
      <c r="C156" s="40" t="s">
        <v>1563</v>
      </c>
    </row>
    <row r="157" spans="2:3" x14ac:dyDescent="0.25">
      <c r="B157" s="46" t="s">
        <v>1566</v>
      </c>
      <c r="C157" s="40" t="s">
        <v>1565</v>
      </c>
    </row>
    <row r="158" spans="2:3" x14ac:dyDescent="0.25">
      <c r="B158" s="46" t="s">
        <v>1568</v>
      </c>
      <c r="C158" s="40" t="s">
        <v>1567</v>
      </c>
    </row>
    <row r="159" spans="2:3" x14ac:dyDescent="0.25">
      <c r="B159" s="46" t="s">
        <v>1570</v>
      </c>
      <c r="C159" s="40" t="s">
        <v>1569</v>
      </c>
    </row>
    <row r="160" spans="2:3" x14ac:dyDescent="0.25">
      <c r="B160" s="46" t="s">
        <v>1572</v>
      </c>
      <c r="C160" s="40" t="s">
        <v>1571</v>
      </c>
    </row>
    <row r="161" spans="2:3" x14ac:dyDescent="0.25">
      <c r="B161" s="46" t="s">
        <v>1574</v>
      </c>
      <c r="C161" s="40" t="s">
        <v>1573</v>
      </c>
    </row>
    <row r="162" spans="2:3" x14ac:dyDescent="0.25">
      <c r="B162" s="46" t="s">
        <v>1576</v>
      </c>
      <c r="C162" s="40" t="s">
        <v>1575</v>
      </c>
    </row>
    <row r="163" spans="2:3" x14ac:dyDescent="0.25">
      <c r="B163" s="46" t="s">
        <v>1578</v>
      </c>
      <c r="C163" s="40" t="s">
        <v>1577</v>
      </c>
    </row>
    <row r="164" spans="2:3" x14ac:dyDescent="0.25">
      <c r="B164" s="46" t="s">
        <v>1579</v>
      </c>
      <c r="C164" s="40" t="s">
        <v>1579</v>
      </c>
    </row>
    <row r="165" spans="2:3" x14ac:dyDescent="0.25">
      <c r="B165" s="46" t="s">
        <v>1581</v>
      </c>
      <c r="C165" s="40" t="s">
        <v>1580</v>
      </c>
    </row>
    <row r="166" spans="2:3" x14ac:dyDescent="0.25">
      <c r="B166" s="46" t="s">
        <v>1583</v>
      </c>
      <c r="C166" s="40" t="s">
        <v>1582</v>
      </c>
    </row>
    <row r="167" spans="2:3" x14ac:dyDescent="0.25">
      <c r="B167" s="46" t="s">
        <v>1585</v>
      </c>
      <c r="C167" s="40" t="s">
        <v>1584</v>
      </c>
    </row>
    <row r="168" spans="2:3" x14ac:dyDescent="0.25">
      <c r="B168" s="46" t="s">
        <v>1587</v>
      </c>
      <c r="C168" s="40" t="s">
        <v>1586</v>
      </c>
    </row>
    <row r="169" spans="2:3" x14ac:dyDescent="0.25">
      <c r="B169" s="46" t="s">
        <v>1589</v>
      </c>
      <c r="C169" s="40" t="s">
        <v>1588</v>
      </c>
    </row>
    <row r="170" spans="2:3" x14ac:dyDescent="0.25">
      <c r="B170" s="46" t="s">
        <v>1591</v>
      </c>
      <c r="C170" s="40" t="s">
        <v>1590</v>
      </c>
    </row>
    <row r="171" spans="2:3" x14ac:dyDescent="0.25">
      <c r="B171" s="46" t="s">
        <v>1593</v>
      </c>
      <c r="C171" s="40" t="s">
        <v>1592</v>
      </c>
    </row>
    <row r="172" spans="2:3" x14ac:dyDescent="0.25">
      <c r="B172" s="46" t="s">
        <v>1595</v>
      </c>
      <c r="C172" s="40" t="s">
        <v>1594</v>
      </c>
    </row>
    <row r="173" spans="2:3" x14ac:dyDescent="0.25">
      <c r="B173" s="46" t="s">
        <v>1597</v>
      </c>
      <c r="C173" s="40" t="s">
        <v>1596</v>
      </c>
    </row>
    <row r="174" spans="2:3" x14ac:dyDescent="0.25">
      <c r="B174" s="46" t="s">
        <v>1599</v>
      </c>
      <c r="C174" s="40" t="s">
        <v>1598</v>
      </c>
    </row>
    <row r="175" spans="2:3" x14ac:dyDescent="0.25">
      <c r="B175" s="46" t="s">
        <v>1601</v>
      </c>
      <c r="C175" s="40" t="s">
        <v>1600</v>
      </c>
    </row>
    <row r="176" spans="2:3" x14ac:dyDescent="0.25">
      <c r="B176" s="46" t="s">
        <v>1603</v>
      </c>
      <c r="C176" s="40" t="s">
        <v>1602</v>
      </c>
    </row>
    <row r="177" spans="2:3" x14ac:dyDescent="0.25">
      <c r="B177" s="46" t="s">
        <v>1605</v>
      </c>
      <c r="C177" s="40" t="s">
        <v>1604</v>
      </c>
    </row>
    <row r="178" spans="2:3" x14ac:dyDescent="0.25">
      <c r="B178" s="46" t="s">
        <v>1607</v>
      </c>
      <c r="C178" s="40" t="s">
        <v>1606</v>
      </c>
    </row>
    <row r="179" spans="2:3" x14ac:dyDescent="0.25">
      <c r="B179" s="46" t="s">
        <v>1609</v>
      </c>
      <c r="C179" s="40" t="s">
        <v>1608</v>
      </c>
    </row>
    <row r="180" spans="2:3" x14ac:dyDescent="0.25">
      <c r="B180" s="46" t="s">
        <v>1611</v>
      </c>
      <c r="C180" s="40" t="s">
        <v>1610</v>
      </c>
    </row>
    <row r="181" spans="2:3" x14ac:dyDescent="0.25">
      <c r="B181" s="46" t="s">
        <v>1613</v>
      </c>
      <c r="C181" s="40" t="s">
        <v>1612</v>
      </c>
    </row>
    <row r="182" spans="2:3" x14ac:dyDescent="0.25">
      <c r="B182" s="46" t="s">
        <v>1615</v>
      </c>
      <c r="C182" s="40" t="s">
        <v>1614</v>
      </c>
    </row>
    <row r="183" spans="2:3" x14ac:dyDescent="0.25">
      <c r="B183" s="46" t="s">
        <v>1617</v>
      </c>
      <c r="C183" s="40" t="s">
        <v>1616</v>
      </c>
    </row>
    <row r="184" spans="2:3" x14ac:dyDescent="0.25">
      <c r="B184" s="46" t="s">
        <v>1619</v>
      </c>
      <c r="C184" s="40" t="s">
        <v>1618</v>
      </c>
    </row>
    <row r="185" spans="2:3" x14ac:dyDescent="0.25">
      <c r="B185" s="46" t="s">
        <v>1621</v>
      </c>
      <c r="C185" s="40" t="s">
        <v>1620</v>
      </c>
    </row>
    <row r="186" spans="2:3" x14ac:dyDescent="0.25">
      <c r="B186" s="46" t="s">
        <v>1623</v>
      </c>
      <c r="C186" s="40" t="s">
        <v>1622</v>
      </c>
    </row>
    <row r="187" spans="2:3" x14ac:dyDescent="0.25">
      <c r="B187" s="46" t="s">
        <v>1625</v>
      </c>
      <c r="C187" s="40" t="s">
        <v>1624</v>
      </c>
    </row>
    <row r="188" spans="2:3" x14ac:dyDescent="0.25">
      <c r="B188" s="46" t="s">
        <v>1627</v>
      </c>
      <c r="C188" s="40" t="s">
        <v>1626</v>
      </c>
    </row>
    <row r="189" spans="2:3" x14ac:dyDescent="0.25">
      <c r="B189" s="46" t="s">
        <v>1629</v>
      </c>
      <c r="C189" s="40" t="s">
        <v>1628</v>
      </c>
    </row>
    <row r="190" spans="2:3" x14ac:dyDescent="0.25">
      <c r="B190" s="46" t="s">
        <v>1631</v>
      </c>
      <c r="C190" s="40" t="s">
        <v>1630</v>
      </c>
    </row>
    <row r="191" spans="2:3" x14ac:dyDescent="0.25">
      <c r="B191" s="46" t="s">
        <v>1633</v>
      </c>
      <c r="C191" s="40" t="s">
        <v>1632</v>
      </c>
    </row>
    <row r="192" spans="2:3" x14ac:dyDescent="0.25">
      <c r="B192" s="46" t="s">
        <v>1635</v>
      </c>
      <c r="C192" s="40" t="s">
        <v>1634</v>
      </c>
    </row>
    <row r="193" spans="2:3" x14ac:dyDescent="0.25">
      <c r="B193" s="46" t="s">
        <v>1637</v>
      </c>
      <c r="C193" s="40" t="s">
        <v>1636</v>
      </c>
    </row>
    <row r="194" spans="2:3" x14ac:dyDescent="0.25">
      <c r="B194" s="46" t="s">
        <v>1639</v>
      </c>
      <c r="C194" s="40" t="s">
        <v>1638</v>
      </c>
    </row>
    <row r="195" spans="2:3" x14ac:dyDescent="0.25">
      <c r="B195" s="46" t="s">
        <v>1641</v>
      </c>
      <c r="C195" s="40" t="s">
        <v>1640</v>
      </c>
    </row>
    <row r="196" spans="2:3" x14ac:dyDescent="0.25">
      <c r="B196" s="46" t="s">
        <v>1643</v>
      </c>
      <c r="C196" s="40" t="s">
        <v>1642</v>
      </c>
    </row>
    <row r="197" spans="2:3" x14ac:dyDescent="0.25">
      <c r="B197" s="46" t="s">
        <v>1645</v>
      </c>
      <c r="C197" s="40" t="s">
        <v>1644</v>
      </c>
    </row>
    <row r="198" spans="2:3" x14ac:dyDescent="0.25">
      <c r="B198" s="46" t="s">
        <v>1647</v>
      </c>
      <c r="C198" s="40" t="s">
        <v>1646</v>
      </c>
    </row>
    <row r="199" spans="2:3" x14ac:dyDescent="0.25">
      <c r="B199" s="46" t="s">
        <v>1649</v>
      </c>
      <c r="C199" s="40" t="s">
        <v>1648</v>
      </c>
    </row>
    <row r="200" spans="2:3" x14ac:dyDescent="0.25">
      <c r="B200" s="46" t="s">
        <v>1651</v>
      </c>
      <c r="C200" s="40" t="s">
        <v>1650</v>
      </c>
    </row>
    <row r="201" spans="2:3" x14ac:dyDescent="0.25">
      <c r="B201" s="46" t="s">
        <v>1653</v>
      </c>
      <c r="C201" s="40" t="s">
        <v>1652</v>
      </c>
    </row>
    <row r="202" spans="2:3" x14ac:dyDescent="0.25">
      <c r="B202" s="46" t="s">
        <v>1655</v>
      </c>
      <c r="C202" s="40" t="s">
        <v>1654</v>
      </c>
    </row>
    <row r="203" spans="2:3" x14ac:dyDescent="0.25">
      <c r="B203" s="46" t="s">
        <v>1657</v>
      </c>
      <c r="C203" s="40" t="s">
        <v>1656</v>
      </c>
    </row>
    <row r="204" spans="2:3" x14ac:dyDescent="0.25">
      <c r="B204" s="46" t="s">
        <v>1659</v>
      </c>
      <c r="C204" s="40" t="s">
        <v>1658</v>
      </c>
    </row>
    <row r="205" spans="2:3" x14ac:dyDescent="0.25">
      <c r="B205" s="46" t="s">
        <v>1661</v>
      </c>
      <c r="C205" s="40" t="s">
        <v>1660</v>
      </c>
    </row>
    <row r="206" spans="2:3" x14ac:dyDescent="0.25">
      <c r="B206" s="46" t="s">
        <v>1663</v>
      </c>
      <c r="C206" s="40" t="s">
        <v>1662</v>
      </c>
    </row>
    <row r="207" spans="2:3" x14ac:dyDescent="0.25">
      <c r="B207" s="46" t="s">
        <v>1665</v>
      </c>
      <c r="C207" s="40" t="s">
        <v>1664</v>
      </c>
    </row>
    <row r="208" spans="2:3" x14ac:dyDescent="0.25">
      <c r="B208" s="46" t="s">
        <v>1667</v>
      </c>
      <c r="C208" s="40" t="s">
        <v>1666</v>
      </c>
    </row>
    <row r="209" spans="2:3" x14ac:dyDescent="0.25">
      <c r="B209" s="46" t="s">
        <v>1669</v>
      </c>
      <c r="C209" s="40" t="s">
        <v>1668</v>
      </c>
    </row>
    <row r="210" spans="2:3" x14ac:dyDescent="0.25">
      <c r="B210" s="46" t="s">
        <v>1671</v>
      </c>
      <c r="C210" s="40" t="s">
        <v>1670</v>
      </c>
    </row>
    <row r="211" spans="2:3" x14ac:dyDescent="0.25">
      <c r="B211" s="46" t="s">
        <v>1673</v>
      </c>
      <c r="C211" s="40" t="s">
        <v>1672</v>
      </c>
    </row>
    <row r="212" spans="2:3" x14ac:dyDescent="0.25">
      <c r="B212" s="46" t="s">
        <v>1675</v>
      </c>
      <c r="C212" s="40" t="s">
        <v>1674</v>
      </c>
    </row>
    <row r="213" spans="2:3" x14ac:dyDescent="0.25">
      <c r="B213" s="46" t="s">
        <v>1677</v>
      </c>
      <c r="C213" s="40" t="s">
        <v>1676</v>
      </c>
    </row>
    <row r="214" spans="2:3" x14ac:dyDescent="0.25">
      <c r="B214" s="46" t="s">
        <v>1679</v>
      </c>
      <c r="C214" s="40" t="s">
        <v>1678</v>
      </c>
    </row>
    <row r="215" spans="2:3" x14ac:dyDescent="0.25">
      <c r="B215" s="46" t="s">
        <v>1681</v>
      </c>
      <c r="C215" s="40" t="s">
        <v>1680</v>
      </c>
    </row>
    <row r="216" spans="2:3" x14ac:dyDescent="0.25">
      <c r="B216" s="46" t="s">
        <v>1683</v>
      </c>
      <c r="C216" s="40" t="s">
        <v>1682</v>
      </c>
    </row>
    <row r="217" spans="2:3" x14ac:dyDescent="0.25">
      <c r="B217" s="46" t="s">
        <v>1685</v>
      </c>
      <c r="C217" s="40" t="s">
        <v>1684</v>
      </c>
    </row>
    <row r="218" spans="2:3" x14ac:dyDescent="0.25">
      <c r="B218" s="46" t="s">
        <v>1687</v>
      </c>
      <c r="C218" s="40" t="s">
        <v>1686</v>
      </c>
    </row>
    <row r="219" spans="2:3" x14ac:dyDescent="0.25">
      <c r="B219" s="46" t="s">
        <v>1689</v>
      </c>
      <c r="C219" s="40" t="s">
        <v>1688</v>
      </c>
    </row>
    <row r="220" spans="2:3" x14ac:dyDescent="0.25">
      <c r="B220" s="46" t="s">
        <v>1691</v>
      </c>
      <c r="C220" s="40" t="s">
        <v>1690</v>
      </c>
    </row>
    <row r="221" spans="2:3" x14ac:dyDescent="0.25">
      <c r="B221" s="46" t="s">
        <v>1693</v>
      </c>
      <c r="C221" s="40" t="s">
        <v>1692</v>
      </c>
    </row>
    <row r="222" spans="2:3" x14ac:dyDescent="0.25">
      <c r="B222" s="46" t="s">
        <v>1695</v>
      </c>
      <c r="C222" s="40" t="s">
        <v>1694</v>
      </c>
    </row>
    <row r="223" spans="2:3" x14ac:dyDescent="0.25">
      <c r="B223" s="46" t="s">
        <v>1697</v>
      </c>
      <c r="C223" s="40" t="s">
        <v>1696</v>
      </c>
    </row>
    <row r="224" spans="2:3" x14ac:dyDescent="0.25">
      <c r="B224" s="46" t="s">
        <v>1699</v>
      </c>
      <c r="C224" s="40" t="s">
        <v>1698</v>
      </c>
    </row>
    <row r="225" spans="2:3" x14ac:dyDescent="0.25">
      <c r="B225" s="46" t="s">
        <v>1701</v>
      </c>
      <c r="C225" s="40" t="s">
        <v>1700</v>
      </c>
    </row>
    <row r="226" spans="2:3" x14ac:dyDescent="0.25">
      <c r="B226" s="46" t="s">
        <v>1703</v>
      </c>
      <c r="C226" s="40" t="s">
        <v>1702</v>
      </c>
    </row>
    <row r="227" spans="2:3" x14ac:dyDescent="0.25">
      <c r="B227" s="46" t="s">
        <v>1705</v>
      </c>
      <c r="C227" s="40" t="s">
        <v>1704</v>
      </c>
    </row>
    <row r="228" spans="2:3" x14ac:dyDescent="0.25">
      <c r="B228" s="46" t="s">
        <v>1707</v>
      </c>
      <c r="C228" s="40" t="s">
        <v>1706</v>
      </c>
    </row>
    <row r="229" spans="2:3" x14ac:dyDescent="0.25">
      <c r="B229" s="46" t="s">
        <v>1709</v>
      </c>
      <c r="C229" s="40" t="s">
        <v>1708</v>
      </c>
    </row>
    <row r="230" spans="2:3" x14ac:dyDescent="0.25">
      <c r="B230" s="46" t="s">
        <v>1711</v>
      </c>
      <c r="C230" s="40" t="s">
        <v>1710</v>
      </c>
    </row>
    <row r="231" spans="2:3" x14ac:dyDescent="0.25">
      <c r="B231" s="46" t="s">
        <v>1713</v>
      </c>
      <c r="C231" s="40" t="s">
        <v>1712</v>
      </c>
    </row>
    <row r="232" spans="2:3" x14ac:dyDescent="0.25">
      <c r="B232" s="46" t="s">
        <v>1715</v>
      </c>
      <c r="C232" s="40" t="s">
        <v>1714</v>
      </c>
    </row>
    <row r="233" spans="2:3" x14ac:dyDescent="0.25">
      <c r="B233" s="46" t="s">
        <v>1717</v>
      </c>
      <c r="C233" s="40" t="s">
        <v>1716</v>
      </c>
    </row>
    <row r="234" spans="2:3" x14ac:dyDescent="0.25">
      <c r="B234" s="46" t="s">
        <v>1719</v>
      </c>
      <c r="C234" s="40" t="s">
        <v>1718</v>
      </c>
    </row>
    <row r="235" spans="2:3" x14ac:dyDescent="0.25">
      <c r="B235" s="46" t="s">
        <v>1721</v>
      </c>
      <c r="C235" s="40" t="s">
        <v>1720</v>
      </c>
    </row>
    <row r="236" spans="2:3" x14ac:dyDescent="0.25">
      <c r="B236" s="46" t="s">
        <v>1723</v>
      </c>
      <c r="C236" s="40" t="s">
        <v>1722</v>
      </c>
    </row>
    <row r="237" spans="2:3" x14ac:dyDescent="0.25">
      <c r="B237" s="46" t="s">
        <v>1725</v>
      </c>
      <c r="C237" s="40" t="s">
        <v>1724</v>
      </c>
    </row>
    <row r="238" spans="2:3" x14ac:dyDescent="0.25">
      <c r="B238" s="46" t="s">
        <v>1727</v>
      </c>
      <c r="C238" s="40" t="s">
        <v>1726</v>
      </c>
    </row>
    <row r="239" spans="2:3" x14ac:dyDescent="0.25">
      <c r="B239" s="46" t="s">
        <v>1729</v>
      </c>
      <c r="C239" s="40" t="s">
        <v>1728</v>
      </c>
    </row>
    <row r="240" spans="2:3" x14ac:dyDescent="0.25">
      <c r="B240" s="46" t="s">
        <v>1731</v>
      </c>
      <c r="C240" s="40" t="s">
        <v>1730</v>
      </c>
    </row>
    <row r="241" spans="2:3" x14ac:dyDescent="0.25">
      <c r="B241" s="46" t="s">
        <v>1733</v>
      </c>
      <c r="C241" s="40" t="s">
        <v>1732</v>
      </c>
    </row>
    <row r="242" spans="2:3" x14ac:dyDescent="0.25">
      <c r="B242" s="46" t="s">
        <v>1735</v>
      </c>
      <c r="C242" s="40" t="s">
        <v>1734</v>
      </c>
    </row>
    <row r="243" spans="2:3" x14ac:dyDescent="0.25">
      <c r="B243" s="46" t="s">
        <v>1737</v>
      </c>
      <c r="C243" s="40" t="s">
        <v>1736</v>
      </c>
    </row>
    <row r="244" spans="2:3" x14ac:dyDescent="0.25">
      <c r="B244" s="46" t="s">
        <v>1739</v>
      </c>
      <c r="C244" s="40" t="s">
        <v>1738</v>
      </c>
    </row>
    <row r="245" spans="2:3" x14ac:dyDescent="0.25">
      <c r="B245" s="46" t="s">
        <v>1741</v>
      </c>
      <c r="C245" s="40" t="s">
        <v>1740</v>
      </c>
    </row>
    <row r="246" spans="2:3" x14ac:dyDescent="0.25">
      <c r="B246" s="46" t="s">
        <v>1743</v>
      </c>
      <c r="C246" s="40" t="s">
        <v>1742</v>
      </c>
    </row>
    <row r="247" spans="2:3" x14ac:dyDescent="0.25">
      <c r="B247" s="46" t="s">
        <v>1745</v>
      </c>
      <c r="C247" s="40" t="s">
        <v>1744</v>
      </c>
    </row>
    <row r="248" spans="2:3" x14ac:dyDescent="0.25">
      <c r="B248" s="46" t="s">
        <v>1747</v>
      </c>
      <c r="C248" s="40" t="s">
        <v>1746</v>
      </c>
    </row>
    <row r="249" spans="2:3" x14ac:dyDescent="0.25">
      <c r="B249" s="46" t="s">
        <v>1749</v>
      </c>
      <c r="C249" s="40" t="s">
        <v>1748</v>
      </c>
    </row>
    <row r="250" spans="2:3" x14ac:dyDescent="0.25">
      <c r="B250" s="46" t="s">
        <v>1751</v>
      </c>
      <c r="C250" s="40" t="s">
        <v>1750</v>
      </c>
    </row>
    <row r="251" spans="2:3" x14ac:dyDescent="0.25">
      <c r="B251" s="46" t="s">
        <v>1753</v>
      </c>
      <c r="C251" s="40" t="s">
        <v>1752</v>
      </c>
    </row>
    <row r="252" spans="2:3" x14ac:dyDescent="0.25">
      <c r="B252" s="46" t="s">
        <v>1755</v>
      </c>
      <c r="C252" s="40" t="s">
        <v>1754</v>
      </c>
    </row>
    <row r="253" spans="2:3" x14ac:dyDescent="0.25">
      <c r="B253" s="46" t="s">
        <v>1757</v>
      </c>
      <c r="C253" s="40" t="s">
        <v>1756</v>
      </c>
    </row>
    <row r="254" spans="2:3" x14ac:dyDescent="0.25">
      <c r="B254" s="46" t="s">
        <v>1759</v>
      </c>
      <c r="C254" s="40" t="s">
        <v>1758</v>
      </c>
    </row>
    <row r="255" spans="2:3" x14ac:dyDescent="0.25">
      <c r="B255" s="46" t="s">
        <v>1761</v>
      </c>
      <c r="C255" s="40" t="s">
        <v>1760</v>
      </c>
    </row>
    <row r="256" spans="2:3" x14ac:dyDescent="0.25">
      <c r="B256" s="46" t="s">
        <v>1763</v>
      </c>
      <c r="C256" s="40" t="s">
        <v>1762</v>
      </c>
    </row>
    <row r="257" spans="2:3" x14ac:dyDescent="0.25">
      <c r="B257" s="46" t="s">
        <v>1765</v>
      </c>
      <c r="C257" s="40" t="s">
        <v>1764</v>
      </c>
    </row>
    <row r="258" spans="2:3" x14ac:dyDescent="0.25">
      <c r="B258" s="46" t="s">
        <v>1767</v>
      </c>
      <c r="C258" s="40" t="s">
        <v>1766</v>
      </c>
    </row>
    <row r="259" spans="2:3" x14ac:dyDescent="0.25">
      <c r="B259" s="46" t="s">
        <v>1769</v>
      </c>
      <c r="C259" s="40" t="s">
        <v>1768</v>
      </c>
    </row>
    <row r="260" spans="2:3" x14ac:dyDescent="0.25">
      <c r="B260" s="46" t="s">
        <v>1771</v>
      </c>
      <c r="C260" s="40" t="s">
        <v>1770</v>
      </c>
    </row>
    <row r="261" spans="2:3" x14ac:dyDescent="0.25">
      <c r="B261" s="46" t="s">
        <v>1773</v>
      </c>
      <c r="C261" s="40" t="s">
        <v>1772</v>
      </c>
    </row>
    <row r="262" spans="2:3" x14ac:dyDescent="0.25">
      <c r="B262" s="46" t="s">
        <v>1775</v>
      </c>
      <c r="C262" s="40" t="s">
        <v>1774</v>
      </c>
    </row>
    <row r="263" spans="2:3" x14ac:dyDescent="0.25">
      <c r="B263" s="46" t="s">
        <v>1777</v>
      </c>
      <c r="C263" s="40" t="s">
        <v>1776</v>
      </c>
    </row>
    <row r="264" spans="2:3" x14ac:dyDescent="0.25">
      <c r="B264" s="46" t="s">
        <v>1779</v>
      </c>
      <c r="C264" s="40" t="s">
        <v>1778</v>
      </c>
    </row>
    <row r="265" spans="2:3" x14ac:dyDescent="0.25">
      <c r="B265" s="46" t="s">
        <v>1781</v>
      </c>
      <c r="C265" s="40" t="s">
        <v>1780</v>
      </c>
    </row>
    <row r="266" spans="2:3" x14ac:dyDescent="0.25">
      <c r="B266" s="46" t="s">
        <v>1783</v>
      </c>
      <c r="C266" s="40" t="s">
        <v>1782</v>
      </c>
    </row>
    <row r="267" spans="2:3" x14ac:dyDescent="0.25">
      <c r="B267" s="46" t="s">
        <v>1785</v>
      </c>
      <c r="C267" s="40" t="s">
        <v>1784</v>
      </c>
    </row>
    <row r="268" spans="2:3" x14ac:dyDescent="0.25">
      <c r="B268" s="46" t="s">
        <v>1787</v>
      </c>
      <c r="C268" s="40" t="s">
        <v>1786</v>
      </c>
    </row>
    <row r="269" spans="2:3" x14ac:dyDescent="0.25">
      <c r="B269" s="46" t="s">
        <v>1789</v>
      </c>
      <c r="C269" s="40" t="s">
        <v>1788</v>
      </c>
    </row>
    <row r="270" spans="2:3" x14ac:dyDescent="0.25">
      <c r="B270" s="46" t="s">
        <v>1791</v>
      </c>
      <c r="C270" s="40" t="s">
        <v>1790</v>
      </c>
    </row>
    <row r="271" spans="2:3" x14ac:dyDescent="0.25">
      <c r="B271" s="46" t="s">
        <v>1793</v>
      </c>
      <c r="C271" s="40" t="s">
        <v>1792</v>
      </c>
    </row>
    <row r="272" spans="2:3" x14ac:dyDescent="0.25">
      <c r="B272" s="46" t="s">
        <v>1795</v>
      </c>
      <c r="C272" s="40" t="s">
        <v>1794</v>
      </c>
    </row>
    <row r="273" spans="2:3" x14ac:dyDescent="0.25">
      <c r="B273" s="46" t="s">
        <v>1797</v>
      </c>
      <c r="C273" s="40" t="s">
        <v>1796</v>
      </c>
    </row>
    <row r="274" spans="2:3" x14ac:dyDescent="0.25">
      <c r="B274" s="46" t="s">
        <v>1799</v>
      </c>
      <c r="C274" s="40" t="s">
        <v>1798</v>
      </c>
    </row>
    <row r="275" spans="2:3" x14ac:dyDescent="0.25">
      <c r="B275" s="46" t="s">
        <v>891</v>
      </c>
      <c r="C275" s="40" t="s">
        <v>1800</v>
      </c>
    </row>
    <row r="276" spans="2:3" x14ac:dyDescent="0.25">
      <c r="B276" s="46" t="s">
        <v>1802</v>
      </c>
      <c r="C276" s="40" t="s">
        <v>1801</v>
      </c>
    </row>
    <row r="277" spans="2:3" x14ac:dyDescent="0.25">
      <c r="B277" s="46" t="s">
        <v>1804</v>
      </c>
      <c r="C277" s="40" t="s">
        <v>1803</v>
      </c>
    </row>
    <row r="278" spans="2:3" x14ac:dyDescent="0.25">
      <c r="B278" s="46" t="s">
        <v>1806</v>
      </c>
      <c r="C278" s="40" t="s">
        <v>1805</v>
      </c>
    </row>
    <row r="279" spans="2:3" x14ac:dyDescent="0.25">
      <c r="B279" s="46" t="s">
        <v>1808</v>
      </c>
      <c r="C279" s="40" t="s">
        <v>1807</v>
      </c>
    </row>
    <row r="280" spans="2:3" x14ac:dyDescent="0.25">
      <c r="B280" s="46" t="s">
        <v>1810</v>
      </c>
      <c r="C280" s="40" t="s">
        <v>1809</v>
      </c>
    </row>
    <row r="281" spans="2:3" x14ac:dyDescent="0.25">
      <c r="B281" s="46" t="s">
        <v>1812</v>
      </c>
      <c r="C281" s="40" t="s">
        <v>1811</v>
      </c>
    </row>
    <row r="282" spans="2:3" x14ac:dyDescent="0.25">
      <c r="B282" s="46" t="s">
        <v>1814</v>
      </c>
      <c r="C282" s="40" t="s">
        <v>1813</v>
      </c>
    </row>
    <row r="283" spans="2:3" x14ac:dyDescent="0.25">
      <c r="B283" s="46" t="s">
        <v>1816</v>
      </c>
      <c r="C283" s="40" t="s">
        <v>1815</v>
      </c>
    </row>
    <row r="284" spans="2:3" x14ac:dyDescent="0.25">
      <c r="B284" s="46" t="s">
        <v>1818</v>
      </c>
      <c r="C284" s="40" t="s">
        <v>1817</v>
      </c>
    </row>
    <row r="285" spans="2:3" x14ac:dyDescent="0.25">
      <c r="B285" s="46" t="s">
        <v>1820</v>
      </c>
      <c r="C285" s="40" t="s">
        <v>1819</v>
      </c>
    </row>
    <row r="286" spans="2:3" x14ac:dyDescent="0.25">
      <c r="B286" s="46" t="s">
        <v>909</v>
      </c>
      <c r="C286" s="40" t="s">
        <v>1821</v>
      </c>
    </row>
    <row r="287" spans="2:3" x14ac:dyDescent="0.25">
      <c r="B287" s="46" t="s">
        <v>1823</v>
      </c>
      <c r="C287" s="40" t="s">
        <v>1822</v>
      </c>
    </row>
    <row r="288" spans="2:3" x14ac:dyDescent="0.25">
      <c r="B288" s="46" t="s">
        <v>1825</v>
      </c>
      <c r="C288" s="40" t="s">
        <v>1824</v>
      </c>
    </row>
    <row r="289" spans="2:3" x14ac:dyDescent="0.25">
      <c r="B289" s="46" t="s">
        <v>1827</v>
      </c>
      <c r="C289" s="40" t="s">
        <v>1826</v>
      </c>
    </row>
    <row r="290" spans="2:3" x14ac:dyDescent="0.25">
      <c r="B290" s="46" t="s">
        <v>1829</v>
      </c>
      <c r="C290" s="40" t="s">
        <v>1828</v>
      </c>
    </row>
    <row r="291" spans="2:3" x14ac:dyDescent="0.25">
      <c r="B291" s="46" t="s">
        <v>1831</v>
      </c>
      <c r="C291" s="40" t="s">
        <v>1830</v>
      </c>
    </row>
    <row r="292" spans="2:3" x14ac:dyDescent="0.25">
      <c r="B292" s="46" t="s">
        <v>1833</v>
      </c>
      <c r="C292" s="40" t="s">
        <v>1832</v>
      </c>
    </row>
    <row r="293" spans="2:3" x14ac:dyDescent="0.25">
      <c r="B293" s="46" t="s">
        <v>1835</v>
      </c>
      <c r="C293" s="40" t="s">
        <v>1834</v>
      </c>
    </row>
    <row r="294" spans="2:3" x14ac:dyDescent="0.25">
      <c r="B294" s="46" t="s">
        <v>1837</v>
      </c>
      <c r="C294" s="40" t="s">
        <v>1836</v>
      </c>
    </row>
    <row r="295" spans="2:3" x14ac:dyDescent="0.25">
      <c r="B295" s="46" t="s">
        <v>1839</v>
      </c>
      <c r="C295" s="40" t="s">
        <v>1838</v>
      </c>
    </row>
    <row r="296" spans="2:3" x14ac:dyDescent="0.25">
      <c r="B296" s="46" t="s">
        <v>1841</v>
      </c>
      <c r="C296" s="40" t="s">
        <v>1840</v>
      </c>
    </row>
    <row r="297" spans="2:3" x14ac:dyDescent="0.25">
      <c r="B297" s="46" t="s">
        <v>1843</v>
      </c>
      <c r="C297" s="40" t="s">
        <v>1842</v>
      </c>
    </row>
    <row r="298" spans="2:3" x14ac:dyDescent="0.25">
      <c r="B298" s="46" t="s">
        <v>1845</v>
      </c>
      <c r="C298" s="40" t="s">
        <v>1844</v>
      </c>
    </row>
    <row r="299" spans="2:3" x14ac:dyDescent="0.25">
      <c r="B299" s="46" t="s">
        <v>1847</v>
      </c>
      <c r="C299" s="40" t="s">
        <v>1846</v>
      </c>
    </row>
    <row r="300" spans="2:3" x14ac:dyDescent="0.25">
      <c r="B300" s="46" t="s">
        <v>1849</v>
      </c>
      <c r="C300" s="40" t="s">
        <v>1848</v>
      </c>
    </row>
    <row r="301" spans="2:3" x14ac:dyDescent="0.25">
      <c r="B301" s="46" t="s">
        <v>1851</v>
      </c>
      <c r="C301" s="40" t="s">
        <v>1850</v>
      </c>
    </row>
    <row r="302" spans="2:3" x14ac:dyDescent="0.25">
      <c r="B302" s="46" t="s">
        <v>1853</v>
      </c>
      <c r="C302" s="40" t="s">
        <v>1852</v>
      </c>
    </row>
    <row r="303" spans="2:3" x14ac:dyDescent="0.25">
      <c r="B303" s="46" t="s">
        <v>1855</v>
      </c>
      <c r="C303" s="40" t="s">
        <v>1854</v>
      </c>
    </row>
    <row r="304" spans="2:3" x14ac:dyDescent="0.25">
      <c r="B304" s="46" t="s">
        <v>1857</v>
      </c>
      <c r="C304" s="40" t="s">
        <v>1856</v>
      </c>
    </row>
    <row r="305" spans="2:3" x14ac:dyDescent="0.25">
      <c r="B305" s="46" t="s">
        <v>1859</v>
      </c>
      <c r="C305" s="40" t="s">
        <v>1858</v>
      </c>
    </row>
    <row r="306" spans="2:3" x14ac:dyDescent="0.25">
      <c r="B306" s="46" t="s">
        <v>1861</v>
      </c>
      <c r="C306" s="40" t="s">
        <v>1860</v>
      </c>
    </row>
    <row r="307" spans="2:3" x14ac:dyDescent="0.25">
      <c r="B307" s="46" t="s">
        <v>1863</v>
      </c>
      <c r="C307" s="40" t="s">
        <v>1862</v>
      </c>
    </row>
    <row r="308" spans="2:3" x14ac:dyDescent="0.25">
      <c r="B308" s="46" t="s">
        <v>1865</v>
      </c>
      <c r="C308" s="40" t="s">
        <v>1864</v>
      </c>
    </row>
    <row r="309" spans="2:3" x14ac:dyDescent="0.25">
      <c r="B309" s="46" t="s">
        <v>1867</v>
      </c>
      <c r="C309" s="40" t="s">
        <v>1866</v>
      </c>
    </row>
    <row r="310" spans="2:3" x14ac:dyDescent="0.25">
      <c r="B310" s="46" t="s">
        <v>1869</v>
      </c>
      <c r="C310" s="40" t="s">
        <v>1868</v>
      </c>
    </row>
    <row r="311" spans="2:3" x14ac:dyDescent="0.25">
      <c r="B311" s="46" t="s">
        <v>1871</v>
      </c>
      <c r="C311" s="40" t="s">
        <v>1870</v>
      </c>
    </row>
    <row r="312" spans="2:3" x14ac:dyDescent="0.25">
      <c r="B312" s="46" t="s">
        <v>1873</v>
      </c>
      <c r="C312" s="40" t="s">
        <v>1872</v>
      </c>
    </row>
    <row r="313" spans="2:3" x14ac:dyDescent="0.25">
      <c r="B313" s="46" t="s">
        <v>1875</v>
      </c>
      <c r="C313" s="40" t="s">
        <v>1874</v>
      </c>
    </row>
    <row r="314" spans="2:3" x14ac:dyDescent="0.25">
      <c r="B314" s="46" t="s">
        <v>1877</v>
      </c>
      <c r="C314" s="40" t="s">
        <v>1876</v>
      </c>
    </row>
    <row r="315" spans="2:3" x14ac:dyDescent="0.25">
      <c r="B315" s="46" t="s">
        <v>1879</v>
      </c>
      <c r="C315" s="40" t="s">
        <v>1878</v>
      </c>
    </row>
    <row r="316" spans="2:3" x14ac:dyDescent="0.25">
      <c r="B316" s="46" t="s">
        <v>1881</v>
      </c>
      <c r="C316" s="40" t="s">
        <v>1880</v>
      </c>
    </row>
    <row r="317" spans="2:3" x14ac:dyDescent="0.25">
      <c r="B317" s="46" t="s">
        <v>1883</v>
      </c>
      <c r="C317" s="40" t="s">
        <v>1882</v>
      </c>
    </row>
    <row r="318" spans="2:3" x14ac:dyDescent="0.25">
      <c r="B318" s="46" t="s">
        <v>1883</v>
      </c>
      <c r="C318" s="40" t="s">
        <v>1884</v>
      </c>
    </row>
    <row r="319" spans="2:3" x14ac:dyDescent="0.25">
      <c r="B319" s="46" t="s">
        <v>1886</v>
      </c>
      <c r="C319" s="40" t="s">
        <v>1885</v>
      </c>
    </row>
    <row r="320" spans="2:3" x14ac:dyDescent="0.25">
      <c r="B320" s="46" t="s">
        <v>1888</v>
      </c>
      <c r="C320" s="40" t="s">
        <v>1887</v>
      </c>
    </row>
    <row r="321" spans="2:3" x14ac:dyDescent="0.25">
      <c r="B321" s="46" t="s">
        <v>1890</v>
      </c>
      <c r="C321" s="40" t="s">
        <v>1889</v>
      </c>
    </row>
    <row r="322" spans="2:3" x14ac:dyDescent="0.25">
      <c r="B322" s="46" t="s">
        <v>1892</v>
      </c>
      <c r="C322" s="40" t="s">
        <v>1891</v>
      </c>
    </row>
    <row r="323" spans="2:3" x14ac:dyDescent="0.25">
      <c r="B323" s="46" t="s">
        <v>1894</v>
      </c>
      <c r="C323" s="40" t="s">
        <v>1893</v>
      </c>
    </row>
    <row r="324" spans="2:3" x14ac:dyDescent="0.25">
      <c r="B324" s="46" t="s">
        <v>1896</v>
      </c>
      <c r="C324" s="40" t="s">
        <v>1895</v>
      </c>
    </row>
    <row r="325" spans="2:3" x14ac:dyDescent="0.25">
      <c r="B325" s="46" t="s">
        <v>1898</v>
      </c>
      <c r="C325" s="40" t="s">
        <v>1897</v>
      </c>
    </row>
    <row r="326" spans="2:3" x14ac:dyDescent="0.25">
      <c r="B326" s="46" t="s">
        <v>1900</v>
      </c>
      <c r="C326" s="40" t="s">
        <v>1899</v>
      </c>
    </row>
    <row r="327" spans="2:3" x14ac:dyDescent="0.25">
      <c r="B327" s="46" t="s">
        <v>1902</v>
      </c>
      <c r="C327" s="40" t="s">
        <v>1901</v>
      </c>
    </row>
    <row r="328" spans="2:3" x14ac:dyDescent="0.25">
      <c r="B328" s="46" t="s">
        <v>1904</v>
      </c>
      <c r="C328" s="40" t="s">
        <v>1903</v>
      </c>
    </row>
    <row r="329" spans="2:3" x14ac:dyDescent="0.25">
      <c r="B329" s="46" t="s">
        <v>1906</v>
      </c>
      <c r="C329" s="40" t="s">
        <v>1905</v>
      </c>
    </row>
    <row r="330" spans="2:3" x14ac:dyDescent="0.25">
      <c r="B330" s="46" t="s">
        <v>1908</v>
      </c>
      <c r="C330" s="40" t="s">
        <v>1907</v>
      </c>
    </row>
    <row r="331" spans="2:3" x14ac:dyDescent="0.25">
      <c r="B331" s="46" t="s">
        <v>1910</v>
      </c>
      <c r="C331" s="40" t="s">
        <v>1909</v>
      </c>
    </row>
    <row r="332" spans="2:3" x14ac:dyDescent="0.25">
      <c r="B332" s="46" t="s">
        <v>1910</v>
      </c>
      <c r="C332" s="40" t="s">
        <v>1911</v>
      </c>
    </row>
    <row r="333" spans="2:3" x14ac:dyDescent="0.25">
      <c r="B333" s="46" t="s">
        <v>1913</v>
      </c>
      <c r="C333" s="40" t="s">
        <v>1912</v>
      </c>
    </row>
    <row r="334" spans="2:3" x14ac:dyDescent="0.25">
      <c r="B334" s="46" t="s">
        <v>1915</v>
      </c>
      <c r="C334" s="40" t="s">
        <v>1914</v>
      </c>
    </row>
    <row r="335" spans="2:3" x14ac:dyDescent="0.25">
      <c r="B335" s="46" t="s">
        <v>1917</v>
      </c>
      <c r="C335" s="40" t="s">
        <v>1916</v>
      </c>
    </row>
    <row r="336" spans="2:3" x14ac:dyDescent="0.25">
      <c r="B336" s="46" t="s">
        <v>1917</v>
      </c>
      <c r="C336" s="40" t="s">
        <v>1918</v>
      </c>
    </row>
    <row r="337" spans="2:3" x14ac:dyDescent="0.25">
      <c r="B337" s="46" t="s">
        <v>1917</v>
      </c>
      <c r="C337" s="40" t="s">
        <v>1919</v>
      </c>
    </row>
    <row r="338" spans="2:3" x14ac:dyDescent="0.25">
      <c r="B338" s="46" t="s">
        <v>1921</v>
      </c>
      <c r="C338" s="40" t="s">
        <v>1920</v>
      </c>
    </row>
    <row r="339" spans="2:3" x14ac:dyDescent="0.25">
      <c r="B339" s="46" t="s">
        <v>1923</v>
      </c>
      <c r="C339" s="40" t="s">
        <v>1922</v>
      </c>
    </row>
    <row r="340" spans="2:3" x14ac:dyDescent="0.25">
      <c r="B340" s="46" t="s">
        <v>1925</v>
      </c>
      <c r="C340" s="40" t="s">
        <v>1924</v>
      </c>
    </row>
    <row r="341" spans="2:3" x14ac:dyDescent="0.25">
      <c r="B341" s="46" t="s">
        <v>1927</v>
      </c>
      <c r="C341" s="40" t="s">
        <v>1926</v>
      </c>
    </row>
    <row r="342" spans="2:3" x14ac:dyDescent="0.25">
      <c r="B342" s="46" t="s">
        <v>1929</v>
      </c>
      <c r="C342" s="40" t="s">
        <v>1928</v>
      </c>
    </row>
    <row r="343" spans="2:3" x14ac:dyDescent="0.25">
      <c r="B343" s="46" t="s">
        <v>1931</v>
      </c>
      <c r="C343" s="40" t="s">
        <v>1930</v>
      </c>
    </row>
    <row r="344" spans="2:3" x14ac:dyDescent="0.25">
      <c r="B344" s="46" t="s">
        <v>1933</v>
      </c>
      <c r="C344" s="40" t="s">
        <v>1932</v>
      </c>
    </row>
    <row r="345" spans="2:3" x14ac:dyDescent="0.25">
      <c r="B345" s="46" t="s">
        <v>1935</v>
      </c>
      <c r="C345" s="40" t="s">
        <v>1934</v>
      </c>
    </row>
    <row r="346" spans="2:3" x14ac:dyDescent="0.25">
      <c r="B346" s="46" t="s">
        <v>1937</v>
      </c>
      <c r="C346" s="40" t="s">
        <v>1936</v>
      </c>
    </row>
    <row r="347" spans="2:3" x14ac:dyDescent="0.25">
      <c r="B347" s="46" t="s">
        <v>1939</v>
      </c>
      <c r="C347" s="40" t="s">
        <v>1938</v>
      </c>
    </row>
    <row r="348" spans="2:3" x14ac:dyDescent="0.25">
      <c r="B348" s="46" t="s">
        <v>1941</v>
      </c>
      <c r="C348" s="40" t="s">
        <v>1940</v>
      </c>
    </row>
    <row r="349" spans="2:3" x14ac:dyDescent="0.25">
      <c r="B349" s="46" t="s">
        <v>1943</v>
      </c>
      <c r="C349" s="40" t="s">
        <v>1942</v>
      </c>
    </row>
    <row r="350" spans="2:3" x14ac:dyDescent="0.25">
      <c r="B350" s="46" t="s">
        <v>1945</v>
      </c>
      <c r="C350" s="40" t="s">
        <v>1944</v>
      </c>
    </row>
    <row r="351" spans="2:3" x14ac:dyDescent="0.25">
      <c r="B351" s="46" t="s">
        <v>1947</v>
      </c>
      <c r="C351" s="40" t="s">
        <v>1946</v>
      </c>
    </row>
    <row r="352" spans="2:3" x14ac:dyDescent="0.25">
      <c r="B352" s="46" t="s">
        <v>1949</v>
      </c>
      <c r="C352" s="40" t="s">
        <v>1948</v>
      </c>
    </row>
    <row r="353" spans="2:3" x14ac:dyDescent="0.25">
      <c r="B353" s="46" t="s">
        <v>1951</v>
      </c>
      <c r="C353" s="40" t="s">
        <v>1950</v>
      </c>
    </row>
    <row r="354" spans="2:3" x14ac:dyDescent="0.25">
      <c r="B354" s="46" t="s">
        <v>1953</v>
      </c>
      <c r="C354" s="40" t="s">
        <v>1952</v>
      </c>
    </row>
    <row r="355" spans="2:3" x14ac:dyDescent="0.25">
      <c r="B355" s="46" t="s">
        <v>1955</v>
      </c>
      <c r="C355" s="40" t="s">
        <v>1954</v>
      </c>
    </row>
    <row r="356" spans="2:3" x14ac:dyDescent="0.25">
      <c r="B356" s="46" t="s">
        <v>1957</v>
      </c>
      <c r="C356" s="40" t="s">
        <v>1956</v>
      </c>
    </row>
    <row r="357" spans="2:3" x14ac:dyDescent="0.25">
      <c r="B357" s="46" t="s">
        <v>1959</v>
      </c>
      <c r="C357" s="40" t="s">
        <v>1958</v>
      </c>
    </row>
    <row r="358" spans="2:3" x14ac:dyDescent="0.25">
      <c r="B358" s="46" t="s">
        <v>1961</v>
      </c>
      <c r="C358" s="40" t="s">
        <v>1960</v>
      </c>
    </row>
    <row r="359" spans="2:3" x14ac:dyDescent="0.25">
      <c r="B359" s="46" t="s">
        <v>1963</v>
      </c>
      <c r="C359" s="40" t="s">
        <v>1962</v>
      </c>
    </row>
    <row r="360" spans="2:3" x14ac:dyDescent="0.25">
      <c r="B360" s="46" t="s">
        <v>1965</v>
      </c>
      <c r="C360" s="40" t="s">
        <v>1964</v>
      </c>
    </row>
    <row r="361" spans="2:3" x14ac:dyDescent="0.25">
      <c r="B361" s="46" t="s">
        <v>1967</v>
      </c>
      <c r="C361" s="40" t="s">
        <v>1966</v>
      </c>
    </row>
    <row r="362" spans="2:3" x14ac:dyDescent="0.25">
      <c r="B362" s="46" t="s">
        <v>1969</v>
      </c>
      <c r="C362" s="40" t="s">
        <v>1968</v>
      </c>
    </row>
    <row r="363" spans="2:3" x14ac:dyDescent="0.25">
      <c r="B363" s="46" t="s">
        <v>1971</v>
      </c>
      <c r="C363" s="40" t="s">
        <v>1970</v>
      </c>
    </row>
    <row r="364" spans="2:3" x14ac:dyDescent="0.25">
      <c r="B364" s="46" t="s">
        <v>1973</v>
      </c>
      <c r="C364" s="40" t="s">
        <v>1972</v>
      </c>
    </row>
    <row r="365" spans="2:3" x14ac:dyDescent="0.25">
      <c r="B365" s="46" t="s">
        <v>1975</v>
      </c>
      <c r="C365" s="40" t="s">
        <v>1974</v>
      </c>
    </row>
    <row r="366" spans="2:3" x14ac:dyDescent="0.25">
      <c r="B366" s="46" t="s">
        <v>1977</v>
      </c>
      <c r="C366" s="40" t="s">
        <v>1976</v>
      </c>
    </row>
    <row r="367" spans="2:3" x14ac:dyDescent="0.25">
      <c r="B367" s="46" t="s">
        <v>1979</v>
      </c>
      <c r="C367" s="40" t="s">
        <v>1978</v>
      </c>
    </row>
    <row r="368" spans="2:3" x14ac:dyDescent="0.25">
      <c r="B368" s="46" t="s">
        <v>1981</v>
      </c>
      <c r="C368" s="40" t="s">
        <v>1980</v>
      </c>
    </row>
    <row r="369" spans="2:3" x14ac:dyDescent="0.25">
      <c r="B369" s="46" t="s">
        <v>1983</v>
      </c>
      <c r="C369" s="40" t="s">
        <v>1982</v>
      </c>
    </row>
    <row r="370" spans="2:3" x14ac:dyDescent="0.25">
      <c r="B370" s="46" t="s">
        <v>1985</v>
      </c>
      <c r="C370" s="40" t="s">
        <v>1984</v>
      </c>
    </row>
    <row r="371" spans="2:3" x14ac:dyDescent="0.25">
      <c r="B371" s="46" t="s">
        <v>1987</v>
      </c>
      <c r="C371" s="40" t="s">
        <v>1986</v>
      </c>
    </row>
    <row r="372" spans="2:3" x14ac:dyDescent="0.25">
      <c r="B372" s="46" t="s">
        <v>1989</v>
      </c>
      <c r="C372" s="40" t="s">
        <v>1988</v>
      </c>
    </row>
    <row r="373" spans="2:3" x14ac:dyDescent="0.25">
      <c r="B373" s="46" t="s">
        <v>1991</v>
      </c>
      <c r="C373" s="40" t="s">
        <v>1990</v>
      </c>
    </row>
    <row r="374" spans="2:3" x14ac:dyDescent="0.25">
      <c r="B374" s="46" t="s">
        <v>1993</v>
      </c>
      <c r="C374" s="40" t="s">
        <v>1992</v>
      </c>
    </row>
    <row r="375" spans="2:3" x14ac:dyDescent="0.25">
      <c r="B375" s="46" t="s">
        <v>1995</v>
      </c>
      <c r="C375" s="40" t="s">
        <v>1994</v>
      </c>
    </row>
    <row r="376" spans="2:3" x14ac:dyDescent="0.25">
      <c r="B376" s="46" t="s">
        <v>1997</v>
      </c>
      <c r="C376" s="40" t="s">
        <v>1996</v>
      </c>
    </row>
    <row r="377" spans="2:3" x14ac:dyDescent="0.25">
      <c r="B377" s="46" t="s">
        <v>1999</v>
      </c>
      <c r="C377" s="40" t="s">
        <v>1998</v>
      </c>
    </row>
    <row r="378" spans="2:3" x14ac:dyDescent="0.25">
      <c r="B378" s="46" t="s">
        <v>2001</v>
      </c>
      <c r="C378" s="40" t="s">
        <v>2000</v>
      </c>
    </row>
    <row r="379" spans="2:3" x14ac:dyDescent="0.25">
      <c r="B379" s="46" t="s">
        <v>2003</v>
      </c>
      <c r="C379" s="40" t="s">
        <v>2002</v>
      </c>
    </row>
    <row r="380" spans="2:3" x14ac:dyDescent="0.25">
      <c r="B380" s="46" t="s">
        <v>2005</v>
      </c>
      <c r="C380" s="40" t="s">
        <v>2004</v>
      </c>
    </row>
    <row r="381" spans="2:3" x14ac:dyDescent="0.25">
      <c r="B381" s="46" t="s">
        <v>2007</v>
      </c>
      <c r="C381" s="40" t="s">
        <v>2006</v>
      </c>
    </row>
    <row r="382" spans="2:3" x14ac:dyDescent="0.25">
      <c r="B382" s="46" t="s">
        <v>2009</v>
      </c>
      <c r="C382" s="40" t="s">
        <v>2008</v>
      </c>
    </row>
    <row r="383" spans="2:3" x14ac:dyDescent="0.25">
      <c r="B383" s="46" t="s">
        <v>2011</v>
      </c>
      <c r="C383" s="40" t="s">
        <v>2010</v>
      </c>
    </row>
    <row r="384" spans="2:3" x14ac:dyDescent="0.25">
      <c r="B384" s="46" t="s">
        <v>2013</v>
      </c>
      <c r="C384" s="40" t="s">
        <v>2012</v>
      </c>
    </row>
    <row r="385" spans="2:3" x14ac:dyDescent="0.25">
      <c r="B385" s="46" t="s">
        <v>2015</v>
      </c>
      <c r="C385" s="40" t="s">
        <v>2014</v>
      </c>
    </row>
    <row r="386" spans="2:3" x14ac:dyDescent="0.25">
      <c r="B386" s="46" t="s">
        <v>2017</v>
      </c>
      <c r="C386" s="40" t="s">
        <v>2016</v>
      </c>
    </row>
    <row r="387" spans="2:3" x14ac:dyDescent="0.25">
      <c r="B387" s="46" t="s">
        <v>2019</v>
      </c>
      <c r="C387" s="40" t="s">
        <v>2018</v>
      </c>
    </row>
    <row r="388" spans="2:3" x14ac:dyDescent="0.25">
      <c r="B388" s="46" t="s">
        <v>2021</v>
      </c>
      <c r="C388" s="40" t="s">
        <v>2020</v>
      </c>
    </row>
    <row r="389" spans="2:3" x14ac:dyDescent="0.25">
      <c r="B389" s="46" t="s">
        <v>2023</v>
      </c>
      <c r="C389" s="40" t="s">
        <v>2022</v>
      </c>
    </row>
    <row r="390" spans="2:3" x14ac:dyDescent="0.25">
      <c r="B390" s="46" t="s">
        <v>2025</v>
      </c>
      <c r="C390" s="40" t="s">
        <v>2024</v>
      </c>
    </row>
    <row r="391" spans="2:3" x14ac:dyDescent="0.25">
      <c r="B391" s="46" t="s">
        <v>2027</v>
      </c>
      <c r="C391" s="40" t="s">
        <v>2026</v>
      </c>
    </row>
    <row r="392" spans="2:3" x14ac:dyDescent="0.25">
      <c r="B392" s="46" t="s">
        <v>2029</v>
      </c>
      <c r="C392" s="40" t="s">
        <v>2028</v>
      </c>
    </row>
    <row r="393" spans="2:3" x14ac:dyDescent="0.25">
      <c r="B393" s="46" t="s">
        <v>2031</v>
      </c>
      <c r="C393" s="40" t="s">
        <v>2030</v>
      </c>
    </row>
    <row r="394" spans="2:3" x14ac:dyDescent="0.25">
      <c r="B394" s="46" t="s">
        <v>2033</v>
      </c>
      <c r="C394" s="40" t="s">
        <v>2032</v>
      </c>
    </row>
    <row r="395" spans="2:3" x14ac:dyDescent="0.25">
      <c r="B395" s="46" t="s">
        <v>2035</v>
      </c>
      <c r="C395" s="40" t="s">
        <v>2034</v>
      </c>
    </row>
    <row r="396" spans="2:3" x14ac:dyDescent="0.25">
      <c r="B396" s="46" t="s">
        <v>2037</v>
      </c>
      <c r="C396" s="40" t="s">
        <v>2036</v>
      </c>
    </row>
    <row r="397" spans="2:3" x14ac:dyDescent="0.25">
      <c r="B397" s="46" t="s">
        <v>2039</v>
      </c>
      <c r="C397" s="40" t="s">
        <v>2038</v>
      </c>
    </row>
    <row r="398" spans="2:3" x14ac:dyDescent="0.25">
      <c r="B398" s="46" t="s">
        <v>2041</v>
      </c>
      <c r="C398" s="40" t="s">
        <v>2040</v>
      </c>
    </row>
    <row r="399" spans="2:3" x14ac:dyDescent="0.25">
      <c r="B399" s="46" t="s">
        <v>2043</v>
      </c>
      <c r="C399" s="40" t="s">
        <v>2042</v>
      </c>
    </row>
    <row r="400" spans="2:3" x14ac:dyDescent="0.25">
      <c r="B400" s="46" t="s">
        <v>2045</v>
      </c>
      <c r="C400" s="40" t="s">
        <v>2044</v>
      </c>
    </row>
    <row r="401" spans="2:3" x14ac:dyDescent="0.25">
      <c r="B401" s="46" t="s">
        <v>2047</v>
      </c>
      <c r="C401" s="40" t="s">
        <v>2046</v>
      </c>
    </row>
    <row r="402" spans="2:3" x14ac:dyDescent="0.25">
      <c r="B402" s="46" t="s">
        <v>2049</v>
      </c>
      <c r="C402" s="40" t="s">
        <v>2048</v>
      </c>
    </row>
    <row r="403" spans="2:3" x14ac:dyDescent="0.25">
      <c r="B403" s="46" t="s">
        <v>2051</v>
      </c>
      <c r="C403" s="40" t="s">
        <v>2050</v>
      </c>
    </row>
    <row r="404" spans="2:3" x14ac:dyDescent="0.25">
      <c r="B404" s="46" t="s">
        <v>2053</v>
      </c>
      <c r="C404" s="40" t="s">
        <v>2052</v>
      </c>
    </row>
    <row r="405" spans="2:3" x14ac:dyDescent="0.25">
      <c r="B405" s="46" t="s">
        <v>2055</v>
      </c>
      <c r="C405" s="40" t="s">
        <v>2054</v>
      </c>
    </row>
    <row r="406" spans="2:3" x14ac:dyDescent="0.25">
      <c r="B406" s="46" t="s">
        <v>2057</v>
      </c>
      <c r="C406" s="40" t="s">
        <v>2056</v>
      </c>
    </row>
    <row r="407" spans="2:3" x14ac:dyDescent="0.25">
      <c r="B407" s="46" t="s">
        <v>2059</v>
      </c>
      <c r="C407" s="40" t="s">
        <v>2058</v>
      </c>
    </row>
    <row r="408" spans="2:3" x14ac:dyDescent="0.25">
      <c r="B408" s="46" t="s">
        <v>2061</v>
      </c>
      <c r="C408" s="40" t="s">
        <v>2060</v>
      </c>
    </row>
    <row r="409" spans="2:3" x14ac:dyDescent="0.25">
      <c r="B409" s="46" t="s">
        <v>2063</v>
      </c>
      <c r="C409" s="40" t="s">
        <v>2062</v>
      </c>
    </row>
    <row r="410" spans="2:3" x14ac:dyDescent="0.25">
      <c r="B410" s="46" t="s">
        <v>2065</v>
      </c>
      <c r="C410" s="40" t="s">
        <v>2064</v>
      </c>
    </row>
    <row r="411" spans="2:3" x14ac:dyDescent="0.25">
      <c r="B411" s="46" t="s">
        <v>2067</v>
      </c>
      <c r="C411" s="40" t="s">
        <v>2066</v>
      </c>
    </row>
    <row r="412" spans="2:3" x14ac:dyDescent="0.25">
      <c r="B412" s="46" t="s">
        <v>2069</v>
      </c>
      <c r="C412" s="40" t="s">
        <v>2068</v>
      </c>
    </row>
    <row r="413" spans="2:3" x14ac:dyDescent="0.25">
      <c r="B413" s="46" t="s">
        <v>2070</v>
      </c>
      <c r="C413" s="40" t="s">
        <v>1383</v>
      </c>
    </row>
    <row r="414" spans="2:3" x14ac:dyDescent="0.25">
      <c r="B414" s="46" t="s">
        <v>2072</v>
      </c>
      <c r="C414" s="40" t="s">
        <v>2071</v>
      </c>
    </row>
    <row r="415" spans="2:3" x14ac:dyDescent="0.25">
      <c r="B415" s="46" t="s">
        <v>2074</v>
      </c>
      <c r="C415" s="40" t="s">
        <v>2073</v>
      </c>
    </row>
    <row r="416" spans="2:3" x14ac:dyDescent="0.25">
      <c r="B416" s="46" t="s">
        <v>2076</v>
      </c>
      <c r="C416" s="40" t="s">
        <v>2075</v>
      </c>
    </row>
    <row r="417" spans="2:3" x14ac:dyDescent="0.25">
      <c r="B417" s="46" t="s">
        <v>2078</v>
      </c>
      <c r="C417" s="40" t="s">
        <v>2077</v>
      </c>
    </row>
    <row r="418" spans="2:3" x14ac:dyDescent="0.25">
      <c r="B418" s="46" t="s">
        <v>2080</v>
      </c>
      <c r="C418" s="40" t="s">
        <v>2079</v>
      </c>
    </row>
    <row r="419" spans="2:3" x14ac:dyDescent="0.25">
      <c r="B419" s="46" t="s">
        <v>2082</v>
      </c>
      <c r="C419" s="40" t="s">
        <v>2081</v>
      </c>
    </row>
    <row r="420" spans="2:3" x14ac:dyDescent="0.25">
      <c r="B420" s="46" t="s">
        <v>2084</v>
      </c>
      <c r="C420" s="40" t="s">
        <v>2083</v>
      </c>
    </row>
    <row r="421" spans="2:3" x14ac:dyDescent="0.25">
      <c r="B421" s="46" t="s">
        <v>2086</v>
      </c>
      <c r="C421" s="40" t="s">
        <v>2085</v>
      </c>
    </row>
    <row r="422" spans="2:3" x14ac:dyDescent="0.25">
      <c r="B422" s="46" t="s">
        <v>2088</v>
      </c>
      <c r="C422" s="40" t="s">
        <v>2087</v>
      </c>
    </row>
    <row r="423" spans="2:3" x14ac:dyDescent="0.25">
      <c r="B423" s="46" t="s">
        <v>2090</v>
      </c>
      <c r="C423" s="40" t="s">
        <v>2089</v>
      </c>
    </row>
    <row r="424" spans="2:3" x14ac:dyDescent="0.25">
      <c r="B424" s="46" t="s">
        <v>2092</v>
      </c>
      <c r="C424" s="40" t="s">
        <v>2091</v>
      </c>
    </row>
    <row r="425" spans="2:3" x14ac:dyDescent="0.25">
      <c r="B425" s="46" t="s">
        <v>2094</v>
      </c>
      <c r="C425" s="40" t="s">
        <v>2093</v>
      </c>
    </row>
    <row r="426" spans="2:3" x14ac:dyDescent="0.25">
      <c r="B426" s="46" t="s">
        <v>2096</v>
      </c>
      <c r="C426" s="40" t="s">
        <v>2095</v>
      </c>
    </row>
    <row r="427" spans="2:3" x14ac:dyDescent="0.25">
      <c r="B427" s="46" t="s">
        <v>2098</v>
      </c>
      <c r="C427" s="40" t="s">
        <v>2097</v>
      </c>
    </row>
    <row r="428" spans="2:3" x14ac:dyDescent="0.25">
      <c r="B428" s="46" t="s">
        <v>2100</v>
      </c>
      <c r="C428" s="40" t="s">
        <v>2099</v>
      </c>
    </row>
    <row r="429" spans="2:3" x14ac:dyDescent="0.25">
      <c r="B429" s="46" t="s">
        <v>2102</v>
      </c>
      <c r="C429" s="40" t="s">
        <v>2101</v>
      </c>
    </row>
    <row r="430" spans="2:3" x14ac:dyDescent="0.25">
      <c r="B430" s="46" t="s">
        <v>2104</v>
      </c>
      <c r="C430" s="40" t="s">
        <v>2103</v>
      </c>
    </row>
    <row r="431" spans="2:3" x14ac:dyDescent="0.25">
      <c r="B431" s="46" t="s">
        <v>2106</v>
      </c>
      <c r="C431" s="40" t="s">
        <v>2105</v>
      </c>
    </row>
    <row r="432" spans="2:3" x14ac:dyDescent="0.25">
      <c r="B432" s="46" t="s">
        <v>2108</v>
      </c>
      <c r="C432" s="40" t="s">
        <v>2107</v>
      </c>
    </row>
    <row r="433" spans="2:3" x14ac:dyDescent="0.25">
      <c r="B433" s="46" t="s">
        <v>2110</v>
      </c>
      <c r="C433" s="40" t="s">
        <v>2109</v>
      </c>
    </row>
    <row r="434" spans="2:3" x14ac:dyDescent="0.25">
      <c r="B434" s="46" t="s">
        <v>2112</v>
      </c>
      <c r="C434" s="40" t="s">
        <v>2111</v>
      </c>
    </row>
    <row r="435" spans="2:3" x14ac:dyDescent="0.25">
      <c r="B435" s="46" t="s">
        <v>2114</v>
      </c>
      <c r="C435" s="40" t="s">
        <v>2113</v>
      </c>
    </row>
    <row r="436" spans="2:3" x14ac:dyDescent="0.25">
      <c r="B436" s="46" t="s">
        <v>2116</v>
      </c>
      <c r="C436" s="40" t="s">
        <v>2115</v>
      </c>
    </row>
    <row r="437" spans="2:3" x14ac:dyDescent="0.25">
      <c r="B437" s="46" t="s">
        <v>2118</v>
      </c>
      <c r="C437" s="40" t="s">
        <v>2117</v>
      </c>
    </row>
    <row r="438" spans="2:3" x14ac:dyDescent="0.25">
      <c r="B438" s="46" t="s">
        <v>2120</v>
      </c>
      <c r="C438" s="40" t="s">
        <v>2119</v>
      </c>
    </row>
    <row r="439" spans="2:3" x14ac:dyDescent="0.25">
      <c r="B439" s="46" t="s">
        <v>2122</v>
      </c>
      <c r="C439" s="40" t="s">
        <v>2121</v>
      </c>
    </row>
    <row r="440" spans="2:3" x14ac:dyDescent="0.25">
      <c r="B440" s="46" t="s">
        <v>2124</v>
      </c>
      <c r="C440" s="40" t="s">
        <v>2123</v>
      </c>
    </row>
    <row r="441" spans="2:3" x14ac:dyDescent="0.25">
      <c r="B441" s="46" t="s">
        <v>2126</v>
      </c>
      <c r="C441" s="40" t="s">
        <v>2125</v>
      </c>
    </row>
    <row r="442" spans="2:3" x14ac:dyDescent="0.25">
      <c r="B442" s="46" t="s">
        <v>2128</v>
      </c>
      <c r="C442" s="40" t="s">
        <v>2127</v>
      </c>
    </row>
    <row r="443" spans="2:3" x14ac:dyDescent="0.25">
      <c r="B443" s="46" t="s">
        <v>2130</v>
      </c>
      <c r="C443" s="40" t="s">
        <v>2129</v>
      </c>
    </row>
    <row r="444" spans="2:3" x14ac:dyDescent="0.25">
      <c r="B444" s="46" t="s">
        <v>2132</v>
      </c>
      <c r="C444" s="40" t="s">
        <v>2131</v>
      </c>
    </row>
    <row r="445" spans="2:3" x14ac:dyDescent="0.25">
      <c r="B445" s="46" t="s">
        <v>2134</v>
      </c>
      <c r="C445" s="40" t="s">
        <v>2133</v>
      </c>
    </row>
    <row r="446" spans="2:3" x14ac:dyDescent="0.25">
      <c r="B446" s="46" t="s">
        <v>2136</v>
      </c>
      <c r="C446" s="40" t="s">
        <v>2135</v>
      </c>
    </row>
    <row r="447" spans="2:3" x14ac:dyDescent="0.25">
      <c r="B447" s="46" t="s">
        <v>2138</v>
      </c>
      <c r="C447" s="40" t="s">
        <v>2137</v>
      </c>
    </row>
    <row r="448" spans="2:3" x14ac:dyDescent="0.25">
      <c r="B448" s="46" t="s">
        <v>2140</v>
      </c>
      <c r="C448" s="40" t="s">
        <v>2139</v>
      </c>
    </row>
    <row r="449" spans="2:3" x14ac:dyDescent="0.25">
      <c r="B449" s="46" t="s">
        <v>2142</v>
      </c>
      <c r="C449" s="40" t="s">
        <v>2141</v>
      </c>
    </row>
    <row r="450" spans="2:3" x14ac:dyDescent="0.25">
      <c r="B450" s="46" t="s">
        <v>2144</v>
      </c>
      <c r="C450" s="40" t="s">
        <v>2143</v>
      </c>
    </row>
    <row r="451" spans="2:3" x14ac:dyDescent="0.25">
      <c r="B451" s="46" t="s">
        <v>2146</v>
      </c>
      <c r="C451" s="40" t="s">
        <v>2145</v>
      </c>
    </row>
    <row r="452" spans="2:3" x14ac:dyDescent="0.25">
      <c r="B452" s="46" t="s">
        <v>2148</v>
      </c>
      <c r="C452" s="40" t="s">
        <v>2147</v>
      </c>
    </row>
    <row r="453" spans="2:3" x14ac:dyDescent="0.25">
      <c r="B453" s="46" t="s">
        <v>2150</v>
      </c>
      <c r="C453" s="40" t="s">
        <v>2149</v>
      </c>
    </row>
    <row r="454" spans="2:3" x14ac:dyDescent="0.25">
      <c r="B454" s="46" t="s">
        <v>2152</v>
      </c>
      <c r="C454" s="40" t="s">
        <v>2151</v>
      </c>
    </row>
    <row r="455" spans="2:3" x14ac:dyDescent="0.25">
      <c r="B455" s="46" t="s">
        <v>2154</v>
      </c>
      <c r="C455" s="40" t="s">
        <v>2153</v>
      </c>
    </row>
    <row r="456" spans="2:3" x14ac:dyDescent="0.25">
      <c r="B456" s="46" t="s">
        <v>2156</v>
      </c>
      <c r="C456" s="40" t="s">
        <v>2155</v>
      </c>
    </row>
    <row r="457" spans="2:3" x14ac:dyDescent="0.25">
      <c r="B457" s="46" t="s">
        <v>2158</v>
      </c>
      <c r="C457" s="40" t="s">
        <v>2157</v>
      </c>
    </row>
    <row r="458" spans="2:3" x14ac:dyDescent="0.25">
      <c r="B458" s="46" t="s">
        <v>2160</v>
      </c>
      <c r="C458" s="40" t="s">
        <v>2159</v>
      </c>
    </row>
    <row r="459" spans="2:3" x14ac:dyDescent="0.25">
      <c r="B459" s="46" t="s">
        <v>2162</v>
      </c>
      <c r="C459" s="40" t="s">
        <v>2161</v>
      </c>
    </row>
    <row r="460" spans="2:3" x14ac:dyDescent="0.25">
      <c r="B460" s="46" t="s">
        <v>2164</v>
      </c>
      <c r="C460" s="40" t="s">
        <v>2163</v>
      </c>
    </row>
    <row r="461" spans="2:3" x14ac:dyDescent="0.25">
      <c r="B461" s="46" t="s">
        <v>2166</v>
      </c>
      <c r="C461" s="40" t="s">
        <v>2165</v>
      </c>
    </row>
    <row r="462" spans="2:3" x14ac:dyDescent="0.25">
      <c r="B462" s="46" t="s">
        <v>2168</v>
      </c>
      <c r="C462" s="40" t="s">
        <v>2167</v>
      </c>
    </row>
    <row r="463" spans="2:3" x14ac:dyDescent="0.25">
      <c r="B463" s="46" t="s">
        <v>2170</v>
      </c>
      <c r="C463" s="40" t="s">
        <v>2169</v>
      </c>
    </row>
    <row r="464" spans="2:3" x14ac:dyDescent="0.25">
      <c r="B464" s="46" t="s">
        <v>2172</v>
      </c>
      <c r="C464" s="40" t="s">
        <v>2171</v>
      </c>
    </row>
    <row r="465" spans="2:3" x14ac:dyDescent="0.25">
      <c r="B465" s="46" t="s">
        <v>2174</v>
      </c>
      <c r="C465" s="40" t="s">
        <v>2173</v>
      </c>
    </row>
    <row r="466" spans="2:3" x14ac:dyDescent="0.25">
      <c r="B466" s="46" t="s">
        <v>2176</v>
      </c>
      <c r="C466" s="40" t="s">
        <v>2175</v>
      </c>
    </row>
    <row r="467" spans="2:3" x14ac:dyDescent="0.25">
      <c r="B467" s="46" t="s">
        <v>2178</v>
      </c>
      <c r="C467" s="40" t="s">
        <v>2177</v>
      </c>
    </row>
    <row r="468" spans="2:3" x14ac:dyDescent="0.25">
      <c r="B468" s="46" t="s">
        <v>2180</v>
      </c>
      <c r="C468" s="40" t="s">
        <v>2179</v>
      </c>
    </row>
    <row r="469" spans="2:3" x14ac:dyDescent="0.25">
      <c r="B469" s="46" t="s">
        <v>2182</v>
      </c>
      <c r="C469" s="40" t="s">
        <v>2181</v>
      </c>
    </row>
    <row r="470" spans="2:3" x14ac:dyDescent="0.25">
      <c r="B470" s="46" t="s">
        <v>2184</v>
      </c>
      <c r="C470" s="40" t="s">
        <v>2183</v>
      </c>
    </row>
    <row r="471" spans="2:3" x14ac:dyDescent="0.25">
      <c r="B471" s="46" t="s">
        <v>2186</v>
      </c>
      <c r="C471" s="40" t="s">
        <v>2185</v>
      </c>
    </row>
    <row r="472" spans="2:3" x14ac:dyDescent="0.25">
      <c r="B472" s="46" t="s">
        <v>2188</v>
      </c>
      <c r="C472" s="40" t="s">
        <v>2187</v>
      </c>
    </row>
    <row r="473" spans="2:3" x14ac:dyDescent="0.25">
      <c r="B473" s="46" t="s">
        <v>2190</v>
      </c>
      <c r="C473" s="40" t="s">
        <v>2189</v>
      </c>
    </row>
    <row r="474" spans="2:3" x14ac:dyDescent="0.25">
      <c r="B474" s="46" t="s">
        <v>2192</v>
      </c>
      <c r="C474" s="40" t="s">
        <v>2191</v>
      </c>
    </row>
    <row r="475" spans="2:3" x14ac:dyDescent="0.25">
      <c r="B475" s="46" t="s">
        <v>2194</v>
      </c>
      <c r="C475" s="40" t="s">
        <v>2193</v>
      </c>
    </row>
    <row r="476" spans="2:3" x14ac:dyDescent="0.25">
      <c r="B476" s="46" t="s">
        <v>2196</v>
      </c>
      <c r="C476" s="40" t="s">
        <v>2195</v>
      </c>
    </row>
    <row r="477" spans="2:3" x14ac:dyDescent="0.25">
      <c r="B477" s="46" t="s">
        <v>2198</v>
      </c>
      <c r="C477" s="40" t="s">
        <v>2197</v>
      </c>
    </row>
    <row r="478" spans="2:3" x14ac:dyDescent="0.25">
      <c r="B478" s="46" t="s">
        <v>2200</v>
      </c>
      <c r="C478" s="40" t="s">
        <v>2199</v>
      </c>
    </row>
    <row r="479" spans="2:3" x14ac:dyDescent="0.25">
      <c r="B479" s="46" t="s">
        <v>2202</v>
      </c>
      <c r="C479" s="40" t="s">
        <v>2201</v>
      </c>
    </row>
    <row r="480" spans="2:3" x14ac:dyDescent="0.25">
      <c r="B480" s="46" t="s">
        <v>2204</v>
      </c>
      <c r="C480" s="40" t="s">
        <v>2203</v>
      </c>
    </row>
    <row r="481" spans="2:3" x14ac:dyDescent="0.25">
      <c r="B481" s="46" t="s">
        <v>2206</v>
      </c>
      <c r="C481" s="40" t="s">
        <v>2205</v>
      </c>
    </row>
    <row r="482" spans="2:3" x14ac:dyDescent="0.25">
      <c r="B482" s="46" t="s">
        <v>2208</v>
      </c>
      <c r="C482" s="40" t="s">
        <v>2207</v>
      </c>
    </row>
    <row r="483" spans="2:3" x14ac:dyDescent="0.25">
      <c r="B483" s="46" t="s">
        <v>2210</v>
      </c>
      <c r="C483" s="40" t="s">
        <v>2209</v>
      </c>
    </row>
    <row r="484" spans="2:3" x14ac:dyDescent="0.25">
      <c r="B484" s="46" t="s">
        <v>2212</v>
      </c>
      <c r="C484" s="40" t="s">
        <v>2211</v>
      </c>
    </row>
    <row r="485" spans="2:3" x14ac:dyDescent="0.25">
      <c r="B485" s="46" t="s">
        <v>2214</v>
      </c>
      <c r="C485" s="40" t="s">
        <v>2213</v>
      </c>
    </row>
    <row r="486" spans="2:3" x14ac:dyDescent="0.25">
      <c r="B486" s="46" t="s">
        <v>2216</v>
      </c>
      <c r="C486" s="40" t="s">
        <v>2215</v>
      </c>
    </row>
    <row r="487" spans="2:3" x14ac:dyDescent="0.25">
      <c r="B487" s="46" t="s">
        <v>2218</v>
      </c>
      <c r="C487" s="40" t="s">
        <v>2217</v>
      </c>
    </row>
    <row r="488" spans="2:3" x14ac:dyDescent="0.25">
      <c r="B488" s="46" t="s">
        <v>2220</v>
      </c>
      <c r="C488" s="40" t="s">
        <v>2219</v>
      </c>
    </row>
    <row r="489" spans="2:3" x14ac:dyDescent="0.25">
      <c r="B489" s="46" t="s">
        <v>2222</v>
      </c>
      <c r="C489" s="40" t="s">
        <v>2221</v>
      </c>
    </row>
    <row r="490" spans="2:3" x14ac:dyDescent="0.25">
      <c r="B490" s="46" t="s">
        <v>2224</v>
      </c>
      <c r="C490" s="40" t="s">
        <v>2223</v>
      </c>
    </row>
    <row r="491" spans="2:3" x14ac:dyDescent="0.25">
      <c r="B491" s="46" t="s">
        <v>2226</v>
      </c>
      <c r="C491" s="40" t="s">
        <v>2225</v>
      </c>
    </row>
    <row r="492" spans="2:3" x14ac:dyDescent="0.25">
      <c r="B492" s="46" t="s">
        <v>2228</v>
      </c>
      <c r="C492" s="40" t="s">
        <v>2227</v>
      </c>
    </row>
    <row r="493" spans="2:3" x14ac:dyDescent="0.25">
      <c r="B493" s="46" t="s">
        <v>2230</v>
      </c>
      <c r="C493" s="40" t="s">
        <v>2229</v>
      </c>
    </row>
    <row r="494" spans="2:3" x14ac:dyDescent="0.25">
      <c r="B494" s="46" t="s">
        <v>2232</v>
      </c>
      <c r="C494" s="40" t="s">
        <v>2231</v>
      </c>
    </row>
    <row r="495" spans="2:3" x14ac:dyDescent="0.25">
      <c r="B495" s="46" t="s">
        <v>2234</v>
      </c>
      <c r="C495" s="40" t="s">
        <v>2233</v>
      </c>
    </row>
    <row r="496" spans="2:3" x14ac:dyDescent="0.25">
      <c r="B496" s="46" t="s">
        <v>2236</v>
      </c>
      <c r="C496" s="40" t="s">
        <v>2235</v>
      </c>
    </row>
    <row r="497" spans="2:3" x14ac:dyDescent="0.25">
      <c r="B497" s="46" t="s">
        <v>2238</v>
      </c>
      <c r="C497" s="40" t="s">
        <v>2237</v>
      </c>
    </row>
    <row r="498" spans="2:3" x14ac:dyDescent="0.25">
      <c r="B498" s="46" t="s">
        <v>2240</v>
      </c>
      <c r="C498" s="40" t="s">
        <v>2239</v>
      </c>
    </row>
    <row r="499" spans="2:3" x14ac:dyDescent="0.25">
      <c r="B499" s="46" t="s">
        <v>2242</v>
      </c>
      <c r="C499" s="40" t="s">
        <v>2241</v>
      </c>
    </row>
    <row r="500" spans="2:3" x14ac:dyDescent="0.25">
      <c r="B500" s="46" t="s">
        <v>2244</v>
      </c>
      <c r="C500" s="40" t="s">
        <v>2243</v>
      </c>
    </row>
    <row r="501" spans="2:3" x14ac:dyDescent="0.25">
      <c r="B501" s="46" t="s">
        <v>2246</v>
      </c>
      <c r="C501" s="40" t="s">
        <v>2245</v>
      </c>
    </row>
    <row r="502" spans="2:3" x14ac:dyDescent="0.25">
      <c r="B502" s="46" t="s">
        <v>2248</v>
      </c>
      <c r="C502" s="40" t="s">
        <v>2247</v>
      </c>
    </row>
    <row r="503" spans="2:3" x14ac:dyDescent="0.25">
      <c r="B503" s="46" t="s">
        <v>2250</v>
      </c>
      <c r="C503" s="40" t="s">
        <v>2249</v>
      </c>
    </row>
    <row r="504" spans="2:3" x14ac:dyDescent="0.25">
      <c r="B504" s="46" t="s">
        <v>2252</v>
      </c>
      <c r="C504" s="40" t="s">
        <v>2251</v>
      </c>
    </row>
    <row r="505" spans="2:3" x14ac:dyDescent="0.25">
      <c r="B505" s="46" t="s">
        <v>2254</v>
      </c>
      <c r="C505" s="40" t="s">
        <v>2253</v>
      </c>
    </row>
    <row r="506" spans="2:3" x14ac:dyDescent="0.25">
      <c r="B506" s="46" t="s">
        <v>2256</v>
      </c>
      <c r="C506" s="40" t="s">
        <v>2255</v>
      </c>
    </row>
    <row r="507" spans="2:3" x14ac:dyDescent="0.25">
      <c r="B507" s="46" t="s">
        <v>2258</v>
      </c>
      <c r="C507" s="40" t="s">
        <v>2257</v>
      </c>
    </row>
    <row r="508" spans="2:3" x14ac:dyDescent="0.25">
      <c r="B508" s="46" t="s">
        <v>2260</v>
      </c>
      <c r="C508" s="40" t="s">
        <v>2259</v>
      </c>
    </row>
    <row r="509" spans="2:3" x14ac:dyDescent="0.25">
      <c r="B509" s="46" t="s">
        <v>2262</v>
      </c>
      <c r="C509" s="40" t="s">
        <v>2261</v>
      </c>
    </row>
    <row r="510" spans="2:3" x14ac:dyDescent="0.25">
      <c r="B510" s="46" t="s">
        <v>2264</v>
      </c>
      <c r="C510" s="40" t="s">
        <v>2263</v>
      </c>
    </row>
    <row r="511" spans="2:3" x14ac:dyDescent="0.25">
      <c r="B511" s="46" t="s">
        <v>2266</v>
      </c>
      <c r="C511" s="40" t="s">
        <v>2265</v>
      </c>
    </row>
    <row r="512" spans="2:3" x14ac:dyDescent="0.25">
      <c r="B512" s="46" t="s">
        <v>2268</v>
      </c>
      <c r="C512" s="40" t="s">
        <v>2267</v>
      </c>
    </row>
    <row r="513" spans="2:3" x14ac:dyDescent="0.25">
      <c r="B513" s="46" t="s">
        <v>2270</v>
      </c>
      <c r="C513" s="40" t="s">
        <v>2269</v>
      </c>
    </row>
    <row r="514" spans="2:3" x14ac:dyDescent="0.25">
      <c r="B514" s="46" t="s">
        <v>2272</v>
      </c>
      <c r="C514" s="40" t="s">
        <v>2271</v>
      </c>
    </row>
    <row r="515" spans="2:3" x14ac:dyDescent="0.25">
      <c r="B515" s="46" t="s">
        <v>2274</v>
      </c>
      <c r="C515" s="40" t="s">
        <v>2273</v>
      </c>
    </row>
    <row r="516" spans="2:3" x14ac:dyDescent="0.25">
      <c r="B516" s="46" t="s">
        <v>2276</v>
      </c>
      <c r="C516" s="40" t="s">
        <v>2275</v>
      </c>
    </row>
    <row r="517" spans="2:3" x14ac:dyDescent="0.25">
      <c r="B517" s="46" t="s">
        <v>1252</v>
      </c>
      <c r="C517" s="40" t="s">
        <v>2277</v>
      </c>
    </row>
    <row r="518" spans="2:3" x14ac:dyDescent="0.25">
      <c r="B518" s="46" t="s">
        <v>2279</v>
      </c>
      <c r="C518" s="40" t="s">
        <v>2278</v>
      </c>
    </row>
    <row r="519" spans="2:3" x14ac:dyDescent="0.25">
      <c r="B519" s="46" t="s">
        <v>2281</v>
      </c>
      <c r="C519" s="40" t="s">
        <v>2280</v>
      </c>
    </row>
    <row r="520" spans="2:3" x14ac:dyDescent="0.25">
      <c r="B520" s="46" t="s">
        <v>2283</v>
      </c>
      <c r="C520" s="40" t="s">
        <v>2282</v>
      </c>
    </row>
    <row r="521" spans="2:3" x14ac:dyDescent="0.25">
      <c r="B521" s="46" t="s">
        <v>2285</v>
      </c>
      <c r="C521" s="40" t="s">
        <v>2284</v>
      </c>
    </row>
    <row r="522" spans="2:3" x14ac:dyDescent="0.25">
      <c r="B522" s="46" t="s">
        <v>2287</v>
      </c>
      <c r="C522" s="40" t="s">
        <v>2286</v>
      </c>
    </row>
    <row r="523" spans="2:3" x14ac:dyDescent="0.25">
      <c r="B523" s="46" t="s">
        <v>2289</v>
      </c>
      <c r="C523" s="40" t="s">
        <v>2288</v>
      </c>
    </row>
    <row r="524" spans="2:3" x14ac:dyDescent="0.25">
      <c r="B524" s="46" t="s">
        <v>2291</v>
      </c>
      <c r="C524" s="40" t="s">
        <v>2290</v>
      </c>
    </row>
    <row r="525" spans="2:3" x14ac:dyDescent="0.25">
      <c r="B525" s="46" t="s">
        <v>2293</v>
      </c>
      <c r="C525" s="40" t="s">
        <v>2292</v>
      </c>
    </row>
    <row r="526" spans="2:3" x14ac:dyDescent="0.25">
      <c r="B526" s="46" t="s">
        <v>2295</v>
      </c>
      <c r="C526" s="40" t="s">
        <v>2294</v>
      </c>
    </row>
    <row r="527" spans="2:3" x14ac:dyDescent="0.25">
      <c r="B527" s="46" t="s">
        <v>2297</v>
      </c>
      <c r="C527" s="40" t="s">
        <v>2296</v>
      </c>
    </row>
    <row r="528" spans="2:3" x14ac:dyDescent="0.25">
      <c r="B528" s="46" t="s">
        <v>2299</v>
      </c>
      <c r="C528" s="40" t="s">
        <v>2298</v>
      </c>
    </row>
    <row r="529" spans="2:3" x14ac:dyDescent="0.25">
      <c r="B529" s="46" t="s">
        <v>2301</v>
      </c>
      <c r="C529" s="40" t="s">
        <v>2300</v>
      </c>
    </row>
    <row r="530" spans="2:3" x14ac:dyDescent="0.25">
      <c r="B530" s="46" t="s">
        <v>2303</v>
      </c>
      <c r="C530" s="40" t="s">
        <v>2302</v>
      </c>
    </row>
    <row r="531" spans="2:3" x14ac:dyDescent="0.25">
      <c r="B531" s="46" t="s">
        <v>2305</v>
      </c>
      <c r="C531" s="40" t="s">
        <v>2304</v>
      </c>
    </row>
    <row r="532" spans="2:3" x14ac:dyDescent="0.25">
      <c r="B532" s="46" t="s">
        <v>2307</v>
      </c>
      <c r="C532" s="40" t="s">
        <v>2306</v>
      </c>
    </row>
    <row r="533" spans="2:3" x14ac:dyDescent="0.25">
      <c r="B533" s="46" t="s">
        <v>2309</v>
      </c>
      <c r="C533" s="40" t="s">
        <v>2308</v>
      </c>
    </row>
    <row r="534" spans="2:3" x14ac:dyDescent="0.25">
      <c r="B534" s="46" t="s">
        <v>2311</v>
      </c>
      <c r="C534" s="40" t="s">
        <v>2310</v>
      </c>
    </row>
    <row r="535" spans="2:3" x14ac:dyDescent="0.25">
      <c r="B535" s="46" t="s">
        <v>2313</v>
      </c>
      <c r="C535" s="40" t="s">
        <v>2312</v>
      </c>
    </row>
    <row r="536" spans="2:3" x14ac:dyDescent="0.25">
      <c r="B536" s="46" t="s">
        <v>2315</v>
      </c>
      <c r="C536" s="40" t="s">
        <v>2314</v>
      </c>
    </row>
    <row r="537" spans="2:3" x14ac:dyDescent="0.25">
      <c r="B537" s="46" t="s">
        <v>2317</v>
      </c>
      <c r="C537" s="40" t="s">
        <v>2316</v>
      </c>
    </row>
    <row r="538" spans="2:3" x14ac:dyDescent="0.25">
      <c r="B538" s="46" t="s">
        <v>2319</v>
      </c>
      <c r="C538" s="40" t="s">
        <v>2318</v>
      </c>
    </row>
    <row r="539" spans="2:3" x14ac:dyDescent="0.25">
      <c r="B539" s="46" t="s">
        <v>2321</v>
      </c>
      <c r="C539" s="40" t="s">
        <v>2320</v>
      </c>
    </row>
    <row r="540" spans="2:3" x14ac:dyDescent="0.25">
      <c r="B540" s="46" t="s">
        <v>2323</v>
      </c>
      <c r="C540" s="40" t="s">
        <v>2322</v>
      </c>
    </row>
    <row r="541" spans="2:3" x14ac:dyDescent="0.25">
      <c r="B541" s="46" t="s">
        <v>2325</v>
      </c>
      <c r="C541" s="40" t="s">
        <v>2324</v>
      </c>
    </row>
    <row r="542" spans="2:3" x14ac:dyDescent="0.25">
      <c r="B542" s="46" t="s">
        <v>2327</v>
      </c>
      <c r="C542" s="40" t="s">
        <v>2326</v>
      </c>
    </row>
    <row r="543" spans="2:3" x14ac:dyDescent="0.25">
      <c r="B543" s="46" t="s">
        <v>2329</v>
      </c>
      <c r="C543" s="40" t="s">
        <v>2328</v>
      </c>
    </row>
    <row r="544" spans="2:3" x14ac:dyDescent="0.25">
      <c r="B544" s="46" t="s">
        <v>2331</v>
      </c>
      <c r="C544" s="40" t="s">
        <v>2330</v>
      </c>
    </row>
    <row r="545" spans="2:3" x14ac:dyDescent="0.25">
      <c r="B545" s="46" t="s">
        <v>2333</v>
      </c>
      <c r="C545" s="40" t="s">
        <v>2332</v>
      </c>
    </row>
    <row r="546" spans="2:3" x14ac:dyDescent="0.25">
      <c r="B546" s="46" t="s">
        <v>2335</v>
      </c>
      <c r="C546" s="40" t="s">
        <v>2334</v>
      </c>
    </row>
    <row r="547" spans="2:3" x14ac:dyDescent="0.25">
      <c r="B547" s="46" t="s">
        <v>2337</v>
      </c>
      <c r="C547" s="40" t="s">
        <v>2336</v>
      </c>
    </row>
    <row r="548" spans="2:3" x14ac:dyDescent="0.25">
      <c r="B548" s="46" t="s">
        <v>2339</v>
      </c>
      <c r="C548" s="40" t="s">
        <v>2338</v>
      </c>
    </row>
    <row r="549" spans="2:3" x14ac:dyDescent="0.25">
      <c r="B549" s="46" t="s">
        <v>2341</v>
      </c>
      <c r="C549" s="40" t="s">
        <v>2340</v>
      </c>
    </row>
    <row r="550" spans="2:3" x14ac:dyDescent="0.25">
      <c r="B550" s="46" t="s">
        <v>2343</v>
      </c>
      <c r="C550" s="40" t="s">
        <v>2342</v>
      </c>
    </row>
    <row r="551" spans="2:3" x14ac:dyDescent="0.25">
      <c r="B551" s="46" t="s">
        <v>2345</v>
      </c>
      <c r="C551" s="40" t="s">
        <v>2344</v>
      </c>
    </row>
    <row r="552" spans="2:3" x14ac:dyDescent="0.25">
      <c r="B552" s="46" t="s">
        <v>2347</v>
      </c>
      <c r="C552" s="40" t="s">
        <v>2346</v>
      </c>
    </row>
    <row r="553" spans="2:3" x14ac:dyDescent="0.25">
      <c r="B553" s="46" t="s">
        <v>2349</v>
      </c>
      <c r="C553" s="40" t="s">
        <v>2348</v>
      </c>
    </row>
    <row r="554" spans="2:3" x14ac:dyDescent="0.25">
      <c r="B554" s="46" t="s">
        <v>2351</v>
      </c>
      <c r="C554" s="40" t="s">
        <v>2350</v>
      </c>
    </row>
    <row r="555" spans="2:3" x14ac:dyDescent="0.25">
      <c r="B555" s="46" t="s">
        <v>2353</v>
      </c>
      <c r="C555" s="40" t="s">
        <v>2352</v>
      </c>
    </row>
    <row r="556" spans="2:3" x14ac:dyDescent="0.25">
      <c r="B556" s="46" t="s">
        <v>2355</v>
      </c>
      <c r="C556" s="40" t="s">
        <v>2354</v>
      </c>
    </row>
    <row r="557" spans="2:3" x14ac:dyDescent="0.25">
      <c r="B557" s="46" t="s">
        <v>2357</v>
      </c>
      <c r="C557" s="40" t="s">
        <v>2356</v>
      </c>
    </row>
    <row r="558" spans="2:3" x14ac:dyDescent="0.25">
      <c r="B558" s="46" t="s">
        <v>2357</v>
      </c>
      <c r="C558" s="40" t="s">
        <v>2358</v>
      </c>
    </row>
    <row r="559" spans="2:3" x14ac:dyDescent="0.25">
      <c r="B559" s="46" t="s">
        <v>2360</v>
      </c>
      <c r="C559" s="40" t="s">
        <v>2359</v>
      </c>
    </row>
    <row r="560" spans="2:3" x14ac:dyDescent="0.25">
      <c r="B560" s="46" t="s">
        <v>2362</v>
      </c>
      <c r="C560" s="40" t="s">
        <v>2361</v>
      </c>
    </row>
    <row r="561" spans="2:3" x14ac:dyDescent="0.25">
      <c r="B561" s="46" t="s">
        <v>2364</v>
      </c>
      <c r="C561" s="40" t="s">
        <v>2363</v>
      </c>
    </row>
    <row r="562" spans="2:3" x14ac:dyDescent="0.25">
      <c r="B562" s="46" t="s">
        <v>2366</v>
      </c>
      <c r="C562" s="40" t="s">
        <v>2365</v>
      </c>
    </row>
    <row r="563" spans="2:3" x14ac:dyDescent="0.25">
      <c r="B563" s="46" t="s">
        <v>2368</v>
      </c>
      <c r="C563" s="40" t="s">
        <v>2367</v>
      </c>
    </row>
    <row r="564" spans="2:3" x14ac:dyDescent="0.25">
      <c r="B564" s="46" t="s">
        <v>2370</v>
      </c>
      <c r="C564" s="40" t="s">
        <v>2369</v>
      </c>
    </row>
    <row r="565" spans="2:3" x14ac:dyDescent="0.25">
      <c r="B565" s="46" t="s">
        <v>2372</v>
      </c>
      <c r="C565" s="40" t="s">
        <v>2371</v>
      </c>
    </row>
    <row r="566" spans="2:3" x14ac:dyDescent="0.25">
      <c r="B566" s="46" t="s">
        <v>2374</v>
      </c>
      <c r="C566" s="40" t="s">
        <v>2373</v>
      </c>
    </row>
    <row r="567" spans="2:3" x14ac:dyDescent="0.25">
      <c r="B567" s="46" t="s">
        <v>2376</v>
      </c>
      <c r="C567" s="40" t="s">
        <v>2375</v>
      </c>
    </row>
    <row r="568" spans="2:3" x14ac:dyDescent="0.25">
      <c r="B568" s="46" t="s">
        <v>2378</v>
      </c>
      <c r="C568" s="40" t="s">
        <v>2377</v>
      </c>
    </row>
    <row r="569" spans="2:3" x14ac:dyDescent="0.25">
      <c r="B569" s="46" t="s">
        <v>2380</v>
      </c>
      <c r="C569" s="40" t="s">
        <v>2379</v>
      </c>
    </row>
    <row r="570" spans="2:3" x14ac:dyDescent="0.25">
      <c r="B570" s="46" t="s">
        <v>2382</v>
      </c>
      <c r="C570" s="40" t="s">
        <v>2381</v>
      </c>
    </row>
    <row r="571" spans="2:3" x14ac:dyDescent="0.25">
      <c r="B571" s="46" t="s">
        <v>2384</v>
      </c>
      <c r="C571" s="40" t="s">
        <v>2383</v>
      </c>
    </row>
    <row r="572" spans="2:3" x14ac:dyDescent="0.25">
      <c r="B572" s="46" t="s">
        <v>2386</v>
      </c>
      <c r="C572" s="40" t="s">
        <v>2385</v>
      </c>
    </row>
    <row r="573" spans="2:3" x14ac:dyDescent="0.25">
      <c r="B573" s="46" t="s">
        <v>2388</v>
      </c>
      <c r="C573" s="40" t="s">
        <v>2387</v>
      </c>
    </row>
    <row r="574" spans="2:3" x14ac:dyDescent="0.25">
      <c r="B574" s="46" t="s">
        <v>2390</v>
      </c>
      <c r="C574" s="40" t="s">
        <v>2389</v>
      </c>
    </row>
    <row r="575" spans="2:3" x14ac:dyDescent="0.25">
      <c r="B575" s="46" t="s">
        <v>2392</v>
      </c>
      <c r="C575" s="40" t="s">
        <v>2391</v>
      </c>
    </row>
    <row r="576" spans="2:3" x14ac:dyDescent="0.25">
      <c r="B576" s="46" t="s">
        <v>2394</v>
      </c>
      <c r="C576" s="40" t="s">
        <v>2393</v>
      </c>
    </row>
    <row r="577" spans="2:3" x14ac:dyDescent="0.25">
      <c r="B577" s="46" t="s">
        <v>2396</v>
      </c>
      <c r="C577" s="40" t="s">
        <v>2395</v>
      </c>
    </row>
    <row r="578" spans="2:3" x14ac:dyDescent="0.25">
      <c r="B578" s="46" t="s">
        <v>2398</v>
      </c>
      <c r="C578" s="40" t="s">
        <v>2397</v>
      </c>
    </row>
    <row r="579" spans="2:3" x14ac:dyDescent="0.25">
      <c r="B579" s="46" t="s">
        <v>2400</v>
      </c>
      <c r="C579" s="40" t="s">
        <v>2399</v>
      </c>
    </row>
    <row r="580" spans="2:3" x14ac:dyDescent="0.25">
      <c r="B580" s="46" t="s">
        <v>2402</v>
      </c>
      <c r="C580" s="40" t="s">
        <v>2401</v>
      </c>
    </row>
    <row r="581" spans="2:3" x14ac:dyDescent="0.25">
      <c r="B581" s="46" t="s">
        <v>2404</v>
      </c>
      <c r="C581" s="40" t="s">
        <v>2403</v>
      </c>
    </row>
    <row r="582" spans="2:3" x14ac:dyDescent="0.25">
      <c r="B582" s="46" t="s">
        <v>2406</v>
      </c>
      <c r="C582" s="40" t="s">
        <v>2405</v>
      </c>
    </row>
    <row r="583" spans="2:3" x14ac:dyDescent="0.25">
      <c r="B583" s="46" t="s">
        <v>2408</v>
      </c>
      <c r="C583" s="40" t="s">
        <v>2407</v>
      </c>
    </row>
    <row r="584" spans="2:3" x14ac:dyDescent="0.25">
      <c r="B584" s="46" t="s">
        <v>2410</v>
      </c>
      <c r="C584" s="40" t="s">
        <v>2409</v>
      </c>
    </row>
    <row r="585" spans="2:3" x14ac:dyDescent="0.25">
      <c r="B585" s="46" t="s">
        <v>2412</v>
      </c>
      <c r="C585" s="40" t="s">
        <v>2411</v>
      </c>
    </row>
    <row r="586" spans="2:3" x14ac:dyDescent="0.25">
      <c r="B586" s="46" t="s">
        <v>2414</v>
      </c>
      <c r="C586" s="40" t="s">
        <v>2413</v>
      </c>
    </row>
    <row r="587" spans="2:3" x14ac:dyDescent="0.25">
      <c r="B587" s="46" t="s">
        <v>2416</v>
      </c>
      <c r="C587" s="40" t="s">
        <v>2415</v>
      </c>
    </row>
    <row r="588" spans="2:3" x14ac:dyDescent="0.25">
      <c r="B588" s="46" t="s">
        <v>2418</v>
      </c>
      <c r="C588" s="40" t="s">
        <v>2417</v>
      </c>
    </row>
    <row r="589" spans="2:3" x14ac:dyDescent="0.25">
      <c r="B589" s="46" t="s">
        <v>2420</v>
      </c>
      <c r="C589" s="40" t="s">
        <v>2419</v>
      </c>
    </row>
    <row r="590" spans="2:3" x14ac:dyDescent="0.25">
      <c r="B590" s="46" t="s">
        <v>2422</v>
      </c>
      <c r="C590" s="40" t="s">
        <v>2421</v>
      </c>
    </row>
    <row r="591" spans="2:3" x14ac:dyDescent="0.25">
      <c r="B591" s="46" t="s">
        <v>2424</v>
      </c>
      <c r="C591" s="40" t="s">
        <v>2423</v>
      </c>
    </row>
    <row r="592" spans="2:3" x14ac:dyDescent="0.25">
      <c r="B592" s="46" t="s">
        <v>2426</v>
      </c>
      <c r="C592" s="40" t="s">
        <v>2425</v>
      </c>
    </row>
    <row r="593" spans="2:3" x14ac:dyDescent="0.25">
      <c r="B593" s="46" t="s">
        <v>2428</v>
      </c>
      <c r="C593" s="40" t="s">
        <v>2427</v>
      </c>
    </row>
    <row r="594" spans="2:3" x14ac:dyDescent="0.25">
      <c r="B594" s="46" t="s">
        <v>2430</v>
      </c>
      <c r="C594" s="40" t="s">
        <v>2429</v>
      </c>
    </row>
    <row r="595" spans="2:3" x14ac:dyDescent="0.25">
      <c r="B595" s="46" t="s">
        <v>2432</v>
      </c>
      <c r="C595" s="40" t="s">
        <v>2431</v>
      </c>
    </row>
    <row r="596" spans="2:3" x14ac:dyDescent="0.25">
      <c r="B596" s="46" t="s">
        <v>2434</v>
      </c>
      <c r="C596" s="40" t="s">
        <v>2433</v>
      </c>
    </row>
    <row r="597" spans="2:3" x14ac:dyDescent="0.25">
      <c r="B597" s="46" t="s">
        <v>2436</v>
      </c>
      <c r="C597" s="40" t="s">
        <v>2435</v>
      </c>
    </row>
    <row r="598" spans="2:3" x14ac:dyDescent="0.25">
      <c r="B598" s="46" t="s">
        <v>2438</v>
      </c>
      <c r="C598" s="40" t="s">
        <v>2437</v>
      </c>
    </row>
    <row r="599" spans="2:3" x14ac:dyDescent="0.25">
      <c r="B599" s="46" t="s">
        <v>2440</v>
      </c>
      <c r="C599" s="40" t="s">
        <v>2439</v>
      </c>
    </row>
    <row r="600" spans="2:3" x14ac:dyDescent="0.25">
      <c r="B600" s="46" t="s">
        <v>2442</v>
      </c>
      <c r="C600" s="40" t="s">
        <v>2441</v>
      </c>
    </row>
    <row r="601" spans="2:3" x14ac:dyDescent="0.25">
      <c r="B601" s="46" t="s">
        <v>2444</v>
      </c>
      <c r="C601" s="40" t="s">
        <v>2443</v>
      </c>
    </row>
    <row r="602" spans="2:3" x14ac:dyDescent="0.25">
      <c r="B602" s="46" t="s">
        <v>2446</v>
      </c>
      <c r="C602" s="40" t="s">
        <v>2445</v>
      </c>
    </row>
    <row r="603" spans="2:3" x14ac:dyDescent="0.25">
      <c r="B603" s="46" t="s">
        <v>2448</v>
      </c>
      <c r="C603" s="40" t="s">
        <v>2447</v>
      </c>
    </row>
    <row r="604" spans="2:3" x14ac:dyDescent="0.25">
      <c r="B604" s="46" t="s">
        <v>2450</v>
      </c>
      <c r="C604" s="40" t="s">
        <v>2449</v>
      </c>
    </row>
    <row r="605" spans="2:3" x14ac:dyDescent="0.25">
      <c r="B605" s="46" t="s">
        <v>2452</v>
      </c>
      <c r="C605" s="40" t="s">
        <v>2451</v>
      </c>
    </row>
    <row r="606" spans="2:3" x14ac:dyDescent="0.25">
      <c r="B606" s="46" t="s">
        <v>2454</v>
      </c>
      <c r="C606" s="40" t="s">
        <v>2453</v>
      </c>
    </row>
    <row r="607" spans="2:3" x14ac:dyDescent="0.25">
      <c r="B607" s="46" t="s">
        <v>2456</v>
      </c>
      <c r="C607" s="40" t="s">
        <v>2455</v>
      </c>
    </row>
    <row r="608" spans="2:3" x14ac:dyDescent="0.25">
      <c r="B608" s="46" t="s">
        <v>2458</v>
      </c>
      <c r="C608" s="40" t="s">
        <v>2457</v>
      </c>
    </row>
    <row r="609" spans="2:3" x14ac:dyDescent="0.25">
      <c r="B609" s="46" t="s">
        <v>2460</v>
      </c>
      <c r="C609" s="40" t="s">
        <v>2459</v>
      </c>
    </row>
    <row r="610" spans="2:3" x14ac:dyDescent="0.25">
      <c r="B610" s="46" t="s">
        <v>2462</v>
      </c>
      <c r="C610" s="40" t="s">
        <v>2461</v>
      </c>
    </row>
    <row r="611" spans="2:3" x14ac:dyDescent="0.25">
      <c r="B611" s="46" t="s">
        <v>2464</v>
      </c>
      <c r="C611" s="40" t="s">
        <v>2463</v>
      </c>
    </row>
    <row r="612" spans="2:3" x14ac:dyDescent="0.25">
      <c r="B612" s="46" t="s">
        <v>2466</v>
      </c>
      <c r="C612" s="40" t="s">
        <v>2465</v>
      </c>
    </row>
    <row r="613" spans="2:3" x14ac:dyDescent="0.25">
      <c r="B613" s="46" t="s">
        <v>2468</v>
      </c>
      <c r="C613" s="40" t="s">
        <v>2467</v>
      </c>
    </row>
    <row r="614" spans="2:3" x14ac:dyDescent="0.25">
      <c r="B614" s="46" t="s">
        <v>2470</v>
      </c>
      <c r="C614" s="40" t="s">
        <v>2469</v>
      </c>
    </row>
    <row r="615" spans="2:3" x14ac:dyDescent="0.25">
      <c r="B615" s="46" t="s">
        <v>2472</v>
      </c>
      <c r="C615" s="40" t="s">
        <v>2471</v>
      </c>
    </row>
    <row r="616" spans="2:3" x14ac:dyDescent="0.25">
      <c r="B616" s="46" t="s">
        <v>2474</v>
      </c>
      <c r="C616" s="40" t="s">
        <v>2473</v>
      </c>
    </row>
    <row r="617" spans="2:3" x14ac:dyDescent="0.25">
      <c r="B617" s="46" t="s">
        <v>2476</v>
      </c>
      <c r="C617" s="40" t="s">
        <v>2475</v>
      </c>
    </row>
    <row r="618" spans="2:3" x14ac:dyDescent="0.25">
      <c r="B618" s="46" t="s">
        <v>2478</v>
      </c>
      <c r="C618" s="40" t="s">
        <v>2477</v>
      </c>
    </row>
    <row r="619" spans="2:3" x14ac:dyDescent="0.25">
      <c r="B619" s="46" t="s">
        <v>2480</v>
      </c>
      <c r="C619" s="40" t="s">
        <v>2479</v>
      </c>
    </row>
    <row r="620" spans="2:3" x14ac:dyDescent="0.25">
      <c r="B620" s="46" t="s">
        <v>2482</v>
      </c>
      <c r="C620" s="40" t="s">
        <v>2481</v>
      </c>
    </row>
    <row r="621" spans="2:3" x14ac:dyDescent="0.25">
      <c r="B621" s="46" t="s">
        <v>2484</v>
      </c>
      <c r="C621" s="40" t="s">
        <v>2483</v>
      </c>
    </row>
    <row r="622" spans="2:3" x14ac:dyDescent="0.25">
      <c r="B622" s="46" t="s">
        <v>2486</v>
      </c>
      <c r="C622" s="40" t="s">
        <v>2485</v>
      </c>
    </row>
    <row r="623" spans="2:3" x14ac:dyDescent="0.25">
      <c r="B623" s="46" t="s">
        <v>2488</v>
      </c>
      <c r="C623" s="40" t="s">
        <v>2487</v>
      </c>
    </row>
    <row r="624" spans="2:3" x14ac:dyDescent="0.25">
      <c r="B624" s="46" t="s">
        <v>2490</v>
      </c>
      <c r="C624" s="40" t="s">
        <v>2489</v>
      </c>
    </row>
    <row r="625" spans="2:3" x14ac:dyDescent="0.25">
      <c r="B625" s="46" t="s">
        <v>2492</v>
      </c>
      <c r="C625" s="40" t="s">
        <v>2491</v>
      </c>
    </row>
    <row r="626" spans="2:3" x14ac:dyDescent="0.25">
      <c r="B626" s="46" t="s">
        <v>2494</v>
      </c>
      <c r="C626" s="40" t="s">
        <v>2493</v>
      </c>
    </row>
    <row r="627" spans="2:3" x14ac:dyDescent="0.25">
      <c r="B627" s="46" t="s">
        <v>2496</v>
      </c>
      <c r="C627" s="40" t="s">
        <v>2495</v>
      </c>
    </row>
    <row r="628" spans="2:3" x14ac:dyDescent="0.25">
      <c r="B628" s="46" t="s">
        <v>2498</v>
      </c>
      <c r="C628" s="40" t="s">
        <v>2497</v>
      </c>
    </row>
    <row r="629" spans="2:3" x14ac:dyDescent="0.25">
      <c r="B629" s="46" t="s">
        <v>2500</v>
      </c>
      <c r="C629" s="40" t="s">
        <v>2499</v>
      </c>
    </row>
    <row r="630" spans="2:3" x14ac:dyDescent="0.25">
      <c r="B630" s="46" t="s">
        <v>2502</v>
      </c>
      <c r="C630" s="40" t="s">
        <v>2501</v>
      </c>
    </row>
    <row r="631" spans="2:3" x14ac:dyDescent="0.25">
      <c r="B631" s="46" t="s">
        <v>2504</v>
      </c>
      <c r="C631" s="40" t="s">
        <v>2503</v>
      </c>
    </row>
    <row r="632" spans="2:3" x14ac:dyDescent="0.25">
      <c r="B632" s="46" t="s">
        <v>2506</v>
      </c>
      <c r="C632" s="40" t="s">
        <v>2505</v>
      </c>
    </row>
    <row r="633" spans="2:3" x14ac:dyDescent="0.25">
      <c r="B633" s="46" t="s">
        <v>2508</v>
      </c>
      <c r="C633" s="40" t="s">
        <v>2507</v>
      </c>
    </row>
    <row r="634" spans="2:3" x14ac:dyDescent="0.25">
      <c r="B634" s="46" t="s">
        <v>2510</v>
      </c>
      <c r="C634" s="40" t="s">
        <v>2509</v>
      </c>
    </row>
    <row r="635" spans="2:3" x14ac:dyDescent="0.25">
      <c r="B635" s="46" t="s">
        <v>2512</v>
      </c>
      <c r="C635" s="40" t="s">
        <v>2511</v>
      </c>
    </row>
    <row r="636" spans="2:3" x14ac:dyDescent="0.25">
      <c r="B636" s="46" t="s">
        <v>2514</v>
      </c>
      <c r="C636" s="40" t="s">
        <v>2513</v>
      </c>
    </row>
    <row r="637" spans="2:3" x14ac:dyDescent="0.25">
      <c r="B637" s="46" t="s">
        <v>2516</v>
      </c>
      <c r="C637" s="40" t="s">
        <v>2515</v>
      </c>
    </row>
    <row r="638" spans="2:3" x14ac:dyDescent="0.25">
      <c r="B638" s="46" t="s">
        <v>2518</v>
      </c>
      <c r="C638" s="40" t="s">
        <v>2517</v>
      </c>
    </row>
    <row r="639" spans="2:3" x14ac:dyDescent="0.25">
      <c r="B639" s="46" t="s">
        <v>2520</v>
      </c>
      <c r="C639" s="40" t="s">
        <v>2519</v>
      </c>
    </row>
    <row r="640" spans="2:3" x14ac:dyDescent="0.25">
      <c r="B640" s="46" t="s">
        <v>2522</v>
      </c>
      <c r="C640" s="40" t="s">
        <v>2521</v>
      </c>
    </row>
    <row r="641" spans="2:3" x14ac:dyDescent="0.25">
      <c r="B641" s="46" t="s">
        <v>2524</v>
      </c>
      <c r="C641" s="40" t="s">
        <v>2523</v>
      </c>
    </row>
    <row r="642" spans="2:3" x14ac:dyDescent="0.25">
      <c r="B642" s="46" t="s">
        <v>2526</v>
      </c>
      <c r="C642" s="40" t="s">
        <v>2525</v>
      </c>
    </row>
    <row r="643" spans="2:3" x14ac:dyDescent="0.25">
      <c r="B643" s="46" t="s">
        <v>2528</v>
      </c>
      <c r="C643" s="40" t="s">
        <v>2527</v>
      </c>
    </row>
    <row r="644" spans="2:3" x14ac:dyDescent="0.25">
      <c r="B644" s="46" t="s">
        <v>2530</v>
      </c>
      <c r="C644" s="40" t="s">
        <v>2529</v>
      </c>
    </row>
    <row r="645" spans="2:3" x14ac:dyDescent="0.25">
      <c r="B645" s="46" t="s">
        <v>2532</v>
      </c>
      <c r="C645" s="40" t="s">
        <v>2531</v>
      </c>
    </row>
    <row r="646" spans="2:3" x14ac:dyDescent="0.25">
      <c r="B646" s="46" t="s">
        <v>2534</v>
      </c>
      <c r="C646" s="40" t="s">
        <v>2533</v>
      </c>
    </row>
    <row r="647" spans="2:3" x14ac:dyDescent="0.25">
      <c r="B647" s="46" t="s">
        <v>2536</v>
      </c>
      <c r="C647" s="40" t="s">
        <v>2535</v>
      </c>
    </row>
    <row r="648" spans="2:3" x14ac:dyDescent="0.25">
      <c r="B648" s="46" t="s">
        <v>2538</v>
      </c>
      <c r="C648" s="40" t="s">
        <v>2537</v>
      </c>
    </row>
    <row r="649" spans="2:3" x14ac:dyDescent="0.25">
      <c r="B649" s="46" t="s">
        <v>2540</v>
      </c>
      <c r="C649" s="40" t="s">
        <v>2539</v>
      </c>
    </row>
    <row r="650" spans="2:3" x14ac:dyDescent="0.25">
      <c r="B650" s="46" t="s">
        <v>2542</v>
      </c>
      <c r="C650" s="40" t="s">
        <v>2541</v>
      </c>
    </row>
    <row r="651" spans="2:3" x14ac:dyDescent="0.25">
      <c r="B651" s="46" t="s">
        <v>2544</v>
      </c>
      <c r="C651" s="40" t="s">
        <v>2543</v>
      </c>
    </row>
    <row r="652" spans="2:3" x14ac:dyDescent="0.25">
      <c r="B652" s="46" t="s">
        <v>2546</v>
      </c>
      <c r="C652" s="40" t="s">
        <v>2545</v>
      </c>
    </row>
    <row r="653" spans="2:3" x14ac:dyDescent="0.25">
      <c r="B653" s="46" t="s">
        <v>2548</v>
      </c>
      <c r="C653" s="40" t="s">
        <v>2547</v>
      </c>
    </row>
    <row r="654" spans="2:3" x14ac:dyDescent="0.25">
      <c r="B654" s="46" t="s">
        <v>2550</v>
      </c>
      <c r="C654" s="40" t="s">
        <v>2549</v>
      </c>
    </row>
    <row r="655" spans="2:3" x14ac:dyDescent="0.25">
      <c r="B655" s="46" t="s">
        <v>2552</v>
      </c>
      <c r="C655" s="40" t="s">
        <v>2551</v>
      </c>
    </row>
    <row r="656" spans="2:3" x14ac:dyDescent="0.25">
      <c r="B656" s="46" t="s">
        <v>2554</v>
      </c>
      <c r="C656" s="40" t="s">
        <v>2553</v>
      </c>
    </row>
    <row r="657" spans="2:3" x14ac:dyDescent="0.25">
      <c r="B657" s="46" t="s">
        <v>2556</v>
      </c>
      <c r="C657" s="40" t="s">
        <v>2555</v>
      </c>
    </row>
    <row r="658" spans="2:3" x14ac:dyDescent="0.25">
      <c r="B658" s="46" t="s">
        <v>2558</v>
      </c>
      <c r="C658" s="40" t="s">
        <v>2557</v>
      </c>
    </row>
    <row r="659" spans="2:3" x14ac:dyDescent="0.25">
      <c r="B659" s="46" t="s">
        <v>2560</v>
      </c>
      <c r="C659" s="40" t="s">
        <v>2559</v>
      </c>
    </row>
    <row r="660" spans="2:3" x14ac:dyDescent="0.25">
      <c r="B660" s="46" t="s">
        <v>2562</v>
      </c>
      <c r="C660" s="40" t="s">
        <v>2561</v>
      </c>
    </row>
    <row r="661" spans="2:3" x14ac:dyDescent="0.25">
      <c r="B661" s="46" t="s">
        <v>2564</v>
      </c>
      <c r="C661" s="40" t="s">
        <v>2563</v>
      </c>
    </row>
    <row r="662" spans="2:3" x14ac:dyDescent="0.25">
      <c r="B662" s="46" t="s">
        <v>2566</v>
      </c>
      <c r="C662" s="40" t="s">
        <v>2565</v>
      </c>
    </row>
    <row r="663" spans="2:3" x14ac:dyDescent="0.25">
      <c r="B663" s="46" t="s">
        <v>2568</v>
      </c>
      <c r="C663" s="40" t="s">
        <v>2567</v>
      </c>
    </row>
    <row r="664" spans="2:3" x14ac:dyDescent="0.25">
      <c r="B664" s="46" t="s">
        <v>2570</v>
      </c>
      <c r="C664" s="40" t="s">
        <v>2569</v>
      </c>
    </row>
    <row r="665" spans="2:3" x14ac:dyDescent="0.25">
      <c r="B665" s="46" t="s">
        <v>2572</v>
      </c>
      <c r="C665" s="40" t="s">
        <v>2571</v>
      </c>
    </row>
    <row r="666" spans="2:3" x14ac:dyDescent="0.25">
      <c r="B666" s="46" t="s">
        <v>2574</v>
      </c>
      <c r="C666" s="40" t="s">
        <v>2573</v>
      </c>
    </row>
    <row r="667" spans="2:3" x14ac:dyDescent="0.25">
      <c r="B667" s="46" t="s">
        <v>2576</v>
      </c>
      <c r="C667" s="40" t="s">
        <v>2575</v>
      </c>
    </row>
    <row r="668" spans="2:3" x14ac:dyDescent="0.25">
      <c r="B668" s="46" t="s">
        <v>2578</v>
      </c>
      <c r="C668" s="40" t="s">
        <v>2577</v>
      </c>
    </row>
    <row r="669" spans="2:3" x14ac:dyDescent="0.25">
      <c r="B669" s="46" t="s">
        <v>2580</v>
      </c>
      <c r="C669" s="40" t="s">
        <v>2579</v>
      </c>
    </row>
    <row r="670" spans="2:3" x14ac:dyDescent="0.25">
      <c r="B670" s="46" t="s">
        <v>2582</v>
      </c>
      <c r="C670" s="40" t="s">
        <v>2581</v>
      </c>
    </row>
    <row r="671" spans="2:3" x14ac:dyDescent="0.25">
      <c r="B671" s="46" t="s">
        <v>2584</v>
      </c>
      <c r="C671" s="40" t="s">
        <v>2583</v>
      </c>
    </row>
    <row r="672" spans="2:3" x14ac:dyDescent="0.25">
      <c r="B672" s="46" t="s">
        <v>2586</v>
      </c>
      <c r="C672" s="40" t="s">
        <v>2585</v>
      </c>
    </row>
    <row r="673" spans="2:3" x14ac:dyDescent="0.25">
      <c r="B673" s="46" t="s">
        <v>2588</v>
      </c>
      <c r="C673" s="40" t="s">
        <v>2587</v>
      </c>
    </row>
    <row r="674" spans="2:3" x14ac:dyDescent="0.25">
      <c r="B674" s="46" t="s">
        <v>2590</v>
      </c>
      <c r="C674" s="40" t="s">
        <v>2589</v>
      </c>
    </row>
    <row r="675" spans="2:3" x14ac:dyDescent="0.25">
      <c r="B675" s="46" t="s">
        <v>2592</v>
      </c>
      <c r="C675" s="40" t="s">
        <v>2591</v>
      </c>
    </row>
    <row r="676" spans="2:3" x14ac:dyDescent="0.25">
      <c r="B676" s="46" t="s">
        <v>2594</v>
      </c>
      <c r="C676" s="40" t="s">
        <v>2593</v>
      </c>
    </row>
    <row r="677" spans="2:3" x14ac:dyDescent="0.25">
      <c r="B677" s="46" t="s">
        <v>2596</v>
      </c>
      <c r="C677" s="40" t="s">
        <v>2595</v>
      </c>
    </row>
    <row r="678" spans="2:3" x14ac:dyDescent="0.25">
      <c r="B678" s="46" t="s">
        <v>2598</v>
      </c>
      <c r="C678" s="40" t="s">
        <v>2597</v>
      </c>
    </row>
    <row r="679" spans="2:3" x14ac:dyDescent="0.25">
      <c r="B679" s="46" t="s">
        <v>2600</v>
      </c>
      <c r="C679" s="40" t="s">
        <v>2599</v>
      </c>
    </row>
    <row r="680" spans="2:3" x14ac:dyDescent="0.25">
      <c r="B680" s="46" t="s">
        <v>2602</v>
      </c>
      <c r="C680" s="40" t="s">
        <v>2601</v>
      </c>
    </row>
    <row r="681" spans="2:3" x14ac:dyDescent="0.25">
      <c r="B681" s="46" t="s">
        <v>2604</v>
      </c>
      <c r="C681" s="40" t="s">
        <v>2603</v>
      </c>
    </row>
    <row r="682" spans="2:3" x14ac:dyDescent="0.25">
      <c r="B682" s="46" t="s">
        <v>2606</v>
      </c>
      <c r="C682" s="40" t="s">
        <v>2605</v>
      </c>
    </row>
    <row r="683" spans="2:3" x14ac:dyDescent="0.25">
      <c r="B683" s="46" t="s">
        <v>2608</v>
      </c>
      <c r="C683" s="40" t="s">
        <v>2607</v>
      </c>
    </row>
    <row r="684" spans="2:3" x14ac:dyDescent="0.25">
      <c r="B684" s="46" t="s">
        <v>2610</v>
      </c>
      <c r="C684" s="40" t="s">
        <v>2609</v>
      </c>
    </row>
    <row r="685" spans="2:3" x14ac:dyDescent="0.25">
      <c r="B685" s="46" t="s">
        <v>2612</v>
      </c>
      <c r="C685" s="40" t="s">
        <v>2611</v>
      </c>
    </row>
    <row r="686" spans="2:3" x14ac:dyDescent="0.25">
      <c r="B686" s="46" t="s">
        <v>2614</v>
      </c>
      <c r="C686" s="40" t="s">
        <v>2613</v>
      </c>
    </row>
    <row r="687" spans="2:3" x14ac:dyDescent="0.25">
      <c r="B687" s="46" t="s">
        <v>2616</v>
      </c>
      <c r="C687" s="40" t="s">
        <v>2615</v>
      </c>
    </row>
    <row r="688" spans="2:3" x14ac:dyDescent="0.25">
      <c r="B688" s="46" t="s">
        <v>2618</v>
      </c>
      <c r="C688" s="40" t="s">
        <v>2617</v>
      </c>
    </row>
    <row r="689" spans="2:3" x14ac:dyDescent="0.25">
      <c r="B689" s="46" t="s">
        <v>2620</v>
      </c>
      <c r="C689" s="40" t="s">
        <v>2619</v>
      </c>
    </row>
    <row r="690" spans="2:3" x14ac:dyDescent="0.25">
      <c r="B690" s="46" t="s">
        <v>2622</v>
      </c>
      <c r="C690" s="40" t="s">
        <v>2621</v>
      </c>
    </row>
    <row r="691" spans="2:3" x14ac:dyDescent="0.25">
      <c r="B691" s="46" t="s">
        <v>2624</v>
      </c>
      <c r="C691" s="40" t="s">
        <v>2623</v>
      </c>
    </row>
    <row r="692" spans="2:3" x14ac:dyDescent="0.25">
      <c r="B692" s="46" t="s">
        <v>2626</v>
      </c>
      <c r="C692" s="40" t="s">
        <v>2625</v>
      </c>
    </row>
    <row r="693" spans="2:3" x14ac:dyDescent="0.25">
      <c r="B693" s="46" t="s">
        <v>2628</v>
      </c>
      <c r="C693" s="40" t="s">
        <v>2627</v>
      </c>
    </row>
    <row r="694" spans="2:3" x14ac:dyDescent="0.25">
      <c r="B694" s="46" t="s">
        <v>2630</v>
      </c>
      <c r="C694" s="40" t="s">
        <v>2629</v>
      </c>
    </row>
    <row r="695" spans="2:3" x14ac:dyDescent="0.25">
      <c r="B695" s="46" t="s">
        <v>2632</v>
      </c>
      <c r="C695" s="40" t="s">
        <v>2631</v>
      </c>
    </row>
    <row r="696" spans="2:3" x14ac:dyDescent="0.25">
      <c r="B696" s="46" t="s">
        <v>2634</v>
      </c>
      <c r="C696" s="40" t="s">
        <v>2633</v>
      </c>
    </row>
    <row r="697" spans="2:3" x14ac:dyDescent="0.25">
      <c r="B697" s="46" t="s">
        <v>2636</v>
      </c>
      <c r="C697" s="40" t="s">
        <v>2635</v>
      </c>
    </row>
    <row r="698" spans="2:3" x14ac:dyDescent="0.25">
      <c r="B698" s="46" t="s">
        <v>2638</v>
      </c>
      <c r="C698" s="40" t="s">
        <v>2637</v>
      </c>
    </row>
    <row r="699" spans="2:3" x14ac:dyDescent="0.25">
      <c r="B699" s="46" t="s">
        <v>2640</v>
      </c>
      <c r="C699" s="40" t="s">
        <v>2639</v>
      </c>
    </row>
    <row r="700" spans="2:3" x14ac:dyDescent="0.25">
      <c r="B700" s="46" t="s">
        <v>2642</v>
      </c>
      <c r="C700" s="40" t="s">
        <v>2641</v>
      </c>
    </row>
    <row r="701" spans="2:3" x14ac:dyDescent="0.25">
      <c r="B701" s="46" t="s">
        <v>2644</v>
      </c>
      <c r="C701" s="40" t="s">
        <v>2643</v>
      </c>
    </row>
    <row r="702" spans="2:3" x14ac:dyDescent="0.25">
      <c r="B702" s="46" t="s">
        <v>2646</v>
      </c>
      <c r="C702" s="40" t="s">
        <v>2645</v>
      </c>
    </row>
    <row r="703" spans="2:3" x14ac:dyDescent="0.25">
      <c r="B703" s="46" t="s">
        <v>2648</v>
      </c>
      <c r="C703" s="40" t="s">
        <v>2647</v>
      </c>
    </row>
    <row r="704" spans="2:3" x14ac:dyDescent="0.25">
      <c r="B704" s="46" t="s">
        <v>2650</v>
      </c>
      <c r="C704" s="40" t="s">
        <v>2649</v>
      </c>
    </row>
    <row r="705" spans="2:3" x14ac:dyDescent="0.25">
      <c r="B705" s="46" t="s">
        <v>2652</v>
      </c>
      <c r="C705" s="40" t="s">
        <v>2651</v>
      </c>
    </row>
    <row r="706" spans="2:3" x14ac:dyDescent="0.25">
      <c r="B706" s="46" t="s">
        <v>2654</v>
      </c>
      <c r="C706" s="40" t="s">
        <v>2653</v>
      </c>
    </row>
    <row r="707" spans="2:3" x14ac:dyDescent="0.25">
      <c r="B707" s="46" t="s">
        <v>2656</v>
      </c>
      <c r="C707" s="40" t="s">
        <v>2655</v>
      </c>
    </row>
    <row r="708" spans="2:3" x14ac:dyDescent="0.25">
      <c r="B708" s="46" t="s">
        <v>2658</v>
      </c>
      <c r="C708" s="40" t="s">
        <v>2657</v>
      </c>
    </row>
    <row r="709" spans="2:3" x14ac:dyDescent="0.25">
      <c r="B709" s="46" t="s">
        <v>2660</v>
      </c>
      <c r="C709" s="40" t="s">
        <v>2659</v>
      </c>
    </row>
    <row r="710" spans="2:3" x14ac:dyDescent="0.25">
      <c r="B710" s="46" t="s">
        <v>2662</v>
      </c>
      <c r="C710" s="40" t="s">
        <v>2661</v>
      </c>
    </row>
    <row r="711" spans="2:3" x14ac:dyDescent="0.25">
      <c r="B711" s="46" t="s">
        <v>2664</v>
      </c>
      <c r="C711" s="40" t="s">
        <v>2663</v>
      </c>
    </row>
    <row r="712" spans="2:3" x14ac:dyDescent="0.25">
      <c r="B712" s="46" t="s">
        <v>2666</v>
      </c>
      <c r="C712" s="40" t="s">
        <v>2665</v>
      </c>
    </row>
    <row r="713" spans="2:3" x14ac:dyDescent="0.25">
      <c r="B713" s="46" t="s">
        <v>2668</v>
      </c>
      <c r="C713" s="40" t="s">
        <v>2667</v>
      </c>
    </row>
    <row r="714" spans="2:3" x14ac:dyDescent="0.25">
      <c r="B714" s="46" t="s">
        <v>2670</v>
      </c>
      <c r="C714" s="40" t="s">
        <v>2669</v>
      </c>
    </row>
    <row r="715" spans="2:3" x14ac:dyDescent="0.25">
      <c r="B715" s="46" t="s">
        <v>2672</v>
      </c>
      <c r="C715" s="40" t="s">
        <v>2671</v>
      </c>
    </row>
    <row r="716" spans="2:3" x14ac:dyDescent="0.25">
      <c r="B716" s="46" t="s">
        <v>2674</v>
      </c>
      <c r="C716" s="40" t="s">
        <v>2673</v>
      </c>
    </row>
    <row r="717" spans="2:3" x14ac:dyDescent="0.25">
      <c r="B717" s="46" t="s">
        <v>2676</v>
      </c>
      <c r="C717" s="40" t="s">
        <v>2675</v>
      </c>
    </row>
    <row r="718" spans="2:3" x14ac:dyDescent="0.25">
      <c r="B718" s="46" t="s">
        <v>2678</v>
      </c>
      <c r="C718" s="40" t="s">
        <v>2677</v>
      </c>
    </row>
    <row r="719" spans="2:3" x14ac:dyDescent="0.25">
      <c r="B719" s="46" t="s">
        <v>2680</v>
      </c>
      <c r="C719" s="40" t="s">
        <v>2679</v>
      </c>
    </row>
    <row r="720" spans="2:3" x14ac:dyDescent="0.25">
      <c r="B720" s="46" t="s">
        <v>2682</v>
      </c>
      <c r="C720" s="40" t="s">
        <v>2681</v>
      </c>
    </row>
    <row r="721" spans="2:3" x14ac:dyDescent="0.25">
      <c r="B721" s="46" t="s">
        <v>2684</v>
      </c>
      <c r="C721" s="40" t="s">
        <v>2683</v>
      </c>
    </row>
    <row r="722" spans="2:3" x14ac:dyDescent="0.25">
      <c r="B722" s="46" t="s">
        <v>2686</v>
      </c>
      <c r="C722" s="40" t="s">
        <v>2685</v>
      </c>
    </row>
    <row r="723" spans="2:3" x14ac:dyDescent="0.25">
      <c r="B723" s="46" t="s">
        <v>2688</v>
      </c>
      <c r="C723" s="40" t="s">
        <v>2687</v>
      </c>
    </row>
    <row r="724" spans="2:3" x14ac:dyDescent="0.25">
      <c r="B724" s="46" t="s">
        <v>2690</v>
      </c>
      <c r="C724" s="40" t="s">
        <v>2689</v>
      </c>
    </row>
    <row r="725" spans="2:3" x14ac:dyDescent="0.25">
      <c r="B725" s="46" t="s">
        <v>2692</v>
      </c>
      <c r="C725" s="40" t="s">
        <v>2691</v>
      </c>
    </row>
    <row r="726" spans="2:3" x14ac:dyDescent="0.25">
      <c r="B726" s="46" t="s">
        <v>2694</v>
      </c>
      <c r="C726" s="40" t="s">
        <v>2693</v>
      </c>
    </row>
    <row r="727" spans="2:3" x14ac:dyDescent="0.25">
      <c r="B727" s="46" t="s">
        <v>2696</v>
      </c>
      <c r="C727" s="40" t="s">
        <v>2695</v>
      </c>
    </row>
    <row r="728" spans="2:3" x14ac:dyDescent="0.25">
      <c r="B728" s="46" t="s">
        <v>2698</v>
      </c>
      <c r="C728" s="40" t="s">
        <v>2697</v>
      </c>
    </row>
    <row r="729" spans="2:3" x14ac:dyDescent="0.25">
      <c r="B729" s="46" t="s">
        <v>2700</v>
      </c>
      <c r="C729" s="40" t="s">
        <v>2699</v>
      </c>
    </row>
    <row r="730" spans="2:3" x14ac:dyDescent="0.25">
      <c r="B730" s="46" t="s">
        <v>2702</v>
      </c>
      <c r="C730" s="40" t="s">
        <v>2701</v>
      </c>
    </row>
    <row r="731" spans="2:3" x14ac:dyDescent="0.25">
      <c r="B731" s="46" t="s">
        <v>2704</v>
      </c>
      <c r="C731" s="40" t="s">
        <v>2703</v>
      </c>
    </row>
    <row r="732" spans="2:3" x14ac:dyDescent="0.25">
      <c r="B732" s="46" t="s">
        <v>2706</v>
      </c>
      <c r="C732" s="40" t="s">
        <v>2705</v>
      </c>
    </row>
    <row r="733" spans="2:3" x14ac:dyDescent="0.25">
      <c r="B733" s="46" t="s">
        <v>2708</v>
      </c>
      <c r="C733" s="40" t="s">
        <v>2707</v>
      </c>
    </row>
    <row r="734" spans="2:3" x14ac:dyDescent="0.25">
      <c r="B734" s="46" t="s">
        <v>2710</v>
      </c>
      <c r="C734" s="40" t="s">
        <v>2709</v>
      </c>
    </row>
    <row r="735" spans="2:3" x14ac:dyDescent="0.25">
      <c r="B735" s="46" t="s">
        <v>2712</v>
      </c>
      <c r="C735" s="40" t="s">
        <v>2711</v>
      </c>
    </row>
    <row r="736" spans="2:3" x14ac:dyDescent="0.25">
      <c r="B736" s="46" t="s">
        <v>2714</v>
      </c>
      <c r="C736" s="40" t="s">
        <v>2713</v>
      </c>
    </row>
    <row r="737" spans="2:3" x14ac:dyDescent="0.25">
      <c r="B737" s="46" t="s">
        <v>2716</v>
      </c>
      <c r="C737" s="40" t="s">
        <v>2715</v>
      </c>
    </row>
    <row r="738" spans="2:3" x14ac:dyDescent="0.25">
      <c r="B738" s="46" t="s">
        <v>2718</v>
      </c>
      <c r="C738" s="40" t="s">
        <v>2717</v>
      </c>
    </row>
    <row r="739" spans="2:3" x14ac:dyDescent="0.25">
      <c r="B739" s="46" t="s">
        <v>2720</v>
      </c>
      <c r="C739" s="40" t="s">
        <v>2719</v>
      </c>
    </row>
    <row r="740" spans="2:3" x14ac:dyDescent="0.25">
      <c r="B740" s="46" t="s">
        <v>2722</v>
      </c>
      <c r="C740" s="40" t="s">
        <v>2721</v>
      </c>
    </row>
    <row r="741" spans="2:3" x14ac:dyDescent="0.25">
      <c r="B741" s="46" t="s">
        <v>2724</v>
      </c>
      <c r="C741" s="40" t="s">
        <v>2723</v>
      </c>
    </row>
    <row r="742" spans="2:3" x14ac:dyDescent="0.25">
      <c r="B742" s="46" t="s">
        <v>2726</v>
      </c>
      <c r="C742" s="40" t="s">
        <v>2725</v>
      </c>
    </row>
    <row r="743" spans="2:3" x14ac:dyDescent="0.25">
      <c r="B743" s="46" t="s">
        <v>2728</v>
      </c>
      <c r="C743" s="40" t="s">
        <v>2727</v>
      </c>
    </row>
    <row r="744" spans="2:3" x14ac:dyDescent="0.25">
      <c r="B744" s="46" t="s">
        <v>2730</v>
      </c>
      <c r="C744" s="40" t="s">
        <v>2729</v>
      </c>
    </row>
    <row r="745" spans="2:3" x14ac:dyDescent="0.25">
      <c r="B745" s="46" t="s">
        <v>2732</v>
      </c>
      <c r="C745" s="40" t="s">
        <v>2731</v>
      </c>
    </row>
    <row r="746" spans="2:3" x14ac:dyDescent="0.25">
      <c r="B746" s="46" t="s">
        <v>2734</v>
      </c>
      <c r="C746" s="40" t="s">
        <v>2733</v>
      </c>
    </row>
    <row r="747" spans="2:3" x14ac:dyDescent="0.25">
      <c r="B747" s="46" t="s">
        <v>2736</v>
      </c>
      <c r="C747" s="40" t="s">
        <v>2735</v>
      </c>
    </row>
    <row r="748" spans="2:3" x14ac:dyDescent="0.25">
      <c r="B748" s="46" t="s">
        <v>2738</v>
      </c>
      <c r="C748" s="40" t="s">
        <v>2737</v>
      </c>
    </row>
    <row r="749" spans="2:3" x14ac:dyDescent="0.25">
      <c r="B749" s="46" t="s">
        <v>2740</v>
      </c>
      <c r="C749" s="40" t="s">
        <v>2739</v>
      </c>
    </row>
    <row r="750" spans="2:3" x14ac:dyDescent="0.25">
      <c r="B750" s="46" t="s">
        <v>2742</v>
      </c>
      <c r="C750" s="40" t="s">
        <v>2741</v>
      </c>
    </row>
    <row r="751" spans="2:3" x14ac:dyDescent="0.25">
      <c r="B751" s="46" t="s">
        <v>2744</v>
      </c>
      <c r="C751" s="40" t="s">
        <v>2743</v>
      </c>
    </row>
    <row r="752" spans="2:3" x14ac:dyDescent="0.25">
      <c r="B752" s="46" t="s">
        <v>2746</v>
      </c>
      <c r="C752" s="40" t="s">
        <v>2745</v>
      </c>
    </row>
    <row r="753" spans="2:3" x14ac:dyDescent="0.25">
      <c r="B753" s="46" t="s">
        <v>2748</v>
      </c>
      <c r="C753" s="40" t="s">
        <v>2747</v>
      </c>
    </row>
    <row r="754" spans="2:3" ht="15.75" thickBot="1" x14ac:dyDescent="0.3">
      <c r="B754" s="47" t="s">
        <v>2750</v>
      </c>
      <c r="C754" s="41" t="s">
        <v>2749</v>
      </c>
    </row>
    <row r="756" spans="2:3" ht="15.75" thickBot="1" x14ac:dyDescent="0.3"/>
    <row r="757" spans="2:3" ht="16.5" thickBot="1" x14ac:dyDescent="0.3">
      <c r="B757" s="48" t="s">
        <v>2751</v>
      </c>
      <c r="C757" s="75"/>
    </row>
    <row r="758" spans="2:3" ht="15.75" thickBot="1" x14ac:dyDescent="0.3">
      <c r="B758" s="74" t="s">
        <v>286</v>
      </c>
      <c r="C758" s="73" t="s">
        <v>612</v>
      </c>
    </row>
    <row r="759" spans="2:3" x14ac:dyDescent="0.25">
      <c r="B759" s="46" t="s">
        <v>1261</v>
      </c>
      <c r="C759" s="40" t="s">
        <v>1261</v>
      </c>
    </row>
    <row r="760" spans="2:3" x14ac:dyDescent="0.25">
      <c r="B760" s="46" t="s">
        <v>1263</v>
      </c>
      <c r="C760" s="40" t="s">
        <v>1262</v>
      </c>
    </row>
    <row r="761" spans="2:3" x14ac:dyDescent="0.25">
      <c r="B761" s="46" t="s">
        <v>1265</v>
      </c>
      <c r="C761" s="40" t="s">
        <v>1264</v>
      </c>
    </row>
    <row r="762" spans="2:3" x14ac:dyDescent="0.25">
      <c r="B762" s="46" t="s">
        <v>1267</v>
      </c>
      <c r="C762" s="40" t="s">
        <v>1266</v>
      </c>
    </row>
    <row r="763" spans="2:3" x14ac:dyDescent="0.25">
      <c r="B763" s="46" t="s">
        <v>1269</v>
      </c>
      <c r="C763" s="40" t="s">
        <v>1268</v>
      </c>
    </row>
    <row r="764" spans="2:3" x14ac:dyDescent="0.25">
      <c r="B764" s="46" t="s">
        <v>1271</v>
      </c>
      <c r="C764" s="40" t="s">
        <v>1270</v>
      </c>
    </row>
    <row r="765" spans="2:3" x14ac:dyDescent="0.25">
      <c r="B765" s="46" t="s">
        <v>1273</v>
      </c>
      <c r="C765" s="40" t="s">
        <v>1272</v>
      </c>
    </row>
    <row r="766" spans="2:3" x14ac:dyDescent="0.25">
      <c r="B766" s="46" t="s">
        <v>1275</v>
      </c>
      <c r="C766" s="40" t="s">
        <v>1274</v>
      </c>
    </row>
    <row r="767" spans="2:3" x14ac:dyDescent="0.25">
      <c r="B767" s="46" t="s">
        <v>1277</v>
      </c>
      <c r="C767" s="40" t="s">
        <v>1276</v>
      </c>
    </row>
    <row r="768" spans="2:3" x14ac:dyDescent="0.25">
      <c r="B768" s="46" t="s">
        <v>1279</v>
      </c>
      <c r="C768" s="40" t="s">
        <v>1278</v>
      </c>
    </row>
    <row r="769" spans="2:3" x14ac:dyDescent="0.25">
      <c r="B769" s="46" t="s">
        <v>1281</v>
      </c>
      <c r="C769" s="40" t="s">
        <v>1280</v>
      </c>
    </row>
    <row r="770" spans="2:3" x14ac:dyDescent="0.25">
      <c r="B770" s="46" t="s">
        <v>1283</v>
      </c>
      <c r="C770" s="40" t="s">
        <v>1282</v>
      </c>
    </row>
    <row r="771" spans="2:3" x14ac:dyDescent="0.25">
      <c r="B771" s="46" t="s">
        <v>1285</v>
      </c>
      <c r="C771" s="40" t="s">
        <v>1284</v>
      </c>
    </row>
    <row r="772" spans="2:3" x14ac:dyDescent="0.25">
      <c r="B772" s="46" t="s">
        <v>1287</v>
      </c>
      <c r="C772" s="40" t="s">
        <v>1286</v>
      </c>
    </row>
    <row r="773" spans="2:3" x14ac:dyDescent="0.25">
      <c r="B773" s="46" t="s">
        <v>1289</v>
      </c>
      <c r="C773" s="40" t="s">
        <v>1288</v>
      </c>
    </row>
    <row r="774" spans="2:3" x14ac:dyDescent="0.25">
      <c r="B774" s="46" t="s">
        <v>1291</v>
      </c>
      <c r="C774" s="40" t="s">
        <v>1290</v>
      </c>
    </row>
    <row r="775" spans="2:3" x14ac:dyDescent="0.25">
      <c r="B775" s="46" t="s">
        <v>1293</v>
      </c>
      <c r="C775" s="40" t="s">
        <v>1292</v>
      </c>
    </row>
    <row r="776" spans="2:3" x14ac:dyDescent="0.25">
      <c r="B776" s="46" t="s">
        <v>1295</v>
      </c>
      <c r="C776" s="40" t="s">
        <v>1294</v>
      </c>
    </row>
    <row r="777" spans="2:3" x14ac:dyDescent="0.25">
      <c r="B777" s="46" t="s">
        <v>1297</v>
      </c>
      <c r="C777" s="40" t="s">
        <v>1296</v>
      </c>
    </row>
    <row r="778" spans="2:3" x14ac:dyDescent="0.25">
      <c r="B778" s="46" t="s">
        <v>1299</v>
      </c>
      <c r="C778" s="40" t="s">
        <v>1298</v>
      </c>
    </row>
    <row r="779" spans="2:3" x14ac:dyDescent="0.25">
      <c r="B779" s="46" t="s">
        <v>1301</v>
      </c>
      <c r="C779" s="40" t="s">
        <v>1300</v>
      </c>
    </row>
    <row r="780" spans="2:3" x14ac:dyDescent="0.25">
      <c r="B780" s="46" t="s">
        <v>1303</v>
      </c>
      <c r="C780" s="40" t="s">
        <v>1302</v>
      </c>
    </row>
    <row r="781" spans="2:3" x14ac:dyDescent="0.25">
      <c r="B781" s="46" t="s">
        <v>1305</v>
      </c>
      <c r="C781" s="40" t="s">
        <v>1304</v>
      </c>
    </row>
    <row r="782" spans="2:3" x14ac:dyDescent="0.25">
      <c r="B782" s="46" t="s">
        <v>1307</v>
      </c>
      <c r="C782" s="40" t="s">
        <v>1306</v>
      </c>
    </row>
    <row r="783" spans="2:3" x14ac:dyDescent="0.25">
      <c r="B783" s="46" t="s">
        <v>1309</v>
      </c>
      <c r="C783" s="40" t="s">
        <v>1308</v>
      </c>
    </row>
    <row r="784" spans="2:3" x14ac:dyDescent="0.25">
      <c r="B784" s="46" t="s">
        <v>1311</v>
      </c>
      <c r="C784" s="40" t="s">
        <v>1310</v>
      </c>
    </row>
    <row r="785" spans="2:3" x14ac:dyDescent="0.25">
      <c r="B785" s="46" t="s">
        <v>1313</v>
      </c>
      <c r="C785" s="40" t="s">
        <v>1312</v>
      </c>
    </row>
    <row r="786" spans="2:3" x14ac:dyDescent="0.25">
      <c r="B786" s="46" t="s">
        <v>1315</v>
      </c>
      <c r="C786" s="40" t="s">
        <v>1314</v>
      </c>
    </row>
    <row r="787" spans="2:3" x14ac:dyDescent="0.25">
      <c r="B787" s="46" t="s">
        <v>1317</v>
      </c>
      <c r="C787" s="40" t="s">
        <v>1316</v>
      </c>
    </row>
    <row r="788" spans="2:3" x14ac:dyDescent="0.25">
      <c r="B788" s="46" t="s">
        <v>1319</v>
      </c>
      <c r="C788" s="40" t="s">
        <v>1318</v>
      </c>
    </row>
    <row r="789" spans="2:3" x14ac:dyDescent="0.25">
      <c r="B789" s="46" t="s">
        <v>1321</v>
      </c>
      <c r="C789" s="40" t="s">
        <v>1320</v>
      </c>
    </row>
    <row r="790" spans="2:3" x14ac:dyDescent="0.25">
      <c r="B790" s="46" t="s">
        <v>1323</v>
      </c>
      <c r="C790" s="40" t="s">
        <v>1322</v>
      </c>
    </row>
    <row r="791" spans="2:3" x14ac:dyDescent="0.25">
      <c r="B791" s="46" t="s">
        <v>1325</v>
      </c>
      <c r="C791" s="40" t="s">
        <v>1324</v>
      </c>
    </row>
    <row r="792" spans="2:3" x14ac:dyDescent="0.25">
      <c r="B792" s="46" t="s">
        <v>1327</v>
      </c>
      <c r="C792" s="40" t="s">
        <v>1326</v>
      </c>
    </row>
    <row r="793" spans="2:3" x14ac:dyDescent="0.25">
      <c r="B793" s="46" t="s">
        <v>1329</v>
      </c>
      <c r="C793" s="40" t="s">
        <v>1328</v>
      </c>
    </row>
    <row r="794" spans="2:3" x14ac:dyDescent="0.25">
      <c r="B794" s="46" t="s">
        <v>1331</v>
      </c>
      <c r="C794" s="40" t="s">
        <v>1330</v>
      </c>
    </row>
    <row r="795" spans="2:3" x14ac:dyDescent="0.25">
      <c r="B795" s="46" t="s">
        <v>1333</v>
      </c>
      <c r="C795" s="40" t="s">
        <v>1332</v>
      </c>
    </row>
    <row r="796" spans="2:3" x14ac:dyDescent="0.25">
      <c r="B796" s="46" t="s">
        <v>1335</v>
      </c>
      <c r="C796" s="40" t="s">
        <v>1334</v>
      </c>
    </row>
    <row r="797" spans="2:3" x14ac:dyDescent="0.25">
      <c r="B797" s="46" t="s">
        <v>1337</v>
      </c>
      <c r="C797" s="40" t="s">
        <v>1336</v>
      </c>
    </row>
    <row r="798" spans="2:3" x14ac:dyDescent="0.25">
      <c r="B798" s="46" t="s">
        <v>1339</v>
      </c>
      <c r="C798" s="40" t="s">
        <v>1338</v>
      </c>
    </row>
    <row r="799" spans="2:3" x14ac:dyDescent="0.25">
      <c r="B799" s="46" t="s">
        <v>1341</v>
      </c>
      <c r="C799" s="40" t="s">
        <v>1340</v>
      </c>
    </row>
    <row r="800" spans="2:3" x14ac:dyDescent="0.25">
      <c r="B800" s="46" t="s">
        <v>1343</v>
      </c>
      <c r="C800" s="40" t="s">
        <v>1342</v>
      </c>
    </row>
    <row r="801" spans="2:3" x14ac:dyDescent="0.25">
      <c r="B801" s="46" t="s">
        <v>1345</v>
      </c>
      <c r="C801" s="40" t="s">
        <v>1344</v>
      </c>
    </row>
    <row r="802" spans="2:3" x14ac:dyDescent="0.25">
      <c r="B802" s="46" t="s">
        <v>1347</v>
      </c>
      <c r="C802" s="40" t="s">
        <v>1346</v>
      </c>
    </row>
    <row r="803" spans="2:3" x14ac:dyDescent="0.25">
      <c r="B803" s="46" t="s">
        <v>1349</v>
      </c>
      <c r="C803" s="40" t="s">
        <v>1348</v>
      </c>
    </row>
    <row r="804" spans="2:3" x14ac:dyDescent="0.25">
      <c r="B804" s="46" t="s">
        <v>1351</v>
      </c>
      <c r="C804" s="40" t="s">
        <v>1350</v>
      </c>
    </row>
    <row r="805" spans="2:3" x14ac:dyDescent="0.25">
      <c r="B805" s="46" t="s">
        <v>1353</v>
      </c>
      <c r="C805" s="40" t="s">
        <v>1352</v>
      </c>
    </row>
    <row r="806" spans="2:3" x14ac:dyDescent="0.25">
      <c r="B806" s="46" t="s">
        <v>1355</v>
      </c>
      <c r="C806" s="40" t="s">
        <v>1354</v>
      </c>
    </row>
    <row r="807" spans="2:3" x14ac:dyDescent="0.25">
      <c r="B807" s="46" t="s">
        <v>1357</v>
      </c>
      <c r="C807" s="40" t="s">
        <v>1356</v>
      </c>
    </row>
    <row r="808" spans="2:3" x14ac:dyDescent="0.25">
      <c r="B808" s="46" t="s">
        <v>1359</v>
      </c>
      <c r="C808" s="40" t="s">
        <v>1358</v>
      </c>
    </row>
    <row r="809" spans="2:3" x14ac:dyDescent="0.25">
      <c r="B809" s="46" t="s">
        <v>1361</v>
      </c>
      <c r="C809" s="40" t="s">
        <v>1360</v>
      </c>
    </row>
    <row r="810" spans="2:3" x14ac:dyDescent="0.25">
      <c r="B810" s="46" t="s">
        <v>1363</v>
      </c>
      <c r="C810" s="40" t="s">
        <v>1362</v>
      </c>
    </row>
    <row r="811" spans="2:3" x14ac:dyDescent="0.25">
      <c r="B811" s="46" t="s">
        <v>1365</v>
      </c>
      <c r="C811" s="40" t="s">
        <v>1364</v>
      </c>
    </row>
    <row r="812" spans="2:3" x14ac:dyDescent="0.25">
      <c r="B812" s="46" t="s">
        <v>1367</v>
      </c>
      <c r="C812" s="40" t="s">
        <v>1366</v>
      </c>
    </row>
    <row r="813" spans="2:3" x14ac:dyDescent="0.25">
      <c r="B813" s="46" t="s">
        <v>1369</v>
      </c>
      <c r="C813" s="40" t="s">
        <v>1368</v>
      </c>
    </row>
    <row r="814" spans="2:3" x14ac:dyDescent="0.25">
      <c r="B814" s="46" t="s">
        <v>1371</v>
      </c>
      <c r="C814" s="40" t="s">
        <v>1370</v>
      </c>
    </row>
    <row r="815" spans="2:3" x14ac:dyDescent="0.25">
      <c r="B815" s="46" t="s">
        <v>1373</v>
      </c>
      <c r="C815" s="40" t="s">
        <v>1372</v>
      </c>
    </row>
    <row r="816" spans="2:3" x14ac:dyDescent="0.25">
      <c r="B816" s="46" t="s">
        <v>1375</v>
      </c>
      <c r="C816" s="40" t="s">
        <v>1374</v>
      </c>
    </row>
    <row r="817" spans="2:3" x14ac:dyDescent="0.25">
      <c r="B817" s="46" t="s">
        <v>1377</v>
      </c>
      <c r="C817" s="40" t="s">
        <v>1376</v>
      </c>
    </row>
    <row r="818" spans="2:3" x14ac:dyDescent="0.25">
      <c r="B818" s="46" t="s">
        <v>1379</v>
      </c>
      <c r="C818" s="40" t="s">
        <v>1378</v>
      </c>
    </row>
    <row r="819" spans="2:3" x14ac:dyDescent="0.25">
      <c r="B819" s="46" t="s">
        <v>1381</v>
      </c>
      <c r="C819" s="40" t="s">
        <v>1380</v>
      </c>
    </row>
    <row r="820" spans="2:3" x14ac:dyDescent="0.25">
      <c r="B820" s="46" t="s">
        <v>1383</v>
      </c>
      <c r="C820" s="40" t="s">
        <v>1382</v>
      </c>
    </row>
    <row r="821" spans="2:3" x14ac:dyDescent="0.25">
      <c r="B821" s="46" t="s">
        <v>1385</v>
      </c>
      <c r="C821" s="40" t="s">
        <v>1384</v>
      </c>
    </row>
    <row r="822" spans="2:3" x14ac:dyDescent="0.25">
      <c r="B822" s="46" t="s">
        <v>1387</v>
      </c>
      <c r="C822" s="40" t="s">
        <v>1386</v>
      </c>
    </row>
    <row r="823" spans="2:3" x14ac:dyDescent="0.25">
      <c r="B823" s="46" t="s">
        <v>1389</v>
      </c>
      <c r="C823" s="40" t="s">
        <v>1388</v>
      </c>
    </row>
    <row r="824" spans="2:3" x14ac:dyDescent="0.25">
      <c r="B824" s="46" t="s">
        <v>1391</v>
      </c>
      <c r="C824" s="40" t="s">
        <v>1390</v>
      </c>
    </row>
    <row r="825" spans="2:3" x14ac:dyDescent="0.25">
      <c r="B825" s="46" t="s">
        <v>1393</v>
      </c>
      <c r="C825" s="40" t="s">
        <v>1392</v>
      </c>
    </row>
    <row r="826" spans="2:3" x14ac:dyDescent="0.25">
      <c r="B826" s="46" t="s">
        <v>1395</v>
      </c>
      <c r="C826" s="40" t="s">
        <v>1394</v>
      </c>
    </row>
    <row r="827" spans="2:3" x14ac:dyDescent="0.25">
      <c r="B827" s="46" t="s">
        <v>1397</v>
      </c>
      <c r="C827" s="40" t="s">
        <v>1396</v>
      </c>
    </row>
    <row r="828" spans="2:3" x14ac:dyDescent="0.25">
      <c r="B828" s="46" t="s">
        <v>1399</v>
      </c>
      <c r="C828" s="40" t="s">
        <v>1398</v>
      </c>
    </row>
    <row r="829" spans="2:3" x14ac:dyDescent="0.25">
      <c r="B829" s="46" t="s">
        <v>1401</v>
      </c>
      <c r="C829" s="40" t="s">
        <v>1400</v>
      </c>
    </row>
    <row r="830" spans="2:3" x14ac:dyDescent="0.25">
      <c r="B830" s="46" t="s">
        <v>1403</v>
      </c>
      <c r="C830" s="40" t="s">
        <v>1402</v>
      </c>
    </row>
    <row r="831" spans="2:3" x14ac:dyDescent="0.25">
      <c r="B831" s="46" t="s">
        <v>1405</v>
      </c>
      <c r="C831" s="40" t="s">
        <v>1404</v>
      </c>
    </row>
    <row r="832" spans="2:3" x14ac:dyDescent="0.25">
      <c r="B832" s="46" t="s">
        <v>1407</v>
      </c>
      <c r="C832" s="40" t="s">
        <v>1406</v>
      </c>
    </row>
    <row r="833" spans="2:3" x14ac:dyDescent="0.25">
      <c r="B833" s="46" t="s">
        <v>1409</v>
      </c>
      <c r="C833" s="40" t="s">
        <v>1408</v>
      </c>
    </row>
    <row r="834" spans="2:3" x14ac:dyDescent="0.25">
      <c r="B834" s="46" t="s">
        <v>1411</v>
      </c>
      <c r="C834" s="40" t="s">
        <v>1410</v>
      </c>
    </row>
    <row r="835" spans="2:3" x14ac:dyDescent="0.25">
      <c r="B835" s="46" t="s">
        <v>1413</v>
      </c>
      <c r="C835" s="40" t="s">
        <v>1412</v>
      </c>
    </row>
    <row r="836" spans="2:3" x14ac:dyDescent="0.25">
      <c r="B836" s="46" t="s">
        <v>1415</v>
      </c>
      <c r="C836" s="40" t="s">
        <v>1414</v>
      </c>
    </row>
    <row r="837" spans="2:3" x14ac:dyDescent="0.25">
      <c r="B837" s="46" t="s">
        <v>1417</v>
      </c>
      <c r="C837" s="40" t="s">
        <v>1416</v>
      </c>
    </row>
    <row r="838" spans="2:3" x14ac:dyDescent="0.25">
      <c r="B838" s="46" t="s">
        <v>1419</v>
      </c>
      <c r="C838" s="40" t="s">
        <v>1418</v>
      </c>
    </row>
    <row r="839" spans="2:3" x14ac:dyDescent="0.25">
      <c r="B839" s="46" t="s">
        <v>1421</v>
      </c>
      <c r="C839" s="40" t="s">
        <v>1420</v>
      </c>
    </row>
    <row r="840" spans="2:3" x14ac:dyDescent="0.25">
      <c r="B840" s="46" t="s">
        <v>1423</v>
      </c>
      <c r="C840" s="40" t="s">
        <v>1422</v>
      </c>
    </row>
    <row r="841" spans="2:3" x14ac:dyDescent="0.25">
      <c r="B841" s="46" t="s">
        <v>1425</v>
      </c>
      <c r="C841" s="40" t="s">
        <v>1424</v>
      </c>
    </row>
    <row r="842" spans="2:3" x14ac:dyDescent="0.25">
      <c r="B842" s="46" t="s">
        <v>1427</v>
      </c>
      <c r="C842" s="40" t="s">
        <v>1426</v>
      </c>
    </row>
    <row r="843" spans="2:3" x14ac:dyDescent="0.25">
      <c r="B843" s="46" t="s">
        <v>1429</v>
      </c>
      <c r="C843" s="40" t="s">
        <v>1428</v>
      </c>
    </row>
    <row r="844" spans="2:3" x14ac:dyDescent="0.25">
      <c r="B844" s="46" t="s">
        <v>1431</v>
      </c>
      <c r="C844" s="40" t="s">
        <v>1430</v>
      </c>
    </row>
    <row r="845" spans="2:3" x14ac:dyDescent="0.25">
      <c r="B845" s="46" t="s">
        <v>1433</v>
      </c>
      <c r="C845" s="40" t="s">
        <v>1432</v>
      </c>
    </row>
    <row r="846" spans="2:3" x14ac:dyDescent="0.25">
      <c r="B846" s="46" t="s">
        <v>1435</v>
      </c>
      <c r="C846" s="40" t="s">
        <v>1434</v>
      </c>
    </row>
    <row r="847" spans="2:3" x14ac:dyDescent="0.25">
      <c r="B847" s="46" t="s">
        <v>1437</v>
      </c>
      <c r="C847" s="40" t="s">
        <v>1436</v>
      </c>
    </row>
    <row r="848" spans="2:3" x14ac:dyDescent="0.25">
      <c r="B848" s="46" t="s">
        <v>1439</v>
      </c>
      <c r="C848" s="40" t="s">
        <v>1438</v>
      </c>
    </row>
    <row r="849" spans="2:3" x14ac:dyDescent="0.25">
      <c r="B849" s="46" t="s">
        <v>1441</v>
      </c>
      <c r="C849" s="40" t="s">
        <v>1440</v>
      </c>
    </row>
    <row r="850" spans="2:3" x14ac:dyDescent="0.25">
      <c r="B850" s="46" t="s">
        <v>1443</v>
      </c>
      <c r="C850" s="40" t="s">
        <v>1442</v>
      </c>
    </row>
    <row r="851" spans="2:3" x14ac:dyDescent="0.25">
      <c r="B851" s="46" t="s">
        <v>1445</v>
      </c>
      <c r="C851" s="40" t="s">
        <v>1444</v>
      </c>
    </row>
    <row r="852" spans="2:3" x14ac:dyDescent="0.25">
      <c r="B852" s="46" t="s">
        <v>1447</v>
      </c>
      <c r="C852" s="40" t="s">
        <v>1446</v>
      </c>
    </row>
    <row r="853" spans="2:3" x14ac:dyDescent="0.25">
      <c r="B853" s="46" t="s">
        <v>1449</v>
      </c>
      <c r="C853" s="40" t="s">
        <v>1448</v>
      </c>
    </row>
    <row r="854" spans="2:3" x14ac:dyDescent="0.25">
      <c r="B854" s="46" t="s">
        <v>1451</v>
      </c>
      <c r="C854" s="40" t="s">
        <v>1450</v>
      </c>
    </row>
    <row r="855" spans="2:3" x14ac:dyDescent="0.25">
      <c r="B855" s="46" t="s">
        <v>1453</v>
      </c>
      <c r="C855" s="40" t="s">
        <v>1452</v>
      </c>
    </row>
    <row r="856" spans="2:3" x14ac:dyDescent="0.25">
      <c r="B856" s="46" t="s">
        <v>1455</v>
      </c>
      <c r="C856" s="40" t="s">
        <v>1454</v>
      </c>
    </row>
    <row r="857" spans="2:3" x14ac:dyDescent="0.25">
      <c r="B857" s="46" t="s">
        <v>1457</v>
      </c>
      <c r="C857" s="40" t="s">
        <v>1456</v>
      </c>
    </row>
    <row r="858" spans="2:3" x14ac:dyDescent="0.25">
      <c r="B858" s="46" t="s">
        <v>1459</v>
      </c>
      <c r="C858" s="40" t="s">
        <v>1458</v>
      </c>
    </row>
    <row r="859" spans="2:3" x14ac:dyDescent="0.25">
      <c r="B859" s="46" t="s">
        <v>1461</v>
      </c>
      <c r="C859" s="40" t="s">
        <v>1460</v>
      </c>
    </row>
    <row r="860" spans="2:3" x14ac:dyDescent="0.25">
      <c r="B860" s="46" t="s">
        <v>1463</v>
      </c>
      <c r="C860" s="40" t="s">
        <v>1462</v>
      </c>
    </row>
    <row r="861" spans="2:3" x14ac:dyDescent="0.25">
      <c r="B861" s="46" t="s">
        <v>1465</v>
      </c>
      <c r="C861" s="40" t="s">
        <v>1464</v>
      </c>
    </row>
    <row r="862" spans="2:3" x14ac:dyDescent="0.25">
      <c r="B862" s="46" t="s">
        <v>1467</v>
      </c>
      <c r="C862" s="40" t="s">
        <v>1466</v>
      </c>
    </row>
    <row r="863" spans="2:3" x14ac:dyDescent="0.25">
      <c r="B863" s="46" t="s">
        <v>1469</v>
      </c>
      <c r="C863" s="40" t="s">
        <v>1468</v>
      </c>
    </row>
    <row r="864" spans="2:3" x14ac:dyDescent="0.25">
      <c r="B864" s="46" t="s">
        <v>1471</v>
      </c>
      <c r="C864" s="40" t="s">
        <v>1470</v>
      </c>
    </row>
    <row r="865" spans="2:3" x14ac:dyDescent="0.25">
      <c r="B865" s="46" t="s">
        <v>1473</v>
      </c>
      <c r="C865" s="40" t="s">
        <v>1472</v>
      </c>
    </row>
    <row r="866" spans="2:3" x14ac:dyDescent="0.25">
      <c r="B866" s="46" t="s">
        <v>1475</v>
      </c>
      <c r="C866" s="40" t="s">
        <v>1474</v>
      </c>
    </row>
    <row r="867" spans="2:3" x14ac:dyDescent="0.25">
      <c r="B867" s="46" t="s">
        <v>1477</v>
      </c>
      <c r="C867" s="40" t="s">
        <v>1476</v>
      </c>
    </row>
    <row r="868" spans="2:3" x14ac:dyDescent="0.25">
      <c r="B868" s="46" t="s">
        <v>1479</v>
      </c>
      <c r="C868" s="40" t="s">
        <v>1478</v>
      </c>
    </row>
    <row r="869" spans="2:3" x14ac:dyDescent="0.25">
      <c r="B869" s="46" t="s">
        <v>1481</v>
      </c>
      <c r="C869" s="40" t="s">
        <v>1480</v>
      </c>
    </row>
    <row r="870" spans="2:3" x14ac:dyDescent="0.25">
      <c r="B870" s="46" t="s">
        <v>1483</v>
      </c>
      <c r="C870" s="40" t="s">
        <v>1482</v>
      </c>
    </row>
    <row r="871" spans="2:3" x14ac:dyDescent="0.25">
      <c r="B871" s="46" t="s">
        <v>1485</v>
      </c>
      <c r="C871" s="40" t="s">
        <v>1484</v>
      </c>
    </row>
    <row r="872" spans="2:3" x14ac:dyDescent="0.25">
      <c r="B872" s="46" t="s">
        <v>1487</v>
      </c>
      <c r="C872" s="40" t="s">
        <v>1486</v>
      </c>
    </row>
    <row r="873" spans="2:3" x14ac:dyDescent="0.25">
      <c r="B873" s="46" t="s">
        <v>1489</v>
      </c>
      <c r="C873" s="40" t="s">
        <v>1488</v>
      </c>
    </row>
    <row r="874" spans="2:3" x14ac:dyDescent="0.25">
      <c r="B874" s="46" t="s">
        <v>1491</v>
      </c>
      <c r="C874" s="40" t="s">
        <v>1490</v>
      </c>
    </row>
    <row r="875" spans="2:3" x14ac:dyDescent="0.25">
      <c r="B875" s="46" t="s">
        <v>1493</v>
      </c>
      <c r="C875" s="40" t="s">
        <v>1492</v>
      </c>
    </row>
    <row r="876" spans="2:3" x14ac:dyDescent="0.25">
      <c r="B876" s="46" t="s">
        <v>1495</v>
      </c>
      <c r="C876" s="40" t="s">
        <v>1494</v>
      </c>
    </row>
    <row r="877" spans="2:3" x14ac:dyDescent="0.25">
      <c r="B877" s="46" t="s">
        <v>1497</v>
      </c>
      <c r="C877" s="40" t="s">
        <v>1496</v>
      </c>
    </row>
    <row r="878" spans="2:3" x14ac:dyDescent="0.25">
      <c r="B878" s="46" t="s">
        <v>1499</v>
      </c>
      <c r="C878" s="40" t="s">
        <v>1498</v>
      </c>
    </row>
    <row r="879" spans="2:3" x14ac:dyDescent="0.25">
      <c r="B879" s="46" t="s">
        <v>1501</v>
      </c>
      <c r="C879" s="40" t="s">
        <v>1500</v>
      </c>
    </row>
    <row r="880" spans="2:3" x14ac:dyDescent="0.25">
      <c r="B880" s="46" t="s">
        <v>1503</v>
      </c>
      <c r="C880" s="40" t="s">
        <v>1502</v>
      </c>
    </row>
    <row r="881" spans="2:3" x14ac:dyDescent="0.25">
      <c r="B881" s="46" t="s">
        <v>1505</v>
      </c>
      <c r="C881" s="40" t="s">
        <v>1504</v>
      </c>
    </row>
    <row r="882" spans="2:3" x14ac:dyDescent="0.25">
      <c r="B882" s="46" t="s">
        <v>1507</v>
      </c>
      <c r="C882" s="40" t="s">
        <v>1506</v>
      </c>
    </row>
    <row r="883" spans="2:3" x14ac:dyDescent="0.25">
      <c r="B883" s="46" t="s">
        <v>1509</v>
      </c>
      <c r="C883" s="40" t="s">
        <v>1508</v>
      </c>
    </row>
    <row r="884" spans="2:3" x14ac:dyDescent="0.25">
      <c r="B884" s="46" t="s">
        <v>1511</v>
      </c>
      <c r="C884" s="40" t="s">
        <v>1510</v>
      </c>
    </row>
    <row r="885" spans="2:3" x14ac:dyDescent="0.25">
      <c r="B885" s="46" t="s">
        <v>1513</v>
      </c>
      <c r="C885" s="40" t="s">
        <v>1512</v>
      </c>
    </row>
    <row r="886" spans="2:3" x14ac:dyDescent="0.25">
      <c r="B886" s="46" t="s">
        <v>1515</v>
      </c>
      <c r="C886" s="40" t="s">
        <v>1514</v>
      </c>
    </row>
    <row r="887" spans="2:3" x14ac:dyDescent="0.25">
      <c r="B887" s="46" t="s">
        <v>1517</v>
      </c>
      <c r="C887" s="40" t="s">
        <v>1516</v>
      </c>
    </row>
    <row r="888" spans="2:3" x14ac:dyDescent="0.25">
      <c r="B888" s="46" t="s">
        <v>1519</v>
      </c>
      <c r="C888" s="40" t="s">
        <v>1518</v>
      </c>
    </row>
    <row r="889" spans="2:3" x14ac:dyDescent="0.25">
      <c r="B889" s="46" t="s">
        <v>1521</v>
      </c>
      <c r="C889" s="40" t="s">
        <v>1520</v>
      </c>
    </row>
    <row r="890" spans="2:3" x14ac:dyDescent="0.25">
      <c r="B890" s="46" t="s">
        <v>1523</v>
      </c>
      <c r="C890" s="40" t="s">
        <v>1522</v>
      </c>
    </row>
    <row r="891" spans="2:3" x14ac:dyDescent="0.25">
      <c r="B891" s="46" t="s">
        <v>1525</v>
      </c>
      <c r="C891" s="40" t="s">
        <v>1524</v>
      </c>
    </row>
    <row r="892" spans="2:3" x14ac:dyDescent="0.25">
      <c r="B892" s="46" t="s">
        <v>1527</v>
      </c>
      <c r="C892" s="40" t="s">
        <v>1526</v>
      </c>
    </row>
    <row r="893" spans="2:3" x14ac:dyDescent="0.25">
      <c r="B893" s="46" t="s">
        <v>1529</v>
      </c>
      <c r="C893" s="40" t="s">
        <v>1528</v>
      </c>
    </row>
    <row r="894" spans="2:3" x14ac:dyDescent="0.25">
      <c r="B894" s="46" t="s">
        <v>1531</v>
      </c>
      <c r="C894" s="40" t="s">
        <v>1530</v>
      </c>
    </row>
    <row r="895" spans="2:3" x14ac:dyDescent="0.25">
      <c r="B895" s="46" t="s">
        <v>1533</v>
      </c>
      <c r="C895" s="40" t="s">
        <v>1532</v>
      </c>
    </row>
    <row r="896" spans="2:3" x14ac:dyDescent="0.25">
      <c r="B896" s="46" t="s">
        <v>1535</v>
      </c>
      <c r="C896" s="40" t="s">
        <v>1534</v>
      </c>
    </row>
    <row r="897" spans="2:3" x14ac:dyDescent="0.25">
      <c r="B897" s="46" t="s">
        <v>1537</v>
      </c>
      <c r="C897" s="40" t="s">
        <v>1536</v>
      </c>
    </row>
    <row r="898" spans="2:3" x14ac:dyDescent="0.25">
      <c r="B898" s="46" t="s">
        <v>1539</v>
      </c>
      <c r="C898" s="40" t="s">
        <v>1538</v>
      </c>
    </row>
    <row r="899" spans="2:3" x14ac:dyDescent="0.25">
      <c r="B899" s="46" t="s">
        <v>1541</v>
      </c>
      <c r="C899" s="40" t="s">
        <v>1540</v>
      </c>
    </row>
    <row r="900" spans="2:3" x14ac:dyDescent="0.25">
      <c r="B900" s="46" t="s">
        <v>1543</v>
      </c>
      <c r="C900" s="40" t="s">
        <v>1542</v>
      </c>
    </row>
    <row r="901" spans="2:3" x14ac:dyDescent="0.25">
      <c r="B901" s="46" t="s">
        <v>1545</v>
      </c>
      <c r="C901" s="40" t="s">
        <v>1544</v>
      </c>
    </row>
    <row r="902" spans="2:3" x14ac:dyDescent="0.25">
      <c r="B902" s="46" t="s">
        <v>1547</v>
      </c>
      <c r="C902" s="40" t="s">
        <v>1546</v>
      </c>
    </row>
    <row r="903" spans="2:3" x14ac:dyDescent="0.25">
      <c r="B903" s="46" t="s">
        <v>1549</v>
      </c>
      <c r="C903" s="40" t="s">
        <v>1548</v>
      </c>
    </row>
    <row r="904" spans="2:3" x14ac:dyDescent="0.25">
      <c r="B904" s="46" t="s">
        <v>1551</v>
      </c>
      <c r="C904" s="40" t="s">
        <v>1550</v>
      </c>
    </row>
    <row r="905" spans="2:3" x14ac:dyDescent="0.25">
      <c r="B905" s="46" t="s">
        <v>1552</v>
      </c>
      <c r="C905" s="40" t="s">
        <v>1552</v>
      </c>
    </row>
    <row r="906" spans="2:3" x14ac:dyDescent="0.25">
      <c r="B906" s="46" t="s">
        <v>1554</v>
      </c>
      <c r="C906" s="40" t="s">
        <v>1553</v>
      </c>
    </row>
    <row r="907" spans="2:3" x14ac:dyDescent="0.25">
      <c r="B907" s="46" t="s">
        <v>1556</v>
      </c>
      <c r="C907" s="40" t="s">
        <v>1555</v>
      </c>
    </row>
    <row r="908" spans="2:3" x14ac:dyDescent="0.25">
      <c r="B908" s="46" t="s">
        <v>1558</v>
      </c>
      <c r="C908" s="40" t="s">
        <v>1557</v>
      </c>
    </row>
    <row r="909" spans="2:3" x14ac:dyDescent="0.25">
      <c r="B909" s="46" t="s">
        <v>1560</v>
      </c>
      <c r="C909" s="40" t="s">
        <v>1559</v>
      </c>
    </row>
    <row r="910" spans="2:3" x14ac:dyDescent="0.25">
      <c r="B910" s="46" t="s">
        <v>1562</v>
      </c>
      <c r="C910" s="40" t="s">
        <v>1561</v>
      </c>
    </row>
    <row r="911" spans="2:3" x14ac:dyDescent="0.25">
      <c r="B911" s="46" t="s">
        <v>1564</v>
      </c>
      <c r="C911" s="40" t="s">
        <v>1563</v>
      </c>
    </row>
    <row r="912" spans="2:3" x14ac:dyDescent="0.25">
      <c r="B912" s="46" t="s">
        <v>1566</v>
      </c>
      <c r="C912" s="40" t="s">
        <v>1565</v>
      </c>
    </row>
    <row r="913" spans="2:3" x14ac:dyDescent="0.25">
      <c r="B913" s="46" t="s">
        <v>1568</v>
      </c>
      <c r="C913" s="40" t="s">
        <v>1567</v>
      </c>
    </row>
    <row r="914" spans="2:3" x14ac:dyDescent="0.25">
      <c r="B914" s="46" t="s">
        <v>1570</v>
      </c>
      <c r="C914" s="40" t="s">
        <v>1569</v>
      </c>
    </row>
    <row r="915" spans="2:3" x14ac:dyDescent="0.25">
      <c r="B915" s="46" t="s">
        <v>1572</v>
      </c>
      <c r="C915" s="40" t="s">
        <v>1571</v>
      </c>
    </row>
    <row r="916" spans="2:3" x14ac:dyDescent="0.25">
      <c r="B916" s="46" t="s">
        <v>1574</v>
      </c>
      <c r="C916" s="40" t="s">
        <v>1573</v>
      </c>
    </row>
    <row r="917" spans="2:3" x14ac:dyDescent="0.25">
      <c r="B917" s="46" t="s">
        <v>1576</v>
      </c>
      <c r="C917" s="40" t="s">
        <v>1575</v>
      </c>
    </row>
    <row r="918" spans="2:3" x14ac:dyDescent="0.25">
      <c r="B918" s="46" t="s">
        <v>1578</v>
      </c>
      <c r="C918" s="40" t="s">
        <v>1577</v>
      </c>
    </row>
    <row r="919" spans="2:3" x14ac:dyDescent="0.25">
      <c r="B919" s="46" t="s">
        <v>1579</v>
      </c>
      <c r="C919" s="40" t="s">
        <v>1579</v>
      </c>
    </row>
    <row r="920" spans="2:3" x14ac:dyDescent="0.25">
      <c r="B920" s="46" t="s">
        <v>1581</v>
      </c>
      <c r="C920" s="40" t="s">
        <v>1580</v>
      </c>
    </row>
    <row r="921" spans="2:3" x14ac:dyDescent="0.25">
      <c r="B921" s="46" t="s">
        <v>1583</v>
      </c>
      <c r="C921" s="40" t="s">
        <v>1582</v>
      </c>
    </row>
    <row r="922" spans="2:3" x14ac:dyDescent="0.25">
      <c r="B922" s="46" t="s">
        <v>1585</v>
      </c>
      <c r="C922" s="40" t="s">
        <v>1584</v>
      </c>
    </row>
    <row r="923" spans="2:3" x14ac:dyDescent="0.25">
      <c r="B923" s="46" t="s">
        <v>1587</v>
      </c>
      <c r="C923" s="40" t="s">
        <v>1586</v>
      </c>
    </row>
    <row r="924" spans="2:3" x14ac:dyDescent="0.25">
      <c r="B924" s="46" t="s">
        <v>1589</v>
      </c>
      <c r="C924" s="40" t="s">
        <v>1588</v>
      </c>
    </row>
    <row r="925" spans="2:3" x14ac:dyDescent="0.25">
      <c r="B925" s="46" t="s">
        <v>1591</v>
      </c>
      <c r="C925" s="40" t="s">
        <v>1590</v>
      </c>
    </row>
    <row r="926" spans="2:3" x14ac:dyDescent="0.25">
      <c r="B926" s="46" t="s">
        <v>1593</v>
      </c>
      <c r="C926" s="40" t="s">
        <v>1592</v>
      </c>
    </row>
    <row r="927" spans="2:3" x14ac:dyDescent="0.25">
      <c r="B927" s="46" t="s">
        <v>1595</v>
      </c>
      <c r="C927" s="40" t="s">
        <v>1594</v>
      </c>
    </row>
    <row r="928" spans="2:3" x14ac:dyDescent="0.25">
      <c r="B928" s="46" t="s">
        <v>1597</v>
      </c>
      <c r="C928" s="40" t="s">
        <v>1596</v>
      </c>
    </row>
    <row r="929" spans="2:3" x14ac:dyDescent="0.25">
      <c r="B929" s="46" t="s">
        <v>1599</v>
      </c>
      <c r="C929" s="40" t="s">
        <v>1598</v>
      </c>
    </row>
    <row r="930" spans="2:3" x14ac:dyDescent="0.25">
      <c r="B930" s="46" t="s">
        <v>1601</v>
      </c>
      <c r="C930" s="40" t="s">
        <v>1600</v>
      </c>
    </row>
    <row r="931" spans="2:3" x14ac:dyDescent="0.25">
      <c r="B931" s="46" t="s">
        <v>1603</v>
      </c>
      <c r="C931" s="40" t="s">
        <v>1602</v>
      </c>
    </row>
    <row r="932" spans="2:3" x14ac:dyDescent="0.25">
      <c r="B932" s="46" t="s">
        <v>1605</v>
      </c>
      <c r="C932" s="40" t="s">
        <v>1604</v>
      </c>
    </row>
    <row r="933" spans="2:3" x14ac:dyDescent="0.25">
      <c r="B933" s="46" t="s">
        <v>1607</v>
      </c>
      <c r="C933" s="40" t="s">
        <v>1606</v>
      </c>
    </row>
    <row r="934" spans="2:3" x14ac:dyDescent="0.25">
      <c r="B934" s="46" t="s">
        <v>1609</v>
      </c>
      <c r="C934" s="40" t="s">
        <v>1608</v>
      </c>
    </row>
    <row r="935" spans="2:3" x14ac:dyDescent="0.25">
      <c r="B935" s="46" t="s">
        <v>1611</v>
      </c>
      <c r="C935" s="40" t="s">
        <v>1610</v>
      </c>
    </row>
    <row r="936" spans="2:3" x14ac:dyDescent="0.25">
      <c r="B936" s="46" t="s">
        <v>1613</v>
      </c>
      <c r="C936" s="40" t="s">
        <v>1612</v>
      </c>
    </row>
    <row r="937" spans="2:3" x14ac:dyDescent="0.25">
      <c r="B937" s="46" t="s">
        <v>1615</v>
      </c>
      <c r="C937" s="40" t="s">
        <v>1614</v>
      </c>
    </row>
    <row r="938" spans="2:3" x14ac:dyDescent="0.25">
      <c r="B938" s="46" t="s">
        <v>1617</v>
      </c>
      <c r="C938" s="40" t="s">
        <v>1616</v>
      </c>
    </row>
    <row r="939" spans="2:3" x14ac:dyDescent="0.25">
      <c r="B939" s="46" t="s">
        <v>1619</v>
      </c>
      <c r="C939" s="40" t="s">
        <v>1618</v>
      </c>
    </row>
    <row r="940" spans="2:3" x14ac:dyDescent="0.25">
      <c r="B940" s="46" t="s">
        <v>1621</v>
      </c>
      <c r="C940" s="40" t="s">
        <v>1620</v>
      </c>
    </row>
    <row r="941" spans="2:3" x14ac:dyDescent="0.25">
      <c r="B941" s="46" t="s">
        <v>1623</v>
      </c>
      <c r="C941" s="40" t="s">
        <v>1622</v>
      </c>
    </row>
    <row r="942" spans="2:3" x14ac:dyDescent="0.25">
      <c r="B942" s="46" t="s">
        <v>1625</v>
      </c>
      <c r="C942" s="40" t="s">
        <v>1624</v>
      </c>
    </row>
    <row r="943" spans="2:3" x14ac:dyDescent="0.25">
      <c r="B943" s="46" t="s">
        <v>1627</v>
      </c>
      <c r="C943" s="40" t="s">
        <v>1626</v>
      </c>
    </row>
    <row r="944" spans="2:3" x14ac:dyDescent="0.25">
      <c r="B944" s="46" t="s">
        <v>1629</v>
      </c>
      <c r="C944" s="40" t="s">
        <v>1628</v>
      </c>
    </row>
    <row r="945" spans="2:3" x14ac:dyDescent="0.25">
      <c r="B945" s="46" t="s">
        <v>1631</v>
      </c>
      <c r="C945" s="40" t="s">
        <v>1630</v>
      </c>
    </row>
    <row r="946" spans="2:3" x14ac:dyDescent="0.25">
      <c r="B946" s="46" t="s">
        <v>1633</v>
      </c>
      <c r="C946" s="40" t="s">
        <v>1632</v>
      </c>
    </row>
    <row r="947" spans="2:3" x14ac:dyDescent="0.25">
      <c r="B947" s="46" t="s">
        <v>1635</v>
      </c>
      <c r="C947" s="40" t="s">
        <v>1634</v>
      </c>
    </row>
    <row r="948" spans="2:3" x14ac:dyDescent="0.25">
      <c r="B948" s="46" t="s">
        <v>1637</v>
      </c>
      <c r="C948" s="40" t="s">
        <v>1636</v>
      </c>
    </row>
    <row r="949" spans="2:3" x14ac:dyDescent="0.25">
      <c r="B949" s="46" t="s">
        <v>1639</v>
      </c>
      <c r="C949" s="40" t="s">
        <v>1638</v>
      </c>
    </row>
    <row r="950" spans="2:3" x14ac:dyDescent="0.25">
      <c r="B950" s="46" t="s">
        <v>1641</v>
      </c>
      <c r="C950" s="40" t="s">
        <v>1640</v>
      </c>
    </row>
    <row r="951" spans="2:3" x14ac:dyDescent="0.25">
      <c r="B951" s="46" t="s">
        <v>1643</v>
      </c>
      <c r="C951" s="40" t="s">
        <v>1642</v>
      </c>
    </row>
    <row r="952" spans="2:3" x14ac:dyDescent="0.25">
      <c r="B952" s="46" t="s">
        <v>1645</v>
      </c>
      <c r="C952" s="40" t="s">
        <v>1644</v>
      </c>
    </row>
    <row r="953" spans="2:3" x14ac:dyDescent="0.25">
      <c r="B953" s="46" t="s">
        <v>1647</v>
      </c>
      <c r="C953" s="40" t="s">
        <v>1646</v>
      </c>
    </row>
    <row r="954" spans="2:3" x14ac:dyDescent="0.25">
      <c r="B954" s="46" t="s">
        <v>1649</v>
      </c>
      <c r="C954" s="40" t="s">
        <v>1648</v>
      </c>
    </row>
    <row r="955" spans="2:3" x14ac:dyDescent="0.25">
      <c r="B955" s="46" t="s">
        <v>1651</v>
      </c>
      <c r="C955" s="40" t="s">
        <v>1650</v>
      </c>
    </row>
    <row r="956" spans="2:3" x14ac:dyDescent="0.25">
      <c r="B956" s="46" t="s">
        <v>1653</v>
      </c>
      <c r="C956" s="40" t="s">
        <v>1652</v>
      </c>
    </row>
    <row r="957" spans="2:3" x14ac:dyDescent="0.25">
      <c r="B957" s="46" t="s">
        <v>1655</v>
      </c>
      <c r="C957" s="40" t="s">
        <v>1654</v>
      </c>
    </row>
    <row r="958" spans="2:3" x14ac:dyDescent="0.25">
      <c r="B958" s="46" t="s">
        <v>1657</v>
      </c>
      <c r="C958" s="40" t="s">
        <v>1656</v>
      </c>
    </row>
    <row r="959" spans="2:3" x14ac:dyDescent="0.25">
      <c r="B959" s="46" t="s">
        <v>1659</v>
      </c>
      <c r="C959" s="40" t="s">
        <v>1658</v>
      </c>
    </row>
    <row r="960" spans="2:3" x14ac:dyDescent="0.25">
      <c r="B960" s="46" t="s">
        <v>1661</v>
      </c>
      <c r="C960" s="40" t="s">
        <v>1660</v>
      </c>
    </row>
    <row r="961" spans="2:3" x14ac:dyDescent="0.25">
      <c r="B961" s="46" t="s">
        <v>1663</v>
      </c>
      <c r="C961" s="40" t="s">
        <v>1662</v>
      </c>
    </row>
    <row r="962" spans="2:3" x14ac:dyDescent="0.25">
      <c r="B962" s="46" t="s">
        <v>1665</v>
      </c>
      <c r="C962" s="40" t="s">
        <v>1664</v>
      </c>
    </row>
    <row r="963" spans="2:3" x14ac:dyDescent="0.25">
      <c r="B963" s="46" t="s">
        <v>1667</v>
      </c>
      <c r="C963" s="40" t="s">
        <v>1666</v>
      </c>
    </row>
    <row r="964" spans="2:3" x14ac:dyDescent="0.25">
      <c r="B964" s="46" t="s">
        <v>1669</v>
      </c>
      <c r="C964" s="40" t="s">
        <v>1668</v>
      </c>
    </row>
    <row r="965" spans="2:3" x14ac:dyDescent="0.25">
      <c r="B965" s="46" t="s">
        <v>1671</v>
      </c>
      <c r="C965" s="40" t="s">
        <v>1670</v>
      </c>
    </row>
    <row r="966" spans="2:3" x14ac:dyDescent="0.25">
      <c r="B966" s="46" t="s">
        <v>1673</v>
      </c>
      <c r="C966" s="40" t="s">
        <v>1672</v>
      </c>
    </row>
    <row r="967" spans="2:3" x14ac:dyDescent="0.25">
      <c r="B967" s="46" t="s">
        <v>1675</v>
      </c>
      <c r="C967" s="40" t="s">
        <v>1674</v>
      </c>
    </row>
    <row r="968" spans="2:3" x14ac:dyDescent="0.25">
      <c r="B968" s="46" t="s">
        <v>1677</v>
      </c>
      <c r="C968" s="40" t="s">
        <v>1676</v>
      </c>
    </row>
    <row r="969" spans="2:3" x14ac:dyDescent="0.25">
      <c r="B969" s="46" t="s">
        <v>1679</v>
      </c>
      <c r="C969" s="40" t="s">
        <v>1678</v>
      </c>
    </row>
    <row r="970" spans="2:3" x14ac:dyDescent="0.25">
      <c r="B970" s="46" t="s">
        <v>1681</v>
      </c>
      <c r="C970" s="40" t="s">
        <v>1680</v>
      </c>
    </row>
    <row r="971" spans="2:3" x14ac:dyDescent="0.25">
      <c r="B971" s="46" t="s">
        <v>1683</v>
      </c>
      <c r="C971" s="40" t="s">
        <v>1682</v>
      </c>
    </row>
    <row r="972" spans="2:3" x14ac:dyDescent="0.25">
      <c r="B972" s="46" t="s">
        <v>1685</v>
      </c>
      <c r="C972" s="40" t="s">
        <v>1684</v>
      </c>
    </row>
    <row r="973" spans="2:3" x14ac:dyDescent="0.25">
      <c r="B973" s="46" t="s">
        <v>1687</v>
      </c>
      <c r="C973" s="40" t="s">
        <v>1686</v>
      </c>
    </row>
    <row r="974" spans="2:3" x14ac:dyDescent="0.25">
      <c r="B974" s="46" t="s">
        <v>1689</v>
      </c>
      <c r="C974" s="40" t="s">
        <v>1688</v>
      </c>
    </row>
    <row r="975" spans="2:3" x14ac:dyDescent="0.25">
      <c r="B975" s="46" t="s">
        <v>1691</v>
      </c>
      <c r="C975" s="40" t="s">
        <v>1690</v>
      </c>
    </row>
    <row r="976" spans="2:3" x14ac:dyDescent="0.25">
      <c r="B976" s="46" t="s">
        <v>1693</v>
      </c>
      <c r="C976" s="40" t="s">
        <v>1692</v>
      </c>
    </row>
    <row r="977" spans="2:3" x14ac:dyDescent="0.25">
      <c r="B977" s="46" t="s">
        <v>1695</v>
      </c>
      <c r="C977" s="40" t="s">
        <v>1694</v>
      </c>
    </row>
    <row r="978" spans="2:3" x14ac:dyDescent="0.25">
      <c r="B978" s="46" t="s">
        <v>1697</v>
      </c>
      <c r="C978" s="40" t="s">
        <v>1696</v>
      </c>
    </row>
    <row r="979" spans="2:3" x14ac:dyDescent="0.25">
      <c r="B979" s="46" t="s">
        <v>1699</v>
      </c>
      <c r="C979" s="40" t="s">
        <v>1698</v>
      </c>
    </row>
    <row r="980" spans="2:3" x14ac:dyDescent="0.25">
      <c r="B980" s="46" t="s">
        <v>1701</v>
      </c>
      <c r="C980" s="40" t="s">
        <v>1700</v>
      </c>
    </row>
    <row r="981" spans="2:3" x14ac:dyDescent="0.25">
      <c r="B981" s="46" t="s">
        <v>1703</v>
      </c>
      <c r="C981" s="40" t="s">
        <v>1702</v>
      </c>
    </row>
    <row r="982" spans="2:3" x14ac:dyDescent="0.25">
      <c r="B982" s="46" t="s">
        <v>1705</v>
      </c>
      <c r="C982" s="40" t="s">
        <v>1704</v>
      </c>
    </row>
    <row r="983" spans="2:3" x14ac:dyDescent="0.25">
      <c r="B983" s="46" t="s">
        <v>1707</v>
      </c>
      <c r="C983" s="40" t="s">
        <v>1706</v>
      </c>
    </row>
    <row r="984" spans="2:3" x14ac:dyDescent="0.25">
      <c r="B984" s="46" t="s">
        <v>1709</v>
      </c>
      <c r="C984" s="40" t="s">
        <v>1708</v>
      </c>
    </row>
    <row r="985" spans="2:3" x14ac:dyDescent="0.25">
      <c r="B985" s="46" t="s">
        <v>1711</v>
      </c>
      <c r="C985" s="40" t="s">
        <v>1710</v>
      </c>
    </row>
    <row r="986" spans="2:3" x14ac:dyDescent="0.25">
      <c r="B986" s="46" t="s">
        <v>1713</v>
      </c>
      <c r="C986" s="40" t="s">
        <v>1712</v>
      </c>
    </row>
    <row r="987" spans="2:3" x14ac:dyDescent="0.25">
      <c r="B987" s="46" t="s">
        <v>1715</v>
      </c>
      <c r="C987" s="40" t="s">
        <v>1714</v>
      </c>
    </row>
    <row r="988" spans="2:3" x14ac:dyDescent="0.25">
      <c r="B988" s="46" t="s">
        <v>1717</v>
      </c>
      <c r="C988" s="40" t="s">
        <v>1716</v>
      </c>
    </row>
    <row r="989" spans="2:3" x14ac:dyDescent="0.25">
      <c r="B989" s="46" t="s">
        <v>1719</v>
      </c>
      <c r="C989" s="40" t="s">
        <v>1718</v>
      </c>
    </row>
    <row r="990" spans="2:3" x14ac:dyDescent="0.25">
      <c r="B990" s="46" t="s">
        <v>1721</v>
      </c>
      <c r="C990" s="40" t="s">
        <v>1720</v>
      </c>
    </row>
    <row r="991" spans="2:3" x14ac:dyDescent="0.25">
      <c r="B991" s="46" t="s">
        <v>1723</v>
      </c>
      <c r="C991" s="40" t="s">
        <v>1722</v>
      </c>
    </row>
    <row r="992" spans="2:3" x14ac:dyDescent="0.25">
      <c r="B992" s="46" t="s">
        <v>1725</v>
      </c>
      <c r="C992" s="40" t="s">
        <v>1724</v>
      </c>
    </row>
    <row r="993" spans="2:3" x14ac:dyDescent="0.25">
      <c r="B993" s="46" t="s">
        <v>1727</v>
      </c>
      <c r="C993" s="40" t="s">
        <v>1726</v>
      </c>
    </row>
    <row r="994" spans="2:3" x14ac:dyDescent="0.25">
      <c r="B994" s="46" t="s">
        <v>1729</v>
      </c>
      <c r="C994" s="40" t="s">
        <v>1728</v>
      </c>
    </row>
    <row r="995" spans="2:3" x14ac:dyDescent="0.25">
      <c r="B995" s="46" t="s">
        <v>1731</v>
      </c>
      <c r="C995" s="40" t="s">
        <v>1730</v>
      </c>
    </row>
    <row r="996" spans="2:3" x14ac:dyDescent="0.25">
      <c r="B996" s="46" t="s">
        <v>1733</v>
      </c>
      <c r="C996" s="40" t="s">
        <v>1732</v>
      </c>
    </row>
    <row r="997" spans="2:3" x14ac:dyDescent="0.25">
      <c r="B997" s="46" t="s">
        <v>1735</v>
      </c>
      <c r="C997" s="40" t="s">
        <v>1734</v>
      </c>
    </row>
    <row r="998" spans="2:3" x14ac:dyDescent="0.25">
      <c r="B998" s="46" t="s">
        <v>1737</v>
      </c>
      <c r="C998" s="40" t="s">
        <v>1736</v>
      </c>
    </row>
    <row r="999" spans="2:3" x14ac:dyDescent="0.25">
      <c r="B999" s="46" t="s">
        <v>1739</v>
      </c>
      <c r="C999" s="40" t="s">
        <v>1738</v>
      </c>
    </row>
    <row r="1000" spans="2:3" x14ac:dyDescent="0.25">
      <c r="B1000" s="46" t="s">
        <v>1741</v>
      </c>
      <c r="C1000" s="40" t="s">
        <v>1740</v>
      </c>
    </row>
    <row r="1001" spans="2:3" x14ac:dyDescent="0.25">
      <c r="B1001" s="46" t="s">
        <v>1743</v>
      </c>
      <c r="C1001" s="40" t="s">
        <v>1742</v>
      </c>
    </row>
    <row r="1002" spans="2:3" x14ac:dyDescent="0.25">
      <c r="B1002" s="46" t="s">
        <v>1745</v>
      </c>
      <c r="C1002" s="40" t="s">
        <v>1744</v>
      </c>
    </row>
    <row r="1003" spans="2:3" x14ac:dyDescent="0.25">
      <c r="B1003" s="46" t="s">
        <v>1747</v>
      </c>
      <c r="C1003" s="40" t="s">
        <v>1746</v>
      </c>
    </row>
    <row r="1004" spans="2:3" x14ac:dyDescent="0.25">
      <c r="B1004" s="46" t="s">
        <v>1749</v>
      </c>
      <c r="C1004" s="40" t="s">
        <v>1748</v>
      </c>
    </row>
    <row r="1005" spans="2:3" x14ac:dyDescent="0.25">
      <c r="B1005" s="46" t="s">
        <v>1751</v>
      </c>
      <c r="C1005" s="40" t="s">
        <v>1750</v>
      </c>
    </row>
    <row r="1006" spans="2:3" x14ac:dyDescent="0.25">
      <c r="B1006" s="46" t="s">
        <v>1753</v>
      </c>
      <c r="C1006" s="40" t="s">
        <v>1752</v>
      </c>
    </row>
    <row r="1007" spans="2:3" x14ac:dyDescent="0.25">
      <c r="B1007" s="46" t="s">
        <v>1755</v>
      </c>
      <c r="C1007" s="40" t="s">
        <v>1754</v>
      </c>
    </row>
    <row r="1008" spans="2:3" x14ac:dyDescent="0.25">
      <c r="B1008" s="46" t="s">
        <v>1757</v>
      </c>
      <c r="C1008" s="40" t="s">
        <v>1756</v>
      </c>
    </row>
    <row r="1009" spans="2:3" x14ac:dyDescent="0.25">
      <c r="B1009" s="46" t="s">
        <v>1759</v>
      </c>
      <c r="C1009" s="40" t="s">
        <v>1758</v>
      </c>
    </row>
    <row r="1010" spans="2:3" x14ac:dyDescent="0.25">
      <c r="B1010" s="46" t="s">
        <v>1761</v>
      </c>
      <c r="C1010" s="40" t="s">
        <v>1760</v>
      </c>
    </row>
    <row r="1011" spans="2:3" x14ac:dyDescent="0.25">
      <c r="B1011" s="46" t="s">
        <v>1763</v>
      </c>
      <c r="C1011" s="40" t="s">
        <v>1762</v>
      </c>
    </row>
    <row r="1012" spans="2:3" x14ac:dyDescent="0.25">
      <c r="B1012" s="46" t="s">
        <v>1765</v>
      </c>
      <c r="C1012" s="40" t="s">
        <v>1764</v>
      </c>
    </row>
    <row r="1013" spans="2:3" x14ac:dyDescent="0.25">
      <c r="B1013" s="46" t="s">
        <v>1767</v>
      </c>
      <c r="C1013" s="40" t="s">
        <v>1766</v>
      </c>
    </row>
    <row r="1014" spans="2:3" x14ac:dyDescent="0.25">
      <c r="B1014" s="46" t="s">
        <v>1769</v>
      </c>
      <c r="C1014" s="40" t="s">
        <v>1768</v>
      </c>
    </row>
    <row r="1015" spans="2:3" x14ac:dyDescent="0.25">
      <c r="B1015" s="46" t="s">
        <v>1771</v>
      </c>
      <c r="C1015" s="40" t="s">
        <v>1770</v>
      </c>
    </row>
    <row r="1016" spans="2:3" x14ac:dyDescent="0.25">
      <c r="B1016" s="46" t="s">
        <v>1773</v>
      </c>
      <c r="C1016" s="40" t="s">
        <v>1772</v>
      </c>
    </row>
    <row r="1017" spans="2:3" x14ac:dyDescent="0.25">
      <c r="B1017" s="46" t="s">
        <v>1775</v>
      </c>
      <c r="C1017" s="40" t="s">
        <v>1774</v>
      </c>
    </row>
    <row r="1018" spans="2:3" x14ac:dyDescent="0.25">
      <c r="B1018" s="46" t="s">
        <v>1777</v>
      </c>
      <c r="C1018" s="40" t="s">
        <v>1776</v>
      </c>
    </row>
    <row r="1019" spans="2:3" x14ac:dyDescent="0.25">
      <c r="B1019" s="46" t="s">
        <v>1779</v>
      </c>
      <c r="C1019" s="40" t="s">
        <v>1778</v>
      </c>
    </row>
    <row r="1020" spans="2:3" x14ac:dyDescent="0.25">
      <c r="B1020" s="46" t="s">
        <v>1781</v>
      </c>
      <c r="C1020" s="40" t="s">
        <v>1780</v>
      </c>
    </row>
    <row r="1021" spans="2:3" x14ac:dyDescent="0.25">
      <c r="B1021" s="46" t="s">
        <v>1783</v>
      </c>
      <c r="C1021" s="40" t="s">
        <v>1782</v>
      </c>
    </row>
    <row r="1022" spans="2:3" x14ac:dyDescent="0.25">
      <c r="B1022" s="46" t="s">
        <v>1785</v>
      </c>
      <c r="C1022" s="40" t="s">
        <v>1784</v>
      </c>
    </row>
    <row r="1023" spans="2:3" x14ac:dyDescent="0.25">
      <c r="B1023" s="46" t="s">
        <v>1787</v>
      </c>
      <c r="C1023" s="40" t="s">
        <v>1786</v>
      </c>
    </row>
    <row r="1024" spans="2:3" x14ac:dyDescent="0.25">
      <c r="B1024" s="46" t="s">
        <v>1789</v>
      </c>
      <c r="C1024" s="40" t="s">
        <v>1788</v>
      </c>
    </row>
    <row r="1025" spans="2:3" x14ac:dyDescent="0.25">
      <c r="B1025" s="46" t="s">
        <v>1791</v>
      </c>
      <c r="C1025" s="40" t="s">
        <v>1790</v>
      </c>
    </row>
    <row r="1026" spans="2:3" x14ac:dyDescent="0.25">
      <c r="B1026" s="46" t="s">
        <v>1793</v>
      </c>
      <c r="C1026" s="40" t="s">
        <v>1792</v>
      </c>
    </row>
    <row r="1027" spans="2:3" x14ac:dyDescent="0.25">
      <c r="B1027" s="46" t="s">
        <v>1795</v>
      </c>
      <c r="C1027" s="40" t="s">
        <v>1794</v>
      </c>
    </row>
    <row r="1028" spans="2:3" x14ac:dyDescent="0.25">
      <c r="B1028" s="46" t="s">
        <v>1797</v>
      </c>
      <c r="C1028" s="40" t="s">
        <v>1796</v>
      </c>
    </row>
    <row r="1029" spans="2:3" x14ac:dyDescent="0.25">
      <c r="B1029" s="46" t="s">
        <v>1799</v>
      </c>
      <c r="C1029" s="40" t="s">
        <v>1798</v>
      </c>
    </row>
    <row r="1030" spans="2:3" x14ac:dyDescent="0.25">
      <c r="B1030" s="46" t="s">
        <v>891</v>
      </c>
      <c r="C1030" s="40" t="s">
        <v>1800</v>
      </c>
    </row>
    <row r="1031" spans="2:3" x14ac:dyDescent="0.25">
      <c r="B1031" s="46" t="s">
        <v>1802</v>
      </c>
      <c r="C1031" s="40" t="s">
        <v>1801</v>
      </c>
    </row>
    <row r="1032" spans="2:3" x14ac:dyDescent="0.25">
      <c r="B1032" s="46" t="s">
        <v>1804</v>
      </c>
      <c r="C1032" s="40" t="s">
        <v>1803</v>
      </c>
    </row>
    <row r="1033" spans="2:3" x14ac:dyDescent="0.25">
      <c r="B1033" s="46" t="s">
        <v>1806</v>
      </c>
      <c r="C1033" s="40" t="s">
        <v>1805</v>
      </c>
    </row>
    <row r="1034" spans="2:3" x14ac:dyDescent="0.25">
      <c r="B1034" s="46" t="s">
        <v>1808</v>
      </c>
      <c r="C1034" s="40" t="s">
        <v>1807</v>
      </c>
    </row>
    <row r="1035" spans="2:3" x14ac:dyDescent="0.25">
      <c r="B1035" s="46" t="s">
        <v>1810</v>
      </c>
      <c r="C1035" s="40" t="s">
        <v>1809</v>
      </c>
    </row>
    <row r="1036" spans="2:3" x14ac:dyDescent="0.25">
      <c r="B1036" s="46" t="s">
        <v>1812</v>
      </c>
      <c r="C1036" s="40" t="s">
        <v>1811</v>
      </c>
    </row>
    <row r="1037" spans="2:3" x14ac:dyDescent="0.25">
      <c r="B1037" s="46" t="s">
        <v>1814</v>
      </c>
      <c r="C1037" s="40" t="s">
        <v>1813</v>
      </c>
    </row>
    <row r="1038" spans="2:3" x14ac:dyDescent="0.25">
      <c r="B1038" s="46" t="s">
        <v>1816</v>
      </c>
      <c r="C1038" s="40" t="s">
        <v>1815</v>
      </c>
    </row>
    <row r="1039" spans="2:3" x14ac:dyDescent="0.25">
      <c r="B1039" s="46" t="s">
        <v>1818</v>
      </c>
      <c r="C1039" s="40" t="s">
        <v>1817</v>
      </c>
    </row>
    <row r="1040" spans="2:3" x14ac:dyDescent="0.25">
      <c r="B1040" s="46" t="s">
        <v>1820</v>
      </c>
      <c r="C1040" s="40" t="s">
        <v>1819</v>
      </c>
    </row>
    <row r="1041" spans="2:3" x14ac:dyDescent="0.25">
      <c r="B1041" s="46" t="s">
        <v>909</v>
      </c>
      <c r="C1041" s="40" t="s">
        <v>1821</v>
      </c>
    </row>
    <row r="1042" spans="2:3" x14ac:dyDescent="0.25">
      <c r="B1042" s="46" t="s">
        <v>1823</v>
      </c>
      <c r="C1042" s="40" t="s">
        <v>1822</v>
      </c>
    </row>
    <row r="1043" spans="2:3" x14ac:dyDescent="0.25">
      <c r="B1043" s="46" t="s">
        <v>1825</v>
      </c>
      <c r="C1043" s="40" t="s">
        <v>1824</v>
      </c>
    </row>
    <row r="1044" spans="2:3" x14ac:dyDescent="0.25">
      <c r="B1044" s="46" t="s">
        <v>1827</v>
      </c>
      <c r="C1044" s="40" t="s">
        <v>1826</v>
      </c>
    </row>
    <row r="1045" spans="2:3" x14ac:dyDescent="0.25">
      <c r="B1045" s="46" t="s">
        <v>1829</v>
      </c>
      <c r="C1045" s="40" t="s">
        <v>1828</v>
      </c>
    </row>
    <row r="1046" spans="2:3" x14ac:dyDescent="0.25">
      <c r="B1046" s="46" t="s">
        <v>1831</v>
      </c>
      <c r="C1046" s="40" t="s">
        <v>1830</v>
      </c>
    </row>
    <row r="1047" spans="2:3" x14ac:dyDescent="0.25">
      <c r="B1047" s="46" t="s">
        <v>1833</v>
      </c>
      <c r="C1047" s="40" t="s">
        <v>1832</v>
      </c>
    </row>
    <row r="1048" spans="2:3" x14ac:dyDescent="0.25">
      <c r="B1048" s="46" t="s">
        <v>1835</v>
      </c>
      <c r="C1048" s="40" t="s">
        <v>1834</v>
      </c>
    </row>
    <row r="1049" spans="2:3" x14ac:dyDescent="0.25">
      <c r="B1049" s="46" t="s">
        <v>1837</v>
      </c>
      <c r="C1049" s="40" t="s">
        <v>1836</v>
      </c>
    </row>
    <row r="1050" spans="2:3" x14ac:dyDescent="0.25">
      <c r="B1050" s="46" t="s">
        <v>1839</v>
      </c>
      <c r="C1050" s="40" t="s">
        <v>1838</v>
      </c>
    </row>
    <row r="1051" spans="2:3" x14ac:dyDescent="0.25">
      <c r="B1051" s="46" t="s">
        <v>1841</v>
      </c>
      <c r="C1051" s="40" t="s">
        <v>1840</v>
      </c>
    </row>
    <row r="1052" spans="2:3" x14ac:dyDescent="0.25">
      <c r="B1052" s="46" t="s">
        <v>1843</v>
      </c>
      <c r="C1052" s="40" t="s">
        <v>1842</v>
      </c>
    </row>
    <row r="1053" spans="2:3" x14ac:dyDescent="0.25">
      <c r="B1053" s="46" t="s">
        <v>1845</v>
      </c>
      <c r="C1053" s="40" t="s">
        <v>1844</v>
      </c>
    </row>
    <row r="1054" spans="2:3" x14ac:dyDescent="0.25">
      <c r="B1054" s="46" t="s">
        <v>1847</v>
      </c>
      <c r="C1054" s="40" t="s">
        <v>1846</v>
      </c>
    </row>
    <row r="1055" spans="2:3" x14ac:dyDescent="0.25">
      <c r="B1055" s="46" t="s">
        <v>1849</v>
      </c>
      <c r="C1055" s="40" t="s">
        <v>1848</v>
      </c>
    </row>
    <row r="1056" spans="2:3" x14ac:dyDescent="0.25">
      <c r="B1056" s="46" t="s">
        <v>1851</v>
      </c>
      <c r="C1056" s="40" t="s">
        <v>1850</v>
      </c>
    </row>
    <row r="1057" spans="2:3" x14ac:dyDescent="0.25">
      <c r="B1057" s="46" t="s">
        <v>1853</v>
      </c>
      <c r="C1057" s="40" t="s">
        <v>1852</v>
      </c>
    </row>
    <row r="1058" spans="2:3" x14ac:dyDescent="0.25">
      <c r="B1058" s="46" t="s">
        <v>1855</v>
      </c>
      <c r="C1058" s="40" t="s">
        <v>1854</v>
      </c>
    </row>
    <row r="1059" spans="2:3" x14ac:dyDescent="0.25">
      <c r="B1059" s="46" t="s">
        <v>1857</v>
      </c>
      <c r="C1059" s="40" t="s">
        <v>1856</v>
      </c>
    </row>
    <row r="1060" spans="2:3" x14ac:dyDescent="0.25">
      <c r="B1060" s="46" t="s">
        <v>1859</v>
      </c>
      <c r="C1060" s="40" t="s">
        <v>1858</v>
      </c>
    </row>
    <row r="1061" spans="2:3" x14ac:dyDescent="0.25">
      <c r="B1061" s="46" t="s">
        <v>1861</v>
      </c>
      <c r="C1061" s="40" t="s">
        <v>1860</v>
      </c>
    </row>
    <row r="1062" spans="2:3" x14ac:dyDescent="0.25">
      <c r="B1062" s="46" t="s">
        <v>1863</v>
      </c>
      <c r="C1062" s="40" t="s">
        <v>1862</v>
      </c>
    </row>
    <row r="1063" spans="2:3" x14ac:dyDescent="0.25">
      <c r="B1063" s="46" t="s">
        <v>1865</v>
      </c>
      <c r="C1063" s="40" t="s">
        <v>1864</v>
      </c>
    </row>
    <row r="1064" spans="2:3" x14ac:dyDescent="0.25">
      <c r="B1064" s="46" t="s">
        <v>1867</v>
      </c>
      <c r="C1064" s="40" t="s">
        <v>1866</v>
      </c>
    </row>
    <row r="1065" spans="2:3" x14ac:dyDescent="0.25">
      <c r="B1065" s="46" t="s">
        <v>1869</v>
      </c>
      <c r="C1065" s="40" t="s">
        <v>1868</v>
      </c>
    </row>
    <row r="1066" spans="2:3" x14ac:dyDescent="0.25">
      <c r="B1066" s="46" t="s">
        <v>1871</v>
      </c>
      <c r="C1066" s="40" t="s">
        <v>1870</v>
      </c>
    </row>
    <row r="1067" spans="2:3" x14ac:dyDescent="0.25">
      <c r="B1067" s="46" t="s">
        <v>1873</v>
      </c>
      <c r="C1067" s="40" t="s">
        <v>1872</v>
      </c>
    </row>
    <row r="1068" spans="2:3" x14ac:dyDescent="0.25">
      <c r="B1068" s="46" t="s">
        <v>1875</v>
      </c>
      <c r="C1068" s="40" t="s">
        <v>1874</v>
      </c>
    </row>
    <row r="1069" spans="2:3" x14ac:dyDescent="0.25">
      <c r="B1069" s="46" t="s">
        <v>1877</v>
      </c>
      <c r="C1069" s="40" t="s">
        <v>1876</v>
      </c>
    </row>
    <row r="1070" spans="2:3" x14ac:dyDescent="0.25">
      <c r="B1070" s="46" t="s">
        <v>1879</v>
      </c>
      <c r="C1070" s="40" t="s">
        <v>1878</v>
      </c>
    </row>
    <row r="1071" spans="2:3" x14ac:dyDescent="0.25">
      <c r="B1071" s="46" t="s">
        <v>1881</v>
      </c>
      <c r="C1071" s="40" t="s">
        <v>1880</v>
      </c>
    </row>
    <row r="1072" spans="2:3" x14ac:dyDescent="0.25">
      <c r="B1072" s="46" t="s">
        <v>1883</v>
      </c>
      <c r="C1072" s="40" t="s">
        <v>1882</v>
      </c>
    </row>
    <row r="1073" spans="2:3" x14ac:dyDescent="0.25">
      <c r="B1073" s="46" t="s">
        <v>1883</v>
      </c>
      <c r="C1073" s="40" t="s">
        <v>1884</v>
      </c>
    </row>
    <row r="1074" spans="2:3" x14ac:dyDescent="0.25">
      <c r="B1074" s="46" t="s">
        <v>1886</v>
      </c>
      <c r="C1074" s="40" t="s">
        <v>1885</v>
      </c>
    </row>
    <row r="1075" spans="2:3" x14ac:dyDescent="0.25">
      <c r="B1075" s="46" t="s">
        <v>1888</v>
      </c>
      <c r="C1075" s="40" t="s">
        <v>1887</v>
      </c>
    </row>
    <row r="1076" spans="2:3" x14ac:dyDescent="0.25">
      <c r="B1076" s="46" t="s">
        <v>1890</v>
      </c>
      <c r="C1076" s="40" t="s">
        <v>1889</v>
      </c>
    </row>
    <row r="1077" spans="2:3" x14ac:dyDescent="0.25">
      <c r="B1077" s="46" t="s">
        <v>1892</v>
      </c>
      <c r="C1077" s="40" t="s">
        <v>1891</v>
      </c>
    </row>
    <row r="1078" spans="2:3" x14ac:dyDescent="0.25">
      <c r="B1078" s="46" t="s">
        <v>1894</v>
      </c>
      <c r="C1078" s="40" t="s">
        <v>1893</v>
      </c>
    </row>
    <row r="1079" spans="2:3" x14ac:dyDescent="0.25">
      <c r="B1079" s="46" t="s">
        <v>1896</v>
      </c>
      <c r="C1079" s="40" t="s">
        <v>1895</v>
      </c>
    </row>
    <row r="1080" spans="2:3" x14ac:dyDescent="0.25">
      <c r="B1080" s="46" t="s">
        <v>1898</v>
      </c>
      <c r="C1080" s="40" t="s">
        <v>1897</v>
      </c>
    </row>
    <row r="1081" spans="2:3" x14ac:dyDescent="0.25">
      <c r="B1081" s="46" t="s">
        <v>1900</v>
      </c>
      <c r="C1081" s="40" t="s">
        <v>1899</v>
      </c>
    </row>
    <row r="1082" spans="2:3" x14ac:dyDescent="0.25">
      <c r="B1082" s="46" t="s">
        <v>1902</v>
      </c>
      <c r="C1082" s="40" t="s">
        <v>1901</v>
      </c>
    </row>
    <row r="1083" spans="2:3" x14ac:dyDescent="0.25">
      <c r="B1083" s="46" t="s">
        <v>1904</v>
      </c>
      <c r="C1083" s="40" t="s">
        <v>1903</v>
      </c>
    </row>
    <row r="1084" spans="2:3" x14ac:dyDescent="0.25">
      <c r="B1084" s="46" t="s">
        <v>1906</v>
      </c>
      <c r="C1084" s="40" t="s">
        <v>1905</v>
      </c>
    </row>
    <row r="1085" spans="2:3" x14ac:dyDescent="0.25">
      <c r="B1085" s="46" t="s">
        <v>1908</v>
      </c>
      <c r="C1085" s="40" t="s">
        <v>1907</v>
      </c>
    </row>
    <row r="1086" spans="2:3" x14ac:dyDescent="0.25">
      <c r="B1086" s="46" t="s">
        <v>1910</v>
      </c>
      <c r="C1086" s="40" t="s">
        <v>1909</v>
      </c>
    </row>
    <row r="1087" spans="2:3" x14ac:dyDescent="0.25">
      <c r="B1087" s="46" t="s">
        <v>1910</v>
      </c>
      <c r="C1087" s="40" t="s">
        <v>1911</v>
      </c>
    </row>
    <row r="1088" spans="2:3" x14ac:dyDescent="0.25">
      <c r="B1088" s="46" t="s">
        <v>1913</v>
      </c>
      <c r="C1088" s="40" t="s">
        <v>1912</v>
      </c>
    </row>
    <row r="1089" spans="2:3" x14ac:dyDescent="0.25">
      <c r="B1089" s="46" t="s">
        <v>1915</v>
      </c>
      <c r="C1089" s="40" t="s">
        <v>1914</v>
      </c>
    </row>
    <row r="1090" spans="2:3" x14ac:dyDescent="0.25">
      <c r="B1090" s="46" t="s">
        <v>1917</v>
      </c>
      <c r="C1090" s="40" t="s">
        <v>1916</v>
      </c>
    </row>
    <row r="1091" spans="2:3" x14ac:dyDescent="0.25">
      <c r="B1091" s="46" t="s">
        <v>1917</v>
      </c>
      <c r="C1091" s="40" t="s">
        <v>1918</v>
      </c>
    </row>
    <row r="1092" spans="2:3" x14ac:dyDescent="0.25">
      <c r="B1092" s="46" t="s">
        <v>1917</v>
      </c>
      <c r="C1092" s="40" t="s">
        <v>1919</v>
      </c>
    </row>
    <row r="1093" spans="2:3" x14ac:dyDescent="0.25">
      <c r="B1093" s="46" t="s">
        <v>1921</v>
      </c>
      <c r="C1093" s="40" t="s">
        <v>1920</v>
      </c>
    </row>
    <row r="1094" spans="2:3" x14ac:dyDescent="0.25">
      <c r="B1094" s="46" t="s">
        <v>1923</v>
      </c>
      <c r="C1094" s="40" t="s">
        <v>1922</v>
      </c>
    </row>
    <row r="1095" spans="2:3" x14ac:dyDescent="0.25">
      <c r="B1095" s="46" t="s">
        <v>1925</v>
      </c>
      <c r="C1095" s="40" t="s">
        <v>1924</v>
      </c>
    </row>
    <row r="1096" spans="2:3" x14ac:dyDescent="0.25">
      <c r="B1096" s="46" t="s">
        <v>1927</v>
      </c>
      <c r="C1096" s="40" t="s">
        <v>1926</v>
      </c>
    </row>
    <row r="1097" spans="2:3" x14ac:dyDescent="0.25">
      <c r="B1097" s="46" t="s">
        <v>1929</v>
      </c>
      <c r="C1097" s="40" t="s">
        <v>1928</v>
      </c>
    </row>
    <row r="1098" spans="2:3" x14ac:dyDescent="0.25">
      <c r="B1098" s="46" t="s">
        <v>1931</v>
      </c>
      <c r="C1098" s="40" t="s">
        <v>1930</v>
      </c>
    </row>
    <row r="1099" spans="2:3" x14ac:dyDescent="0.25">
      <c r="B1099" s="46" t="s">
        <v>1933</v>
      </c>
      <c r="C1099" s="40" t="s">
        <v>1932</v>
      </c>
    </row>
    <row r="1100" spans="2:3" x14ac:dyDescent="0.25">
      <c r="B1100" s="46" t="s">
        <v>1935</v>
      </c>
      <c r="C1100" s="40" t="s">
        <v>1934</v>
      </c>
    </row>
    <row r="1101" spans="2:3" x14ac:dyDescent="0.25">
      <c r="B1101" s="46" t="s">
        <v>1937</v>
      </c>
      <c r="C1101" s="40" t="s">
        <v>1936</v>
      </c>
    </row>
    <row r="1102" spans="2:3" x14ac:dyDescent="0.25">
      <c r="B1102" s="46" t="s">
        <v>1939</v>
      </c>
      <c r="C1102" s="40" t="s">
        <v>1938</v>
      </c>
    </row>
    <row r="1103" spans="2:3" x14ac:dyDescent="0.25">
      <c r="B1103" s="46" t="s">
        <v>1941</v>
      </c>
      <c r="C1103" s="40" t="s">
        <v>1940</v>
      </c>
    </row>
    <row r="1104" spans="2:3" x14ac:dyDescent="0.25">
      <c r="B1104" s="46" t="s">
        <v>1943</v>
      </c>
      <c r="C1104" s="40" t="s">
        <v>1942</v>
      </c>
    </row>
    <row r="1105" spans="2:3" x14ac:dyDescent="0.25">
      <c r="B1105" s="46" t="s">
        <v>1945</v>
      </c>
      <c r="C1105" s="40" t="s">
        <v>1944</v>
      </c>
    </row>
    <row r="1106" spans="2:3" x14ac:dyDescent="0.25">
      <c r="B1106" s="46" t="s">
        <v>1947</v>
      </c>
      <c r="C1106" s="40" t="s">
        <v>1946</v>
      </c>
    </row>
    <row r="1107" spans="2:3" x14ac:dyDescent="0.25">
      <c r="B1107" s="46" t="s">
        <v>1949</v>
      </c>
      <c r="C1107" s="40" t="s">
        <v>1948</v>
      </c>
    </row>
    <row r="1108" spans="2:3" x14ac:dyDescent="0.25">
      <c r="B1108" s="46" t="s">
        <v>1951</v>
      </c>
      <c r="C1108" s="40" t="s">
        <v>1950</v>
      </c>
    </row>
    <row r="1109" spans="2:3" x14ac:dyDescent="0.25">
      <c r="B1109" s="46" t="s">
        <v>1953</v>
      </c>
      <c r="C1109" s="40" t="s">
        <v>1952</v>
      </c>
    </row>
    <row r="1110" spans="2:3" x14ac:dyDescent="0.25">
      <c r="B1110" s="46" t="s">
        <v>1955</v>
      </c>
      <c r="C1110" s="40" t="s">
        <v>1954</v>
      </c>
    </row>
    <row r="1111" spans="2:3" x14ac:dyDescent="0.25">
      <c r="B1111" s="46" t="s">
        <v>1957</v>
      </c>
      <c r="C1111" s="40" t="s">
        <v>1956</v>
      </c>
    </row>
    <row r="1112" spans="2:3" x14ac:dyDescent="0.25">
      <c r="B1112" s="46" t="s">
        <v>1959</v>
      </c>
      <c r="C1112" s="40" t="s">
        <v>1958</v>
      </c>
    </row>
    <row r="1113" spans="2:3" x14ac:dyDescent="0.25">
      <c r="B1113" s="46" t="s">
        <v>1961</v>
      </c>
      <c r="C1113" s="40" t="s">
        <v>1960</v>
      </c>
    </row>
    <row r="1114" spans="2:3" x14ac:dyDescent="0.25">
      <c r="B1114" s="46" t="s">
        <v>1963</v>
      </c>
      <c r="C1114" s="40" t="s">
        <v>1962</v>
      </c>
    </row>
    <row r="1115" spans="2:3" x14ac:dyDescent="0.25">
      <c r="B1115" s="46" t="s">
        <v>1965</v>
      </c>
      <c r="C1115" s="40" t="s">
        <v>1964</v>
      </c>
    </row>
    <row r="1116" spans="2:3" x14ac:dyDescent="0.25">
      <c r="B1116" s="46" t="s">
        <v>1967</v>
      </c>
      <c r="C1116" s="40" t="s">
        <v>1966</v>
      </c>
    </row>
    <row r="1117" spans="2:3" x14ac:dyDescent="0.25">
      <c r="B1117" s="46" t="s">
        <v>1969</v>
      </c>
      <c r="C1117" s="40" t="s">
        <v>1968</v>
      </c>
    </row>
    <row r="1118" spans="2:3" x14ac:dyDescent="0.25">
      <c r="B1118" s="46" t="s">
        <v>1971</v>
      </c>
      <c r="C1118" s="40" t="s">
        <v>1970</v>
      </c>
    </row>
    <row r="1119" spans="2:3" x14ac:dyDescent="0.25">
      <c r="B1119" s="46" t="s">
        <v>1973</v>
      </c>
      <c r="C1119" s="40" t="s">
        <v>1972</v>
      </c>
    </row>
    <row r="1120" spans="2:3" x14ac:dyDescent="0.25">
      <c r="B1120" s="46" t="s">
        <v>1975</v>
      </c>
      <c r="C1120" s="40" t="s">
        <v>1974</v>
      </c>
    </row>
    <row r="1121" spans="2:3" x14ac:dyDescent="0.25">
      <c r="B1121" s="46" t="s">
        <v>1977</v>
      </c>
      <c r="C1121" s="40" t="s">
        <v>1976</v>
      </c>
    </row>
    <row r="1122" spans="2:3" x14ac:dyDescent="0.25">
      <c r="B1122" s="46" t="s">
        <v>1979</v>
      </c>
      <c r="C1122" s="40" t="s">
        <v>1978</v>
      </c>
    </row>
    <row r="1123" spans="2:3" x14ac:dyDescent="0.25">
      <c r="B1123" s="46" t="s">
        <v>1981</v>
      </c>
      <c r="C1123" s="40" t="s">
        <v>1980</v>
      </c>
    </row>
    <row r="1124" spans="2:3" x14ac:dyDescent="0.25">
      <c r="B1124" s="46" t="s">
        <v>1983</v>
      </c>
      <c r="C1124" s="40" t="s">
        <v>1982</v>
      </c>
    </row>
    <row r="1125" spans="2:3" x14ac:dyDescent="0.25">
      <c r="B1125" s="46" t="s">
        <v>1985</v>
      </c>
      <c r="C1125" s="40" t="s">
        <v>1984</v>
      </c>
    </row>
    <row r="1126" spans="2:3" x14ac:dyDescent="0.25">
      <c r="B1126" s="46" t="s">
        <v>1987</v>
      </c>
      <c r="C1126" s="40" t="s">
        <v>1986</v>
      </c>
    </row>
    <row r="1127" spans="2:3" x14ac:dyDescent="0.25">
      <c r="B1127" s="46" t="s">
        <v>1989</v>
      </c>
      <c r="C1127" s="40" t="s">
        <v>1988</v>
      </c>
    </row>
    <row r="1128" spans="2:3" x14ac:dyDescent="0.25">
      <c r="B1128" s="46" t="s">
        <v>1991</v>
      </c>
      <c r="C1128" s="40" t="s">
        <v>1990</v>
      </c>
    </row>
    <row r="1129" spans="2:3" x14ac:dyDescent="0.25">
      <c r="B1129" s="46" t="s">
        <v>1993</v>
      </c>
      <c r="C1129" s="40" t="s">
        <v>1992</v>
      </c>
    </row>
    <row r="1130" spans="2:3" x14ac:dyDescent="0.25">
      <c r="B1130" s="46" t="s">
        <v>1995</v>
      </c>
      <c r="C1130" s="40" t="s">
        <v>1994</v>
      </c>
    </row>
    <row r="1131" spans="2:3" x14ac:dyDescent="0.25">
      <c r="B1131" s="46" t="s">
        <v>1997</v>
      </c>
      <c r="C1131" s="40" t="s">
        <v>1996</v>
      </c>
    </row>
    <row r="1132" spans="2:3" x14ac:dyDescent="0.25">
      <c r="B1132" s="46" t="s">
        <v>1999</v>
      </c>
      <c r="C1132" s="40" t="s">
        <v>1998</v>
      </c>
    </row>
    <row r="1133" spans="2:3" x14ac:dyDescent="0.25">
      <c r="B1133" s="46" t="s">
        <v>2001</v>
      </c>
      <c r="C1133" s="40" t="s">
        <v>2000</v>
      </c>
    </row>
    <row r="1134" spans="2:3" x14ac:dyDescent="0.25">
      <c r="B1134" s="46" t="s">
        <v>2003</v>
      </c>
      <c r="C1134" s="40" t="s">
        <v>2002</v>
      </c>
    </row>
    <row r="1135" spans="2:3" x14ac:dyDescent="0.25">
      <c r="B1135" s="46" t="s">
        <v>2005</v>
      </c>
      <c r="C1135" s="40" t="s">
        <v>2004</v>
      </c>
    </row>
    <row r="1136" spans="2:3" x14ac:dyDescent="0.25">
      <c r="B1136" s="46" t="s">
        <v>2007</v>
      </c>
      <c r="C1136" s="40" t="s">
        <v>2006</v>
      </c>
    </row>
    <row r="1137" spans="2:3" x14ac:dyDescent="0.25">
      <c r="B1137" s="46" t="s">
        <v>2009</v>
      </c>
      <c r="C1137" s="40" t="s">
        <v>2008</v>
      </c>
    </row>
    <row r="1138" spans="2:3" x14ac:dyDescent="0.25">
      <c r="B1138" s="46" t="s">
        <v>2011</v>
      </c>
      <c r="C1138" s="40" t="s">
        <v>2010</v>
      </c>
    </row>
    <row r="1139" spans="2:3" x14ac:dyDescent="0.25">
      <c r="B1139" s="46" t="s">
        <v>2013</v>
      </c>
      <c r="C1139" s="40" t="s">
        <v>2012</v>
      </c>
    </row>
    <row r="1140" spans="2:3" x14ac:dyDescent="0.25">
      <c r="B1140" s="46" t="s">
        <v>2015</v>
      </c>
      <c r="C1140" s="40" t="s">
        <v>2014</v>
      </c>
    </row>
    <row r="1141" spans="2:3" x14ac:dyDescent="0.25">
      <c r="B1141" s="46" t="s">
        <v>2017</v>
      </c>
      <c r="C1141" s="40" t="s">
        <v>2016</v>
      </c>
    </row>
    <row r="1142" spans="2:3" x14ac:dyDescent="0.25">
      <c r="B1142" s="46" t="s">
        <v>2019</v>
      </c>
      <c r="C1142" s="40" t="s">
        <v>2018</v>
      </c>
    </row>
    <row r="1143" spans="2:3" x14ac:dyDescent="0.25">
      <c r="B1143" s="46" t="s">
        <v>2021</v>
      </c>
      <c r="C1143" s="40" t="s">
        <v>2020</v>
      </c>
    </row>
    <row r="1144" spans="2:3" x14ac:dyDescent="0.25">
      <c r="B1144" s="46" t="s">
        <v>2023</v>
      </c>
      <c r="C1144" s="40" t="s">
        <v>2022</v>
      </c>
    </row>
    <row r="1145" spans="2:3" x14ac:dyDescent="0.25">
      <c r="B1145" s="46" t="s">
        <v>2025</v>
      </c>
      <c r="C1145" s="40" t="s">
        <v>2024</v>
      </c>
    </row>
    <row r="1146" spans="2:3" x14ac:dyDescent="0.25">
      <c r="B1146" s="46" t="s">
        <v>2027</v>
      </c>
      <c r="C1146" s="40" t="s">
        <v>2026</v>
      </c>
    </row>
    <row r="1147" spans="2:3" x14ac:dyDescent="0.25">
      <c r="B1147" s="46" t="s">
        <v>2029</v>
      </c>
      <c r="C1147" s="40" t="s">
        <v>2028</v>
      </c>
    </row>
    <row r="1148" spans="2:3" x14ac:dyDescent="0.25">
      <c r="B1148" s="46" t="s">
        <v>2031</v>
      </c>
      <c r="C1148" s="40" t="s">
        <v>2030</v>
      </c>
    </row>
    <row r="1149" spans="2:3" x14ac:dyDescent="0.25">
      <c r="B1149" s="46" t="s">
        <v>2033</v>
      </c>
      <c r="C1149" s="40" t="s">
        <v>2032</v>
      </c>
    </row>
    <row r="1150" spans="2:3" x14ac:dyDescent="0.25">
      <c r="B1150" s="46" t="s">
        <v>2035</v>
      </c>
      <c r="C1150" s="40" t="s">
        <v>2034</v>
      </c>
    </row>
    <row r="1151" spans="2:3" x14ac:dyDescent="0.25">
      <c r="B1151" s="46" t="s">
        <v>2037</v>
      </c>
      <c r="C1151" s="40" t="s">
        <v>2036</v>
      </c>
    </row>
    <row r="1152" spans="2:3" x14ac:dyDescent="0.25">
      <c r="B1152" s="46" t="s">
        <v>2039</v>
      </c>
      <c r="C1152" s="40" t="s">
        <v>2038</v>
      </c>
    </row>
    <row r="1153" spans="2:3" x14ac:dyDescent="0.25">
      <c r="B1153" s="46" t="s">
        <v>2041</v>
      </c>
      <c r="C1153" s="40" t="s">
        <v>2040</v>
      </c>
    </row>
    <row r="1154" spans="2:3" x14ac:dyDescent="0.25">
      <c r="B1154" s="46" t="s">
        <v>2043</v>
      </c>
      <c r="C1154" s="40" t="s">
        <v>2042</v>
      </c>
    </row>
    <row r="1155" spans="2:3" x14ac:dyDescent="0.25">
      <c r="B1155" s="46" t="s">
        <v>2045</v>
      </c>
      <c r="C1155" s="40" t="s">
        <v>2044</v>
      </c>
    </row>
    <row r="1156" spans="2:3" x14ac:dyDescent="0.25">
      <c r="B1156" s="46" t="s">
        <v>2047</v>
      </c>
      <c r="C1156" s="40" t="s">
        <v>2046</v>
      </c>
    </row>
    <row r="1157" spans="2:3" x14ac:dyDescent="0.25">
      <c r="B1157" s="46" t="s">
        <v>2049</v>
      </c>
      <c r="C1157" s="40" t="s">
        <v>2048</v>
      </c>
    </row>
    <row r="1158" spans="2:3" x14ac:dyDescent="0.25">
      <c r="B1158" s="46" t="s">
        <v>2051</v>
      </c>
      <c r="C1158" s="40" t="s">
        <v>2050</v>
      </c>
    </row>
    <row r="1159" spans="2:3" x14ac:dyDescent="0.25">
      <c r="B1159" s="46" t="s">
        <v>2053</v>
      </c>
      <c r="C1159" s="40" t="s">
        <v>2052</v>
      </c>
    </row>
    <row r="1160" spans="2:3" x14ac:dyDescent="0.25">
      <c r="B1160" s="46" t="s">
        <v>2055</v>
      </c>
      <c r="C1160" s="40" t="s">
        <v>2054</v>
      </c>
    </row>
    <row r="1161" spans="2:3" x14ac:dyDescent="0.25">
      <c r="B1161" s="46" t="s">
        <v>2057</v>
      </c>
      <c r="C1161" s="40" t="s">
        <v>2056</v>
      </c>
    </row>
    <row r="1162" spans="2:3" x14ac:dyDescent="0.25">
      <c r="B1162" s="46" t="s">
        <v>2059</v>
      </c>
      <c r="C1162" s="40" t="s">
        <v>2058</v>
      </c>
    </row>
    <row r="1163" spans="2:3" x14ac:dyDescent="0.25">
      <c r="B1163" s="46" t="s">
        <v>2061</v>
      </c>
      <c r="C1163" s="40" t="s">
        <v>2060</v>
      </c>
    </row>
    <row r="1164" spans="2:3" x14ac:dyDescent="0.25">
      <c r="B1164" s="46" t="s">
        <v>2063</v>
      </c>
      <c r="C1164" s="40" t="s">
        <v>2062</v>
      </c>
    </row>
    <row r="1165" spans="2:3" x14ac:dyDescent="0.25">
      <c r="B1165" s="46" t="s">
        <v>2065</v>
      </c>
      <c r="C1165" s="40" t="s">
        <v>2064</v>
      </c>
    </row>
    <row r="1166" spans="2:3" x14ac:dyDescent="0.25">
      <c r="B1166" s="46" t="s">
        <v>2067</v>
      </c>
      <c r="C1166" s="40" t="s">
        <v>2066</v>
      </c>
    </row>
    <row r="1167" spans="2:3" x14ac:dyDescent="0.25">
      <c r="B1167" s="46" t="s">
        <v>2069</v>
      </c>
      <c r="C1167" s="40" t="s">
        <v>2068</v>
      </c>
    </row>
    <row r="1168" spans="2:3" x14ac:dyDescent="0.25">
      <c r="B1168" s="46" t="s">
        <v>2070</v>
      </c>
      <c r="C1168" s="40" t="s">
        <v>1383</v>
      </c>
    </row>
    <row r="1169" spans="2:3" x14ac:dyDescent="0.25">
      <c r="B1169" s="46" t="s">
        <v>2072</v>
      </c>
      <c r="C1169" s="40" t="s">
        <v>2071</v>
      </c>
    </row>
    <row r="1170" spans="2:3" x14ac:dyDescent="0.25">
      <c r="B1170" s="46" t="s">
        <v>2074</v>
      </c>
      <c r="C1170" s="40" t="s">
        <v>2073</v>
      </c>
    </row>
    <row r="1171" spans="2:3" x14ac:dyDescent="0.25">
      <c r="B1171" s="46" t="s">
        <v>2076</v>
      </c>
      <c r="C1171" s="40" t="s">
        <v>2075</v>
      </c>
    </row>
    <row r="1172" spans="2:3" x14ac:dyDescent="0.25">
      <c r="B1172" s="46" t="s">
        <v>2078</v>
      </c>
      <c r="C1172" s="40" t="s">
        <v>2077</v>
      </c>
    </row>
    <row r="1173" spans="2:3" x14ac:dyDescent="0.25">
      <c r="B1173" s="46" t="s">
        <v>2080</v>
      </c>
      <c r="C1173" s="40" t="s">
        <v>2079</v>
      </c>
    </row>
    <row r="1174" spans="2:3" x14ac:dyDescent="0.25">
      <c r="B1174" s="46" t="s">
        <v>2082</v>
      </c>
      <c r="C1174" s="40" t="s">
        <v>2081</v>
      </c>
    </row>
    <row r="1175" spans="2:3" x14ac:dyDescent="0.25">
      <c r="B1175" s="46" t="s">
        <v>2084</v>
      </c>
      <c r="C1175" s="40" t="s">
        <v>2083</v>
      </c>
    </row>
    <row r="1176" spans="2:3" x14ac:dyDescent="0.25">
      <c r="B1176" s="46" t="s">
        <v>2086</v>
      </c>
      <c r="C1176" s="40" t="s">
        <v>2085</v>
      </c>
    </row>
    <row r="1177" spans="2:3" x14ac:dyDescent="0.25">
      <c r="B1177" s="46" t="s">
        <v>2088</v>
      </c>
      <c r="C1177" s="40" t="s">
        <v>2087</v>
      </c>
    </row>
    <row r="1178" spans="2:3" x14ac:dyDescent="0.25">
      <c r="B1178" s="46" t="s">
        <v>2090</v>
      </c>
      <c r="C1178" s="40" t="s">
        <v>2089</v>
      </c>
    </row>
    <row r="1179" spans="2:3" x14ac:dyDescent="0.25">
      <c r="B1179" s="46" t="s">
        <v>2092</v>
      </c>
      <c r="C1179" s="40" t="s">
        <v>2091</v>
      </c>
    </row>
    <row r="1180" spans="2:3" x14ac:dyDescent="0.25">
      <c r="B1180" s="46" t="s">
        <v>2094</v>
      </c>
      <c r="C1180" s="40" t="s">
        <v>2093</v>
      </c>
    </row>
    <row r="1181" spans="2:3" x14ac:dyDescent="0.25">
      <c r="B1181" s="46" t="s">
        <v>2096</v>
      </c>
      <c r="C1181" s="40" t="s">
        <v>2095</v>
      </c>
    </row>
    <row r="1182" spans="2:3" x14ac:dyDescent="0.25">
      <c r="B1182" s="46" t="s">
        <v>2098</v>
      </c>
      <c r="C1182" s="40" t="s">
        <v>2097</v>
      </c>
    </row>
    <row r="1183" spans="2:3" x14ac:dyDescent="0.25">
      <c r="B1183" s="46" t="s">
        <v>2100</v>
      </c>
      <c r="C1183" s="40" t="s">
        <v>2099</v>
      </c>
    </row>
    <row r="1184" spans="2:3" x14ac:dyDescent="0.25">
      <c r="B1184" s="46" t="s">
        <v>2102</v>
      </c>
      <c r="C1184" s="40" t="s">
        <v>2101</v>
      </c>
    </row>
    <row r="1185" spans="2:3" x14ac:dyDescent="0.25">
      <c r="B1185" s="46" t="s">
        <v>2104</v>
      </c>
      <c r="C1185" s="40" t="s">
        <v>2103</v>
      </c>
    </row>
    <row r="1186" spans="2:3" x14ac:dyDescent="0.25">
      <c r="B1186" s="46" t="s">
        <v>2106</v>
      </c>
      <c r="C1186" s="40" t="s">
        <v>2105</v>
      </c>
    </row>
    <row r="1187" spans="2:3" x14ac:dyDescent="0.25">
      <c r="B1187" s="46" t="s">
        <v>2108</v>
      </c>
      <c r="C1187" s="40" t="s">
        <v>2107</v>
      </c>
    </row>
    <row r="1188" spans="2:3" x14ac:dyDescent="0.25">
      <c r="B1188" s="46" t="s">
        <v>2110</v>
      </c>
      <c r="C1188" s="40" t="s">
        <v>2109</v>
      </c>
    </row>
    <row r="1189" spans="2:3" x14ac:dyDescent="0.25">
      <c r="B1189" s="46" t="s">
        <v>2112</v>
      </c>
      <c r="C1189" s="40" t="s">
        <v>2111</v>
      </c>
    </row>
    <row r="1190" spans="2:3" x14ac:dyDescent="0.25">
      <c r="B1190" s="46" t="s">
        <v>2114</v>
      </c>
      <c r="C1190" s="40" t="s">
        <v>2113</v>
      </c>
    </row>
    <row r="1191" spans="2:3" x14ac:dyDescent="0.25">
      <c r="B1191" s="46" t="s">
        <v>2116</v>
      </c>
      <c r="C1191" s="40" t="s">
        <v>2115</v>
      </c>
    </row>
    <row r="1192" spans="2:3" x14ac:dyDescent="0.25">
      <c r="B1192" s="46" t="s">
        <v>2118</v>
      </c>
      <c r="C1192" s="40" t="s">
        <v>2117</v>
      </c>
    </row>
    <row r="1193" spans="2:3" x14ac:dyDescent="0.25">
      <c r="B1193" s="46" t="s">
        <v>2120</v>
      </c>
      <c r="C1193" s="40" t="s">
        <v>2119</v>
      </c>
    </row>
    <row r="1194" spans="2:3" x14ac:dyDescent="0.25">
      <c r="B1194" s="46" t="s">
        <v>2122</v>
      </c>
      <c r="C1194" s="40" t="s">
        <v>2121</v>
      </c>
    </row>
    <row r="1195" spans="2:3" x14ac:dyDescent="0.25">
      <c r="B1195" s="46" t="s">
        <v>2124</v>
      </c>
      <c r="C1195" s="40" t="s">
        <v>2123</v>
      </c>
    </row>
    <row r="1196" spans="2:3" x14ac:dyDescent="0.25">
      <c r="B1196" s="46" t="s">
        <v>2126</v>
      </c>
      <c r="C1196" s="40" t="s">
        <v>2125</v>
      </c>
    </row>
    <row r="1197" spans="2:3" x14ac:dyDescent="0.25">
      <c r="B1197" s="46" t="s">
        <v>2128</v>
      </c>
      <c r="C1197" s="40" t="s">
        <v>2127</v>
      </c>
    </row>
    <row r="1198" spans="2:3" x14ac:dyDescent="0.25">
      <c r="B1198" s="46" t="s">
        <v>2130</v>
      </c>
      <c r="C1198" s="40" t="s">
        <v>2129</v>
      </c>
    </row>
    <row r="1199" spans="2:3" x14ac:dyDescent="0.25">
      <c r="B1199" s="46" t="s">
        <v>2132</v>
      </c>
      <c r="C1199" s="40" t="s">
        <v>2131</v>
      </c>
    </row>
    <row r="1200" spans="2:3" x14ac:dyDescent="0.25">
      <c r="B1200" s="46" t="s">
        <v>2134</v>
      </c>
      <c r="C1200" s="40" t="s">
        <v>2133</v>
      </c>
    </row>
    <row r="1201" spans="2:3" x14ac:dyDescent="0.25">
      <c r="B1201" s="46" t="s">
        <v>2136</v>
      </c>
      <c r="C1201" s="40" t="s">
        <v>2135</v>
      </c>
    </row>
    <row r="1202" spans="2:3" x14ac:dyDescent="0.25">
      <c r="B1202" s="46" t="s">
        <v>2138</v>
      </c>
      <c r="C1202" s="40" t="s">
        <v>2137</v>
      </c>
    </row>
    <row r="1203" spans="2:3" x14ac:dyDescent="0.25">
      <c r="B1203" s="46" t="s">
        <v>2140</v>
      </c>
      <c r="C1203" s="40" t="s">
        <v>2139</v>
      </c>
    </row>
    <row r="1204" spans="2:3" x14ac:dyDescent="0.25">
      <c r="B1204" s="46" t="s">
        <v>2142</v>
      </c>
      <c r="C1204" s="40" t="s">
        <v>2141</v>
      </c>
    </row>
    <row r="1205" spans="2:3" x14ac:dyDescent="0.25">
      <c r="B1205" s="46" t="s">
        <v>2144</v>
      </c>
      <c r="C1205" s="40" t="s">
        <v>2143</v>
      </c>
    </row>
    <row r="1206" spans="2:3" x14ac:dyDescent="0.25">
      <c r="B1206" s="46" t="s">
        <v>2146</v>
      </c>
      <c r="C1206" s="40" t="s">
        <v>2145</v>
      </c>
    </row>
    <row r="1207" spans="2:3" x14ac:dyDescent="0.25">
      <c r="B1207" s="46" t="s">
        <v>2148</v>
      </c>
      <c r="C1207" s="40" t="s">
        <v>2147</v>
      </c>
    </row>
    <row r="1208" spans="2:3" x14ac:dyDescent="0.25">
      <c r="B1208" s="46" t="s">
        <v>2150</v>
      </c>
      <c r="C1208" s="40" t="s">
        <v>2149</v>
      </c>
    </row>
    <row r="1209" spans="2:3" x14ac:dyDescent="0.25">
      <c r="B1209" s="46" t="s">
        <v>2152</v>
      </c>
      <c r="C1209" s="40" t="s">
        <v>2151</v>
      </c>
    </row>
    <row r="1210" spans="2:3" x14ac:dyDescent="0.25">
      <c r="B1210" s="46" t="s">
        <v>2154</v>
      </c>
      <c r="C1210" s="40" t="s">
        <v>2153</v>
      </c>
    </row>
    <row r="1211" spans="2:3" x14ac:dyDescent="0.25">
      <c r="B1211" s="46" t="s">
        <v>2156</v>
      </c>
      <c r="C1211" s="40" t="s">
        <v>2155</v>
      </c>
    </row>
    <row r="1212" spans="2:3" x14ac:dyDescent="0.25">
      <c r="B1212" s="46" t="s">
        <v>2158</v>
      </c>
      <c r="C1212" s="40" t="s">
        <v>2157</v>
      </c>
    </row>
    <row r="1213" spans="2:3" x14ac:dyDescent="0.25">
      <c r="B1213" s="46" t="s">
        <v>2160</v>
      </c>
      <c r="C1213" s="40" t="s">
        <v>2159</v>
      </c>
    </row>
    <row r="1214" spans="2:3" x14ac:dyDescent="0.25">
      <c r="B1214" s="46" t="s">
        <v>2162</v>
      </c>
      <c r="C1214" s="40" t="s">
        <v>2161</v>
      </c>
    </row>
    <row r="1215" spans="2:3" x14ac:dyDescent="0.25">
      <c r="B1215" s="46" t="s">
        <v>2164</v>
      </c>
      <c r="C1215" s="40" t="s">
        <v>2163</v>
      </c>
    </row>
    <row r="1216" spans="2:3" x14ac:dyDescent="0.25">
      <c r="B1216" s="46" t="s">
        <v>2166</v>
      </c>
      <c r="C1216" s="40" t="s">
        <v>2165</v>
      </c>
    </row>
    <row r="1217" spans="2:3" x14ac:dyDescent="0.25">
      <c r="B1217" s="46" t="s">
        <v>2168</v>
      </c>
      <c r="C1217" s="40" t="s">
        <v>2167</v>
      </c>
    </row>
    <row r="1218" spans="2:3" x14ac:dyDescent="0.25">
      <c r="B1218" s="46" t="s">
        <v>2170</v>
      </c>
      <c r="C1218" s="40" t="s">
        <v>2169</v>
      </c>
    </row>
    <row r="1219" spans="2:3" x14ac:dyDescent="0.25">
      <c r="B1219" s="46" t="s">
        <v>2172</v>
      </c>
      <c r="C1219" s="40" t="s">
        <v>2171</v>
      </c>
    </row>
    <row r="1220" spans="2:3" x14ac:dyDescent="0.25">
      <c r="B1220" s="46" t="s">
        <v>2174</v>
      </c>
      <c r="C1220" s="40" t="s">
        <v>2173</v>
      </c>
    </row>
    <row r="1221" spans="2:3" x14ac:dyDescent="0.25">
      <c r="B1221" s="46" t="s">
        <v>2176</v>
      </c>
      <c r="C1221" s="40" t="s">
        <v>2175</v>
      </c>
    </row>
    <row r="1222" spans="2:3" x14ac:dyDescent="0.25">
      <c r="B1222" s="46" t="s">
        <v>2178</v>
      </c>
      <c r="C1222" s="40" t="s">
        <v>2177</v>
      </c>
    </row>
    <row r="1223" spans="2:3" x14ac:dyDescent="0.25">
      <c r="B1223" s="46" t="s">
        <v>2180</v>
      </c>
      <c r="C1223" s="40" t="s">
        <v>2179</v>
      </c>
    </row>
    <row r="1224" spans="2:3" x14ac:dyDescent="0.25">
      <c r="B1224" s="46" t="s">
        <v>2182</v>
      </c>
      <c r="C1224" s="40" t="s">
        <v>2181</v>
      </c>
    </row>
    <row r="1225" spans="2:3" x14ac:dyDescent="0.25">
      <c r="B1225" s="46" t="s">
        <v>2184</v>
      </c>
      <c r="C1225" s="40" t="s">
        <v>2183</v>
      </c>
    </row>
    <row r="1226" spans="2:3" x14ac:dyDescent="0.25">
      <c r="B1226" s="46" t="s">
        <v>2186</v>
      </c>
      <c r="C1226" s="40" t="s">
        <v>2185</v>
      </c>
    </row>
    <row r="1227" spans="2:3" x14ac:dyDescent="0.25">
      <c r="B1227" s="46" t="s">
        <v>2188</v>
      </c>
      <c r="C1227" s="40" t="s">
        <v>2187</v>
      </c>
    </row>
    <row r="1228" spans="2:3" x14ac:dyDescent="0.25">
      <c r="B1228" s="46" t="s">
        <v>2190</v>
      </c>
      <c r="C1228" s="40" t="s">
        <v>2189</v>
      </c>
    </row>
    <row r="1229" spans="2:3" x14ac:dyDescent="0.25">
      <c r="B1229" s="46" t="s">
        <v>2192</v>
      </c>
      <c r="C1229" s="40" t="s">
        <v>2191</v>
      </c>
    </row>
    <row r="1230" spans="2:3" x14ac:dyDescent="0.25">
      <c r="B1230" s="46" t="s">
        <v>2194</v>
      </c>
      <c r="C1230" s="40" t="s">
        <v>2193</v>
      </c>
    </row>
    <row r="1231" spans="2:3" x14ac:dyDescent="0.25">
      <c r="B1231" s="46" t="s">
        <v>2196</v>
      </c>
      <c r="C1231" s="40" t="s">
        <v>2195</v>
      </c>
    </row>
    <row r="1232" spans="2:3" x14ac:dyDescent="0.25">
      <c r="B1232" s="46" t="s">
        <v>2198</v>
      </c>
      <c r="C1232" s="40" t="s">
        <v>2197</v>
      </c>
    </row>
    <row r="1233" spans="2:3" x14ac:dyDescent="0.25">
      <c r="B1233" s="46" t="s">
        <v>2200</v>
      </c>
      <c r="C1233" s="40" t="s">
        <v>2199</v>
      </c>
    </row>
    <row r="1234" spans="2:3" x14ac:dyDescent="0.25">
      <c r="B1234" s="46" t="s">
        <v>2202</v>
      </c>
      <c r="C1234" s="40" t="s">
        <v>2201</v>
      </c>
    </row>
    <row r="1235" spans="2:3" x14ac:dyDescent="0.25">
      <c r="B1235" s="46" t="s">
        <v>2204</v>
      </c>
      <c r="C1235" s="40" t="s">
        <v>2203</v>
      </c>
    </row>
    <row r="1236" spans="2:3" x14ac:dyDescent="0.25">
      <c r="B1236" s="46" t="s">
        <v>2206</v>
      </c>
      <c r="C1236" s="40" t="s">
        <v>2205</v>
      </c>
    </row>
    <row r="1237" spans="2:3" x14ac:dyDescent="0.25">
      <c r="B1237" s="46" t="s">
        <v>2208</v>
      </c>
      <c r="C1237" s="40" t="s">
        <v>2207</v>
      </c>
    </row>
    <row r="1238" spans="2:3" x14ac:dyDescent="0.25">
      <c r="B1238" s="46" t="s">
        <v>2210</v>
      </c>
      <c r="C1238" s="40" t="s">
        <v>2209</v>
      </c>
    </row>
    <row r="1239" spans="2:3" x14ac:dyDescent="0.25">
      <c r="B1239" s="46" t="s">
        <v>2212</v>
      </c>
      <c r="C1239" s="40" t="s">
        <v>2211</v>
      </c>
    </row>
    <row r="1240" spans="2:3" x14ac:dyDescent="0.25">
      <c r="B1240" s="46" t="s">
        <v>2214</v>
      </c>
      <c r="C1240" s="40" t="s">
        <v>2213</v>
      </c>
    </row>
    <row r="1241" spans="2:3" x14ac:dyDescent="0.25">
      <c r="B1241" s="46" t="s">
        <v>2216</v>
      </c>
      <c r="C1241" s="40" t="s">
        <v>2215</v>
      </c>
    </row>
    <row r="1242" spans="2:3" x14ac:dyDescent="0.25">
      <c r="B1242" s="46" t="s">
        <v>2218</v>
      </c>
      <c r="C1242" s="40" t="s">
        <v>2217</v>
      </c>
    </row>
    <row r="1243" spans="2:3" x14ac:dyDescent="0.25">
      <c r="B1243" s="46" t="s">
        <v>2220</v>
      </c>
      <c r="C1243" s="40" t="s">
        <v>2219</v>
      </c>
    </row>
    <row r="1244" spans="2:3" x14ac:dyDescent="0.25">
      <c r="B1244" s="46" t="s">
        <v>2222</v>
      </c>
      <c r="C1244" s="40" t="s">
        <v>2221</v>
      </c>
    </row>
    <row r="1245" spans="2:3" x14ac:dyDescent="0.25">
      <c r="B1245" s="46" t="s">
        <v>2224</v>
      </c>
      <c r="C1245" s="40" t="s">
        <v>2223</v>
      </c>
    </row>
    <row r="1246" spans="2:3" x14ac:dyDescent="0.25">
      <c r="B1246" s="46" t="s">
        <v>2226</v>
      </c>
      <c r="C1246" s="40" t="s">
        <v>2225</v>
      </c>
    </row>
    <row r="1247" spans="2:3" x14ac:dyDescent="0.25">
      <c r="B1247" s="46" t="s">
        <v>2228</v>
      </c>
      <c r="C1247" s="40" t="s">
        <v>2227</v>
      </c>
    </row>
    <row r="1248" spans="2:3" x14ac:dyDescent="0.25">
      <c r="B1248" s="46" t="s">
        <v>2230</v>
      </c>
      <c r="C1248" s="40" t="s">
        <v>2229</v>
      </c>
    </row>
    <row r="1249" spans="2:3" x14ac:dyDescent="0.25">
      <c r="B1249" s="46" t="s">
        <v>2232</v>
      </c>
      <c r="C1249" s="40" t="s">
        <v>2231</v>
      </c>
    </row>
    <row r="1250" spans="2:3" x14ac:dyDescent="0.25">
      <c r="B1250" s="46" t="s">
        <v>2234</v>
      </c>
      <c r="C1250" s="40" t="s">
        <v>2233</v>
      </c>
    </row>
    <row r="1251" spans="2:3" x14ac:dyDescent="0.25">
      <c r="B1251" s="46" t="s">
        <v>2236</v>
      </c>
      <c r="C1251" s="40" t="s">
        <v>2235</v>
      </c>
    </row>
    <row r="1252" spans="2:3" x14ac:dyDescent="0.25">
      <c r="B1252" s="46" t="s">
        <v>2238</v>
      </c>
      <c r="C1252" s="40" t="s">
        <v>2237</v>
      </c>
    </row>
    <row r="1253" spans="2:3" x14ac:dyDescent="0.25">
      <c r="B1253" s="46" t="s">
        <v>2240</v>
      </c>
      <c r="C1253" s="40" t="s">
        <v>2239</v>
      </c>
    </row>
    <row r="1254" spans="2:3" x14ac:dyDescent="0.25">
      <c r="B1254" s="46" t="s">
        <v>2242</v>
      </c>
      <c r="C1254" s="40" t="s">
        <v>2241</v>
      </c>
    </row>
    <row r="1255" spans="2:3" x14ac:dyDescent="0.25">
      <c r="B1255" s="46" t="s">
        <v>2244</v>
      </c>
      <c r="C1255" s="40" t="s">
        <v>2243</v>
      </c>
    </row>
    <row r="1256" spans="2:3" x14ac:dyDescent="0.25">
      <c r="B1256" s="46" t="s">
        <v>2246</v>
      </c>
      <c r="C1256" s="40" t="s">
        <v>2245</v>
      </c>
    </row>
    <row r="1257" spans="2:3" x14ac:dyDescent="0.25">
      <c r="B1257" s="46" t="s">
        <v>2248</v>
      </c>
      <c r="C1257" s="40" t="s">
        <v>2247</v>
      </c>
    </row>
    <row r="1258" spans="2:3" x14ac:dyDescent="0.25">
      <c r="B1258" s="46" t="s">
        <v>2250</v>
      </c>
      <c r="C1258" s="40" t="s">
        <v>2249</v>
      </c>
    </row>
    <row r="1259" spans="2:3" x14ac:dyDescent="0.25">
      <c r="B1259" s="46" t="s">
        <v>2252</v>
      </c>
      <c r="C1259" s="40" t="s">
        <v>2251</v>
      </c>
    </row>
    <row r="1260" spans="2:3" x14ac:dyDescent="0.25">
      <c r="B1260" s="46" t="s">
        <v>2254</v>
      </c>
      <c r="C1260" s="40" t="s">
        <v>2253</v>
      </c>
    </row>
    <row r="1261" spans="2:3" x14ac:dyDescent="0.25">
      <c r="B1261" s="46" t="s">
        <v>2256</v>
      </c>
      <c r="C1261" s="40" t="s">
        <v>2255</v>
      </c>
    </row>
    <row r="1262" spans="2:3" x14ac:dyDescent="0.25">
      <c r="B1262" s="46" t="s">
        <v>2258</v>
      </c>
      <c r="C1262" s="40" t="s">
        <v>2257</v>
      </c>
    </row>
    <row r="1263" spans="2:3" x14ac:dyDescent="0.25">
      <c r="B1263" s="46" t="s">
        <v>2260</v>
      </c>
      <c r="C1263" s="40" t="s">
        <v>2259</v>
      </c>
    </row>
    <row r="1264" spans="2:3" x14ac:dyDescent="0.25">
      <c r="B1264" s="46" t="s">
        <v>2262</v>
      </c>
      <c r="C1264" s="40" t="s">
        <v>2261</v>
      </c>
    </row>
    <row r="1265" spans="2:3" x14ac:dyDescent="0.25">
      <c r="B1265" s="46" t="s">
        <v>2264</v>
      </c>
      <c r="C1265" s="40" t="s">
        <v>2263</v>
      </c>
    </row>
    <row r="1266" spans="2:3" x14ac:dyDescent="0.25">
      <c r="B1266" s="46" t="s">
        <v>2266</v>
      </c>
      <c r="C1266" s="40" t="s">
        <v>2265</v>
      </c>
    </row>
    <row r="1267" spans="2:3" x14ac:dyDescent="0.25">
      <c r="B1267" s="46" t="s">
        <v>2268</v>
      </c>
      <c r="C1267" s="40" t="s">
        <v>2267</v>
      </c>
    </row>
    <row r="1268" spans="2:3" x14ac:dyDescent="0.25">
      <c r="B1268" s="46" t="s">
        <v>2270</v>
      </c>
      <c r="C1268" s="40" t="s">
        <v>2269</v>
      </c>
    </row>
    <row r="1269" spans="2:3" x14ac:dyDescent="0.25">
      <c r="B1269" s="46" t="s">
        <v>2272</v>
      </c>
      <c r="C1269" s="40" t="s">
        <v>2271</v>
      </c>
    </row>
    <row r="1270" spans="2:3" x14ac:dyDescent="0.25">
      <c r="B1270" s="46" t="s">
        <v>2274</v>
      </c>
      <c r="C1270" s="40" t="s">
        <v>2273</v>
      </c>
    </row>
    <row r="1271" spans="2:3" x14ac:dyDescent="0.25">
      <c r="B1271" s="46" t="s">
        <v>2276</v>
      </c>
      <c r="C1271" s="40" t="s">
        <v>2275</v>
      </c>
    </row>
    <row r="1272" spans="2:3" x14ac:dyDescent="0.25">
      <c r="B1272" s="46" t="s">
        <v>1252</v>
      </c>
      <c r="C1272" s="40" t="s">
        <v>2277</v>
      </c>
    </row>
    <row r="1273" spans="2:3" x14ac:dyDescent="0.25">
      <c r="B1273" s="46" t="s">
        <v>2279</v>
      </c>
      <c r="C1273" s="40" t="s">
        <v>2278</v>
      </c>
    </row>
    <row r="1274" spans="2:3" x14ac:dyDescent="0.25">
      <c r="B1274" s="46" t="s">
        <v>2281</v>
      </c>
      <c r="C1274" s="40" t="s">
        <v>2280</v>
      </c>
    </row>
    <row r="1275" spans="2:3" x14ac:dyDescent="0.25">
      <c r="B1275" s="46" t="s">
        <v>2283</v>
      </c>
      <c r="C1275" s="40" t="s">
        <v>2282</v>
      </c>
    </row>
    <row r="1276" spans="2:3" x14ac:dyDescent="0.25">
      <c r="B1276" s="46" t="s">
        <v>2285</v>
      </c>
      <c r="C1276" s="40" t="s">
        <v>2284</v>
      </c>
    </row>
    <row r="1277" spans="2:3" x14ac:dyDescent="0.25">
      <c r="B1277" s="46" t="s">
        <v>2287</v>
      </c>
      <c r="C1277" s="40" t="s">
        <v>2286</v>
      </c>
    </row>
    <row r="1278" spans="2:3" x14ac:dyDescent="0.25">
      <c r="B1278" s="46" t="s">
        <v>2289</v>
      </c>
      <c r="C1278" s="40" t="s">
        <v>2288</v>
      </c>
    </row>
    <row r="1279" spans="2:3" x14ac:dyDescent="0.25">
      <c r="B1279" s="46" t="s">
        <v>2291</v>
      </c>
      <c r="C1279" s="40" t="s">
        <v>2290</v>
      </c>
    </row>
    <row r="1280" spans="2:3" x14ac:dyDescent="0.25">
      <c r="B1280" s="46" t="s">
        <v>2293</v>
      </c>
      <c r="C1280" s="40" t="s">
        <v>2292</v>
      </c>
    </row>
    <row r="1281" spans="2:3" x14ac:dyDescent="0.25">
      <c r="B1281" s="46" t="s">
        <v>2295</v>
      </c>
      <c r="C1281" s="40" t="s">
        <v>2294</v>
      </c>
    </row>
    <row r="1282" spans="2:3" x14ac:dyDescent="0.25">
      <c r="B1282" s="46" t="s">
        <v>2297</v>
      </c>
      <c r="C1282" s="40" t="s">
        <v>2296</v>
      </c>
    </row>
    <row r="1283" spans="2:3" x14ac:dyDescent="0.25">
      <c r="B1283" s="46" t="s">
        <v>2299</v>
      </c>
      <c r="C1283" s="40" t="s">
        <v>2298</v>
      </c>
    </row>
    <row r="1284" spans="2:3" x14ac:dyDescent="0.25">
      <c r="B1284" s="46" t="s">
        <v>2301</v>
      </c>
      <c r="C1284" s="40" t="s">
        <v>2300</v>
      </c>
    </row>
    <row r="1285" spans="2:3" x14ac:dyDescent="0.25">
      <c r="B1285" s="46" t="s">
        <v>2303</v>
      </c>
      <c r="C1285" s="40" t="s">
        <v>2302</v>
      </c>
    </row>
    <row r="1286" spans="2:3" x14ac:dyDescent="0.25">
      <c r="B1286" s="46" t="s">
        <v>2305</v>
      </c>
      <c r="C1286" s="40" t="s">
        <v>2304</v>
      </c>
    </row>
    <row r="1287" spans="2:3" x14ac:dyDescent="0.25">
      <c r="B1287" s="46" t="s">
        <v>2307</v>
      </c>
      <c r="C1287" s="40" t="s">
        <v>2306</v>
      </c>
    </row>
    <row r="1288" spans="2:3" x14ac:dyDescent="0.25">
      <c r="B1288" s="46" t="s">
        <v>2309</v>
      </c>
      <c r="C1288" s="40" t="s">
        <v>2308</v>
      </c>
    </row>
    <row r="1289" spans="2:3" x14ac:dyDescent="0.25">
      <c r="B1289" s="46" t="s">
        <v>2311</v>
      </c>
      <c r="C1289" s="40" t="s">
        <v>2310</v>
      </c>
    </row>
    <row r="1290" spans="2:3" x14ac:dyDescent="0.25">
      <c r="B1290" s="46" t="s">
        <v>2313</v>
      </c>
      <c r="C1290" s="40" t="s">
        <v>2312</v>
      </c>
    </row>
    <row r="1291" spans="2:3" x14ac:dyDescent="0.25">
      <c r="B1291" s="46" t="s">
        <v>2315</v>
      </c>
      <c r="C1291" s="40" t="s">
        <v>2314</v>
      </c>
    </row>
    <row r="1292" spans="2:3" x14ac:dyDescent="0.25">
      <c r="B1292" s="46" t="s">
        <v>2317</v>
      </c>
      <c r="C1292" s="40" t="s">
        <v>2316</v>
      </c>
    </row>
    <row r="1293" spans="2:3" x14ac:dyDescent="0.25">
      <c r="B1293" s="46" t="s">
        <v>2319</v>
      </c>
      <c r="C1293" s="40" t="s">
        <v>2318</v>
      </c>
    </row>
    <row r="1294" spans="2:3" x14ac:dyDescent="0.25">
      <c r="B1294" s="46" t="s">
        <v>2321</v>
      </c>
      <c r="C1294" s="40" t="s">
        <v>2320</v>
      </c>
    </row>
    <row r="1295" spans="2:3" x14ac:dyDescent="0.25">
      <c r="B1295" s="46" t="s">
        <v>2323</v>
      </c>
      <c r="C1295" s="40" t="s">
        <v>2322</v>
      </c>
    </row>
    <row r="1296" spans="2:3" x14ac:dyDescent="0.25">
      <c r="B1296" s="46" t="s">
        <v>2325</v>
      </c>
      <c r="C1296" s="40" t="s">
        <v>2324</v>
      </c>
    </row>
    <row r="1297" spans="2:3" x14ac:dyDescent="0.25">
      <c r="B1297" s="46" t="s">
        <v>2327</v>
      </c>
      <c r="C1297" s="40" t="s">
        <v>2326</v>
      </c>
    </row>
    <row r="1298" spans="2:3" x14ac:dyDescent="0.25">
      <c r="B1298" s="46" t="s">
        <v>2329</v>
      </c>
      <c r="C1298" s="40" t="s">
        <v>2328</v>
      </c>
    </row>
    <row r="1299" spans="2:3" x14ac:dyDescent="0.25">
      <c r="B1299" s="46" t="s">
        <v>2331</v>
      </c>
      <c r="C1299" s="40" t="s">
        <v>2330</v>
      </c>
    </row>
    <row r="1300" spans="2:3" x14ac:dyDescent="0.25">
      <c r="B1300" s="46" t="s">
        <v>2333</v>
      </c>
      <c r="C1300" s="40" t="s">
        <v>2332</v>
      </c>
    </row>
    <row r="1301" spans="2:3" x14ac:dyDescent="0.25">
      <c r="B1301" s="46" t="s">
        <v>2335</v>
      </c>
      <c r="C1301" s="40" t="s">
        <v>2334</v>
      </c>
    </row>
    <row r="1302" spans="2:3" x14ac:dyDescent="0.25">
      <c r="B1302" s="46" t="s">
        <v>2337</v>
      </c>
      <c r="C1302" s="40" t="s">
        <v>2336</v>
      </c>
    </row>
    <row r="1303" spans="2:3" x14ac:dyDescent="0.25">
      <c r="B1303" s="46" t="s">
        <v>2339</v>
      </c>
      <c r="C1303" s="40" t="s">
        <v>2338</v>
      </c>
    </row>
    <row r="1304" spans="2:3" x14ac:dyDescent="0.25">
      <c r="B1304" s="46" t="s">
        <v>2341</v>
      </c>
      <c r="C1304" s="40" t="s">
        <v>2340</v>
      </c>
    </row>
    <row r="1305" spans="2:3" x14ac:dyDescent="0.25">
      <c r="B1305" s="46" t="s">
        <v>2343</v>
      </c>
      <c r="C1305" s="40" t="s">
        <v>2342</v>
      </c>
    </row>
    <row r="1306" spans="2:3" x14ac:dyDescent="0.25">
      <c r="B1306" s="46" t="s">
        <v>2345</v>
      </c>
      <c r="C1306" s="40" t="s">
        <v>2344</v>
      </c>
    </row>
    <row r="1307" spans="2:3" x14ac:dyDescent="0.25">
      <c r="B1307" s="46" t="s">
        <v>2347</v>
      </c>
      <c r="C1307" s="40" t="s">
        <v>2346</v>
      </c>
    </row>
    <row r="1308" spans="2:3" x14ac:dyDescent="0.25">
      <c r="B1308" s="46" t="s">
        <v>2349</v>
      </c>
      <c r="C1308" s="40" t="s">
        <v>2348</v>
      </c>
    </row>
    <row r="1309" spans="2:3" x14ac:dyDescent="0.25">
      <c r="B1309" s="46" t="s">
        <v>2351</v>
      </c>
      <c r="C1309" s="40" t="s">
        <v>2350</v>
      </c>
    </row>
    <row r="1310" spans="2:3" x14ac:dyDescent="0.25">
      <c r="B1310" s="46" t="s">
        <v>2353</v>
      </c>
      <c r="C1310" s="40" t="s">
        <v>2352</v>
      </c>
    </row>
    <row r="1311" spans="2:3" x14ac:dyDescent="0.25">
      <c r="B1311" s="46" t="s">
        <v>2355</v>
      </c>
      <c r="C1311" s="40" t="s">
        <v>2354</v>
      </c>
    </row>
    <row r="1312" spans="2:3" x14ac:dyDescent="0.25">
      <c r="B1312" s="46" t="s">
        <v>2357</v>
      </c>
      <c r="C1312" s="40" t="s">
        <v>2356</v>
      </c>
    </row>
    <row r="1313" spans="2:3" x14ac:dyDescent="0.25">
      <c r="B1313" s="46" t="s">
        <v>2357</v>
      </c>
      <c r="C1313" s="40" t="s">
        <v>2358</v>
      </c>
    </row>
    <row r="1314" spans="2:3" x14ac:dyDescent="0.25">
      <c r="B1314" s="46" t="s">
        <v>2360</v>
      </c>
      <c r="C1314" s="40" t="s">
        <v>2359</v>
      </c>
    </row>
    <row r="1315" spans="2:3" x14ac:dyDescent="0.25">
      <c r="B1315" s="46" t="s">
        <v>2362</v>
      </c>
      <c r="C1315" s="40" t="s">
        <v>2361</v>
      </c>
    </row>
    <row r="1316" spans="2:3" x14ac:dyDescent="0.25">
      <c r="B1316" s="46" t="s">
        <v>2364</v>
      </c>
      <c r="C1316" s="40" t="s">
        <v>2363</v>
      </c>
    </row>
    <row r="1317" spans="2:3" x14ac:dyDescent="0.25">
      <c r="B1317" s="46" t="s">
        <v>2366</v>
      </c>
      <c r="C1317" s="40" t="s">
        <v>2365</v>
      </c>
    </row>
    <row r="1318" spans="2:3" x14ac:dyDescent="0.25">
      <c r="B1318" s="46" t="s">
        <v>2368</v>
      </c>
      <c r="C1318" s="40" t="s">
        <v>2367</v>
      </c>
    </row>
    <row r="1319" spans="2:3" x14ac:dyDescent="0.25">
      <c r="B1319" s="46" t="s">
        <v>2370</v>
      </c>
      <c r="C1319" s="40" t="s">
        <v>2369</v>
      </c>
    </row>
    <row r="1320" spans="2:3" x14ac:dyDescent="0.25">
      <c r="B1320" s="46" t="s">
        <v>2372</v>
      </c>
      <c r="C1320" s="40" t="s">
        <v>2371</v>
      </c>
    </row>
    <row r="1321" spans="2:3" x14ac:dyDescent="0.25">
      <c r="B1321" s="46" t="s">
        <v>2374</v>
      </c>
      <c r="C1321" s="40" t="s">
        <v>2373</v>
      </c>
    </row>
    <row r="1322" spans="2:3" x14ac:dyDescent="0.25">
      <c r="B1322" s="46" t="s">
        <v>2376</v>
      </c>
      <c r="C1322" s="40" t="s">
        <v>2375</v>
      </c>
    </row>
    <row r="1323" spans="2:3" x14ac:dyDescent="0.25">
      <c r="B1323" s="46" t="s">
        <v>2378</v>
      </c>
      <c r="C1323" s="40" t="s">
        <v>2377</v>
      </c>
    </row>
    <row r="1324" spans="2:3" x14ac:dyDescent="0.25">
      <c r="B1324" s="46" t="s">
        <v>2380</v>
      </c>
      <c r="C1324" s="40" t="s">
        <v>2379</v>
      </c>
    </row>
    <row r="1325" spans="2:3" x14ac:dyDescent="0.25">
      <c r="B1325" s="46" t="s">
        <v>2382</v>
      </c>
      <c r="C1325" s="40" t="s">
        <v>2381</v>
      </c>
    </row>
    <row r="1326" spans="2:3" x14ac:dyDescent="0.25">
      <c r="B1326" s="46" t="s">
        <v>2384</v>
      </c>
      <c r="C1326" s="40" t="s">
        <v>2383</v>
      </c>
    </row>
    <row r="1327" spans="2:3" x14ac:dyDescent="0.25">
      <c r="B1327" s="46" t="s">
        <v>2386</v>
      </c>
      <c r="C1327" s="40" t="s">
        <v>2385</v>
      </c>
    </row>
    <row r="1328" spans="2:3" x14ac:dyDescent="0.25">
      <c r="B1328" s="46" t="s">
        <v>2388</v>
      </c>
      <c r="C1328" s="40" t="s">
        <v>2387</v>
      </c>
    </row>
    <row r="1329" spans="2:3" x14ac:dyDescent="0.25">
      <c r="B1329" s="46" t="s">
        <v>2390</v>
      </c>
      <c r="C1329" s="40" t="s">
        <v>2389</v>
      </c>
    </row>
    <row r="1330" spans="2:3" x14ac:dyDescent="0.25">
      <c r="B1330" s="46" t="s">
        <v>2392</v>
      </c>
      <c r="C1330" s="40" t="s">
        <v>2391</v>
      </c>
    </row>
    <row r="1331" spans="2:3" x14ac:dyDescent="0.25">
      <c r="B1331" s="46" t="s">
        <v>2394</v>
      </c>
      <c r="C1331" s="40" t="s">
        <v>2393</v>
      </c>
    </row>
    <row r="1332" spans="2:3" x14ac:dyDescent="0.25">
      <c r="B1332" s="46" t="s">
        <v>2396</v>
      </c>
      <c r="C1332" s="40" t="s">
        <v>2395</v>
      </c>
    </row>
    <row r="1333" spans="2:3" x14ac:dyDescent="0.25">
      <c r="B1333" s="46" t="s">
        <v>2398</v>
      </c>
      <c r="C1333" s="40" t="s">
        <v>2397</v>
      </c>
    </row>
    <row r="1334" spans="2:3" x14ac:dyDescent="0.25">
      <c r="B1334" s="46" t="s">
        <v>2400</v>
      </c>
      <c r="C1334" s="40" t="s">
        <v>2399</v>
      </c>
    </row>
    <row r="1335" spans="2:3" x14ac:dyDescent="0.25">
      <c r="B1335" s="46" t="s">
        <v>2402</v>
      </c>
      <c r="C1335" s="40" t="s">
        <v>2401</v>
      </c>
    </row>
    <row r="1336" spans="2:3" x14ac:dyDescent="0.25">
      <c r="B1336" s="46" t="s">
        <v>2404</v>
      </c>
      <c r="C1336" s="40" t="s">
        <v>2403</v>
      </c>
    </row>
    <row r="1337" spans="2:3" x14ac:dyDescent="0.25">
      <c r="B1337" s="46" t="s">
        <v>2406</v>
      </c>
      <c r="C1337" s="40" t="s">
        <v>2405</v>
      </c>
    </row>
    <row r="1338" spans="2:3" x14ac:dyDescent="0.25">
      <c r="B1338" s="46" t="s">
        <v>2408</v>
      </c>
      <c r="C1338" s="40" t="s">
        <v>2407</v>
      </c>
    </row>
    <row r="1339" spans="2:3" x14ac:dyDescent="0.25">
      <c r="B1339" s="46" t="s">
        <v>2410</v>
      </c>
      <c r="C1339" s="40" t="s">
        <v>2409</v>
      </c>
    </row>
    <row r="1340" spans="2:3" x14ac:dyDescent="0.25">
      <c r="B1340" s="46" t="s">
        <v>2412</v>
      </c>
      <c r="C1340" s="40" t="s">
        <v>2411</v>
      </c>
    </row>
    <row r="1341" spans="2:3" x14ac:dyDescent="0.25">
      <c r="B1341" s="46" t="s">
        <v>2414</v>
      </c>
      <c r="C1341" s="40" t="s">
        <v>2413</v>
      </c>
    </row>
    <row r="1342" spans="2:3" x14ac:dyDescent="0.25">
      <c r="B1342" s="46" t="s">
        <v>2416</v>
      </c>
      <c r="C1342" s="40" t="s">
        <v>2415</v>
      </c>
    </row>
    <row r="1343" spans="2:3" x14ac:dyDescent="0.25">
      <c r="B1343" s="46" t="s">
        <v>2418</v>
      </c>
      <c r="C1343" s="40" t="s">
        <v>2417</v>
      </c>
    </row>
    <row r="1344" spans="2:3" x14ac:dyDescent="0.25">
      <c r="B1344" s="46" t="s">
        <v>2420</v>
      </c>
      <c r="C1344" s="40" t="s">
        <v>2419</v>
      </c>
    </row>
    <row r="1345" spans="2:3" x14ac:dyDescent="0.25">
      <c r="B1345" s="46" t="s">
        <v>2422</v>
      </c>
      <c r="C1345" s="40" t="s">
        <v>2421</v>
      </c>
    </row>
    <row r="1346" spans="2:3" x14ac:dyDescent="0.25">
      <c r="B1346" s="46" t="s">
        <v>2424</v>
      </c>
      <c r="C1346" s="40" t="s">
        <v>2423</v>
      </c>
    </row>
    <row r="1347" spans="2:3" x14ac:dyDescent="0.25">
      <c r="B1347" s="46" t="s">
        <v>2426</v>
      </c>
      <c r="C1347" s="40" t="s">
        <v>2425</v>
      </c>
    </row>
    <row r="1348" spans="2:3" x14ac:dyDescent="0.25">
      <c r="B1348" s="46" t="s">
        <v>2428</v>
      </c>
      <c r="C1348" s="40" t="s">
        <v>2427</v>
      </c>
    </row>
    <row r="1349" spans="2:3" x14ac:dyDescent="0.25">
      <c r="B1349" s="46" t="s">
        <v>2430</v>
      </c>
      <c r="C1349" s="40" t="s">
        <v>2429</v>
      </c>
    </row>
    <row r="1350" spans="2:3" x14ac:dyDescent="0.25">
      <c r="B1350" s="46" t="s">
        <v>2432</v>
      </c>
      <c r="C1350" s="40" t="s">
        <v>2431</v>
      </c>
    </row>
    <row r="1351" spans="2:3" x14ac:dyDescent="0.25">
      <c r="B1351" s="46" t="s">
        <v>2434</v>
      </c>
      <c r="C1351" s="40" t="s">
        <v>2433</v>
      </c>
    </row>
    <row r="1352" spans="2:3" x14ac:dyDescent="0.25">
      <c r="B1352" s="46" t="s">
        <v>2436</v>
      </c>
      <c r="C1352" s="40" t="s">
        <v>2435</v>
      </c>
    </row>
    <row r="1353" spans="2:3" x14ac:dyDescent="0.25">
      <c r="B1353" s="46" t="s">
        <v>2438</v>
      </c>
      <c r="C1353" s="40" t="s">
        <v>2437</v>
      </c>
    </row>
    <row r="1354" spans="2:3" x14ac:dyDescent="0.25">
      <c r="B1354" s="46" t="s">
        <v>2440</v>
      </c>
      <c r="C1354" s="40" t="s">
        <v>2439</v>
      </c>
    </row>
    <row r="1355" spans="2:3" x14ac:dyDescent="0.25">
      <c r="B1355" s="46" t="s">
        <v>2442</v>
      </c>
      <c r="C1355" s="40" t="s">
        <v>2441</v>
      </c>
    </row>
    <row r="1356" spans="2:3" x14ac:dyDescent="0.25">
      <c r="B1356" s="46" t="s">
        <v>2444</v>
      </c>
      <c r="C1356" s="40" t="s">
        <v>2443</v>
      </c>
    </row>
    <row r="1357" spans="2:3" x14ac:dyDescent="0.25">
      <c r="B1357" s="46" t="s">
        <v>2446</v>
      </c>
      <c r="C1357" s="40" t="s">
        <v>2445</v>
      </c>
    </row>
    <row r="1358" spans="2:3" x14ac:dyDescent="0.25">
      <c r="B1358" s="46" t="s">
        <v>2448</v>
      </c>
      <c r="C1358" s="40" t="s">
        <v>2447</v>
      </c>
    </row>
    <row r="1359" spans="2:3" x14ac:dyDescent="0.25">
      <c r="B1359" s="46" t="s">
        <v>2450</v>
      </c>
      <c r="C1359" s="40" t="s">
        <v>2449</v>
      </c>
    </row>
    <row r="1360" spans="2:3" x14ac:dyDescent="0.25">
      <c r="B1360" s="46" t="s">
        <v>2452</v>
      </c>
      <c r="C1360" s="40" t="s">
        <v>2451</v>
      </c>
    </row>
    <row r="1361" spans="2:3" x14ac:dyDescent="0.25">
      <c r="B1361" s="46" t="s">
        <v>2454</v>
      </c>
      <c r="C1361" s="40" t="s">
        <v>2453</v>
      </c>
    </row>
    <row r="1362" spans="2:3" x14ac:dyDescent="0.25">
      <c r="B1362" s="46" t="s">
        <v>2456</v>
      </c>
      <c r="C1362" s="40" t="s">
        <v>2455</v>
      </c>
    </row>
    <row r="1363" spans="2:3" x14ac:dyDescent="0.25">
      <c r="B1363" s="46" t="s">
        <v>2458</v>
      </c>
      <c r="C1363" s="40" t="s">
        <v>2457</v>
      </c>
    </row>
    <row r="1364" spans="2:3" x14ac:dyDescent="0.25">
      <c r="B1364" s="46" t="s">
        <v>2460</v>
      </c>
      <c r="C1364" s="40" t="s">
        <v>2459</v>
      </c>
    </row>
    <row r="1365" spans="2:3" x14ac:dyDescent="0.25">
      <c r="B1365" s="46" t="s">
        <v>2462</v>
      </c>
      <c r="C1365" s="40" t="s">
        <v>2461</v>
      </c>
    </row>
    <row r="1366" spans="2:3" x14ac:dyDescent="0.25">
      <c r="B1366" s="46" t="s">
        <v>2464</v>
      </c>
      <c r="C1366" s="40" t="s">
        <v>2463</v>
      </c>
    </row>
    <row r="1367" spans="2:3" x14ac:dyDescent="0.25">
      <c r="B1367" s="46" t="s">
        <v>2466</v>
      </c>
      <c r="C1367" s="40" t="s">
        <v>2465</v>
      </c>
    </row>
    <row r="1368" spans="2:3" x14ac:dyDescent="0.25">
      <c r="B1368" s="46" t="s">
        <v>2468</v>
      </c>
      <c r="C1368" s="40" t="s">
        <v>2467</v>
      </c>
    </row>
    <row r="1369" spans="2:3" x14ac:dyDescent="0.25">
      <c r="B1369" s="46" t="s">
        <v>2470</v>
      </c>
      <c r="C1369" s="40" t="s">
        <v>2469</v>
      </c>
    </row>
    <row r="1370" spans="2:3" x14ac:dyDescent="0.25">
      <c r="B1370" s="46" t="s">
        <v>2472</v>
      </c>
      <c r="C1370" s="40" t="s">
        <v>2471</v>
      </c>
    </row>
    <row r="1371" spans="2:3" x14ac:dyDescent="0.25">
      <c r="B1371" s="46" t="s">
        <v>2474</v>
      </c>
      <c r="C1371" s="40" t="s">
        <v>2473</v>
      </c>
    </row>
    <row r="1372" spans="2:3" x14ac:dyDescent="0.25">
      <c r="B1372" s="46" t="s">
        <v>2476</v>
      </c>
      <c r="C1372" s="40" t="s">
        <v>2475</v>
      </c>
    </row>
    <row r="1373" spans="2:3" x14ac:dyDescent="0.25">
      <c r="B1373" s="46" t="s">
        <v>2478</v>
      </c>
      <c r="C1373" s="40" t="s">
        <v>2477</v>
      </c>
    </row>
    <row r="1374" spans="2:3" x14ac:dyDescent="0.25">
      <c r="B1374" s="46" t="s">
        <v>2480</v>
      </c>
      <c r="C1374" s="40" t="s">
        <v>2479</v>
      </c>
    </row>
    <row r="1375" spans="2:3" x14ac:dyDescent="0.25">
      <c r="B1375" s="46" t="s">
        <v>2482</v>
      </c>
      <c r="C1375" s="40" t="s">
        <v>2481</v>
      </c>
    </row>
    <row r="1376" spans="2:3" x14ac:dyDescent="0.25">
      <c r="B1376" s="46" t="s">
        <v>2484</v>
      </c>
      <c r="C1376" s="40" t="s">
        <v>2483</v>
      </c>
    </row>
    <row r="1377" spans="2:3" x14ac:dyDescent="0.25">
      <c r="B1377" s="46" t="s">
        <v>2486</v>
      </c>
      <c r="C1377" s="40" t="s">
        <v>2485</v>
      </c>
    </row>
    <row r="1378" spans="2:3" x14ac:dyDescent="0.25">
      <c r="B1378" s="46" t="s">
        <v>2488</v>
      </c>
      <c r="C1378" s="40" t="s">
        <v>2487</v>
      </c>
    </row>
    <row r="1379" spans="2:3" x14ac:dyDescent="0.25">
      <c r="B1379" s="46" t="s">
        <v>2490</v>
      </c>
      <c r="C1379" s="40" t="s">
        <v>2489</v>
      </c>
    </row>
    <row r="1380" spans="2:3" x14ac:dyDescent="0.25">
      <c r="B1380" s="46" t="s">
        <v>2492</v>
      </c>
      <c r="C1380" s="40" t="s">
        <v>2491</v>
      </c>
    </row>
    <row r="1381" spans="2:3" x14ac:dyDescent="0.25">
      <c r="B1381" s="46" t="s">
        <v>2494</v>
      </c>
      <c r="C1381" s="40" t="s">
        <v>2493</v>
      </c>
    </row>
    <row r="1382" spans="2:3" x14ac:dyDescent="0.25">
      <c r="B1382" s="46" t="s">
        <v>2496</v>
      </c>
      <c r="C1382" s="40" t="s">
        <v>2495</v>
      </c>
    </row>
    <row r="1383" spans="2:3" x14ac:dyDescent="0.25">
      <c r="B1383" s="46" t="s">
        <v>2498</v>
      </c>
      <c r="C1383" s="40" t="s">
        <v>2497</v>
      </c>
    </row>
    <row r="1384" spans="2:3" x14ac:dyDescent="0.25">
      <c r="B1384" s="46" t="s">
        <v>2500</v>
      </c>
      <c r="C1384" s="40" t="s">
        <v>2499</v>
      </c>
    </row>
    <row r="1385" spans="2:3" x14ac:dyDescent="0.25">
      <c r="B1385" s="46" t="s">
        <v>2502</v>
      </c>
      <c r="C1385" s="40" t="s">
        <v>2501</v>
      </c>
    </row>
    <row r="1386" spans="2:3" x14ac:dyDescent="0.25">
      <c r="B1386" s="46" t="s">
        <v>2504</v>
      </c>
      <c r="C1386" s="40" t="s">
        <v>2503</v>
      </c>
    </row>
    <row r="1387" spans="2:3" x14ac:dyDescent="0.25">
      <c r="B1387" s="46" t="s">
        <v>2506</v>
      </c>
      <c r="C1387" s="40" t="s">
        <v>2505</v>
      </c>
    </row>
    <row r="1388" spans="2:3" x14ac:dyDescent="0.25">
      <c r="B1388" s="46" t="s">
        <v>2508</v>
      </c>
      <c r="C1388" s="40" t="s">
        <v>2507</v>
      </c>
    </row>
    <row r="1389" spans="2:3" x14ac:dyDescent="0.25">
      <c r="B1389" s="46" t="s">
        <v>2510</v>
      </c>
      <c r="C1389" s="40" t="s">
        <v>2509</v>
      </c>
    </row>
    <row r="1390" spans="2:3" x14ac:dyDescent="0.25">
      <c r="B1390" s="46" t="s">
        <v>2512</v>
      </c>
      <c r="C1390" s="40" t="s">
        <v>2511</v>
      </c>
    </row>
    <row r="1391" spans="2:3" x14ac:dyDescent="0.25">
      <c r="B1391" s="46" t="s">
        <v>2514</v>
      </c>
      <c r="C1391" s="40" t="s">
        <v>2513</v>
      </c>
    </row>
    <row r="1392" spans="2:3" x14ac:dyDescent="0.25">
      <c r="B1392" s="46" t="s">
        <v>2516</v>
      </c>
      <c r="C1392" s="40" t="s">
        <v>2515</v>
      </c>
    </row>
    <row r="1393" spans="2:3" x14ac:dyDescent="0.25">
      <c r="B1393" s="46" t="s">
        <v>2518</v>
      </c>
      <c r="C1393" s="40" t="s">
        <v>2517</v>
      </c>
    </row>
    <row r="1394" spans="2:3" x14ac:dyDescent="0.25">
      <c r="B1394" s="46" t="s">
        <v>2520</v>
      </c>
      <c r="C1394" s="40" t="s">
        <v>2519</v>
      </c>
    </row>
    <row r="1395" spans="2:3" x14ac:dyDescent="0.25">
      <c r="B1395" s="46" t="s">
        <v>2522</v>
      </c>
      <c r="C1395" s="40" t="s">
        <v>2521</v>
      </c>
    </row>
    <row r="1396" spans="2:3" x14ac:dyDescent="0.25">
      <c r="B1396" s="46" t="s">
        <v>2524</v>
      </c>
      <c r="C1396" s="40" t="s">
        <v>2523</v>
      </c>
    </row>
    <row r="1397" spans="2:3" x14ac:dyDescent="0.25">
      <c r="B1397" s="46" t="s">
        <v>2526</v>
      </c>
      <c r="C1397" s="40" t="s">
        <v>2525</v>
      </c>
    </row>
    <row r="1398" spans="2:3" x14ac:dyDescent="0.25">
      <c r="B1398" s="46" t="s">
        <v>2528</v>
      </c>
      <c r="C1398" s="40" t="s">
        <v>2527</v>
      </c>
    </row>
    <row r="1399" spans="2:3" x14ac:dyDescent="0.25">
      <c r="B1399" s="46" t="s">
        <v>2530</v>
      </c>
      <c r="C1399" s="40" t="s">
        <v>2529</v>
      </c>
    </row>
    <row r="1400" spans="2:3" x14ac:dyDescent="0.25">
      <c r="B1400" s="46" t="s">
        <v>2532</v>
      </c>
      <c r="C1400" s="40" t="s">
        <v>2531</v>
      </c>
    </row>
    <row r="1401" spans="2:3" x14ac:dyDescent="0.25">
      <c r="B1401" s="46" t="s">
        <v>2534</v>
      </c>
      <c r="C1401" s="40" t="s">
        <v>2533</v>
      </c>
    </row>
    <row r="1402" spans="2:3" x14ac:dyDescent="0.25">
      <c r="B1402" s="46" t="s">
        <v>2536</v>
      </c>
      <c r="C1402" s="40" t="s">
        <v>2535</v>
      </c>
    </row>
    <row r="1403" spans="2:3" x14ac:dyDescent="0.25">
      <c r="B1403" s="46" t="s">
        <v>2538</v>
      </c>
      <c r="C1403" s="40" t="s">
        <v>2537</v>
      </c>
    </row>
    <row r="1404" spans="2:3" x14ac:dyDescent="0.25">
      <c r="B1404" s="46" t="s">
        <v>2540</v>
      </c>
      <c r="C1404" s="40" t="s">
        <v>2539</v>
      </c>
    </row>
    <row r="1405" spans="2:3" x14ac:dyDescent="0.25">
      <c r="B1405" s="46" t="s">
        <v>2542</v>
      </c>
      <c r="C1405" s="40" t="s">
        <v>2541</v>
      </c>
    </row>
    <row r="1406" spans="2:3" x14ac:dyDescent="0.25">
      <c r="B1406" s="46" t="s">
        <v>2544</v>
      </c>
      <c r="C1406" s="40" t="s">
        <v>2543</v>
      </c>
    </row>
    <row r="1407" spans="2:3" x14ac:dyDescent="0.25">
      <c r="B1407" s="46" t="s">
        <v>2546</v>
      </c>
      <c r="C1407" s="40" t="s">
        <v>2545</v>
      </c>
    </row>
    <row r="1408" spans="2:3" x14ac:dyDescent="0.25">
      <c r="B1408" s="46" t="s">
        <v>2548</v>
      </c>
      <c r="C1408" s="40" t="s">
        <v>2547</v>
      </c>
    </row>
    <row r="1409" spans="2:3" x14ac:dyDescent="0.25">
      <c r="B1409" s="46" t="s">
        <v>2550</v>
      </c>
      <c r="C1409" s="40" t="s">
        <v>2549</v>
      </c>
    </row>
    <row r="1410" spans="2:3" x14ac:dyDescent="0.25">
      <c r="B1410" s="46" t="s">
        <v>2552</v>
      </c>
      <c r="C1410" s="40" t="s">
        <v>2551</v>
      </c>
    </row>
    <row r="1411" spans="2:3" x14ac:dyDescent="0.25">
      <c r="B1411" s="46" t="s">
        <v>2554</v>
      </c>
      <c r="C1411" s="40" t="s">
        <v>2553</v>
      </c>
    </row>
    <row r="1412" spans="2:3" x14ac:dyDescent="0.25">
      <c r="B1412" s="46" t="s">
        <v>2556</v>
      </c>
      <c r="C1412" s="40" t="s">
        <v>2555</v>
      </c>
    </row>
    <row r="1413" spans="2:3" x14ac:dyDescent="0.25">
      <c r="B1413" s="46" t="s">
        <v>2558</v>
      </c>
      <c r="C1413" s="40" t="s">
        <v>2557</v>
      </c>
    </row>
    <row r="1414" spans="2:3" x14ac:dyDescent="0.25">
      <c r="B1414" s="46" t="s">
        <v>2560</v>
      </c>
      <c r="C1414" s="40" t="s">
        <v>2559</v>
      </c>
    </row>
    <row r="1415" spans="2:3" x14ac:dyDescent="0.25">
      <c r="B1415" s="46" t="s">
        <v>2562</v>
      </c>
      <c r="C1415" s="40" t="s">
        <v>2561</v>
      </c>
    </row>
    <row r="1416" spans="2:3" x14ac:dyDescent="0.25">
      <c r="B1416" s="46" t="s">
        <v>2564</v>
      </c>
      <c r="C1416" s="40" t="s">
        <v>2563</v>
      </c>
    </row>
    <row r="1417" spans="2:3" x14ac:dyDescent="0.25">
      <c r="B1417" s="46" t="s">
        <v>2566</v>
      </c>
      <c r="C1417" s="40" t="s">
        <v>2565</v>
      </c>
    </row>
    <row r="1418" spans="2:3" x14ac:dyDescent="0.25">
      <c r="B1418" s="46" t="s">
        <v>2568</v>
      </c>
      <c r="C1418" s="40" t="s">
        <v>2567</v>
      </c>
    </row>
    <row r="1419" spans="2:3" x14ac:dyDescent="0.25">
      <c r="B1419" s="46" t="s">
        <v>2570</v>
      </c>
      <c r="C1419" s="40" t="s">
        <v>2569</v>
      </c>
    </row>
    <row r="1420" spans="2:3" x14ac:dyDescent="0.25">
      <c r="B1420" s="46" t="s">
        <v>2572</v>
      </c>
      <c r="C1420" s="40" t="s">
        <v>2571</v>
      </c>
    </row>
    <row r="1421" spans="2:3" x14ac:dyDescent="0.25">
      <c r="B1421" s="46" t="s">
        <v>2574</v>
      </c>
      <c r="C1421" s="40" t="s">
        <v>2573</v>
      </c>
    </row>
    <row r="1422" spans="2:3" x14ac:dyDescent="0.25">
      <c r="B1422" s="46" t="s">
        <v>2576</v>
      </c>
      <c r="C1422" s="40" t="s">
        <v>2575</v>
      </c>
    </row>
    <row r="1423" spans="2:3" x14ac:dyDescent="0.25">
      <c r="B1423" s="46" t="s">
        <v>2578</v>
      </c>
      <c r="C1423" s="40" t="s">
        <v>2577</v>
      </c>
    </row>
    <row r="1424" spans="2:3" x14ac:dyDescent="0.25">
      <c r="B1424" s="46" t="s">
        <v>2580</v>
      </c>
      <c r="C1424" s="40" t="s">
        <v>2579</v>
      </c>
    </row>
    <row r="1425" spans="2:3" x14ac:dyDescent="0.25">
      <c r="B1425" s="46" t="s">
        <v>2582</v>
      </c>
      <c r="C1425" s="40" t="s">
        <v>2581</v>
      </c>
    </row>
    <row r="1426" spans="2:3" x14ac:dyDescent="0.25">
      <c r="B1426" s="46" t="s">
        <v>2584</v>
      </c>
      <c r="C1426" s="40" t="s">
        <v>2583</v>
      </c>
    </row>
    <row r="1427" spans="2:3" x14ac:dyDescent="0.25">
      <c r="B1427" s="46" t="s">
        <v>2586</v>
      </c>
      <c r="C1427" s="40" t="s">
        <v>2585</v>
      </c>
    </row>
    <row r="1428" spans="2:3" x14ac:dyDescent="0.25">
      <c r="B1428" s="46" t="s">
        <v>2588</v>
      </c>
      <c r="C1428" s="40" t="s">
        <v>2587</v>
      </c>
    </row>
    <row r="1429" spans="2:3" x14ac:dyDescent="0.25">
      <c r="B1429" s="46" t="s">
        <v>2590</v>
      </c>
      <c r="C1429" s="40" t="s">
        <v>2589</v>
      </c>
    </row>
    <row r="1430" spans="2:3" x14ac:dyDescent="0.25">
      <c r="B1430" s="46" t="s">
        <v>2592</v>
      </c>
      <c r="C1430" s="40" t="s">
        <v>2591</v>
      </c>
    </row>
    <row r="1431" spans="2:3" x14ac:dyDescent="0.25">
      <c r="B1431" s="46" t="s">
        <v>2594</v>
      </c>
      <c r="C1431" s="40" t="s">
        <v>2593</v>
      </c>
    </row>
    <row r="1432" spans="2:3" x14ac:dyDescent="0.25">
      <c r="B1432" s="46" t="s">
        <v>2596</v>
      </c>
      <c r="C1432" s="40" t="s">
        <v>2595</v>
      </c>
    </row>
    <row r="1433" spans="2:3" x14ac:dyDescent="0.25">
      <c r="B1433" s="46" t="s">
        <v>2598</v>
      </c>
      <c r="C1433" s="40" t="s">
        <v>2597</v>
      </c>
    </row>
    <row r="1434" spans="2:3" x14ac:dyDescent="0.25">
      <c r="B1434" s="46" t="s">
        <v>2600</v>
      </c>
      <c r="C1434" s="40" t="s">
        <v>2599</v>
      </c>
    </row>
    <row r="1435" spans="2:3" x14ac:dyDescent="0.25">
      <c r="B1435" s="46" t="s">
        <v>2602</v>
      </c>
      <c r="C1435" s="40" t="s">
        <v>2601</v>
      </c>
    </row>
    <row r="1436" spans="2:3" x14ac:dyDescent="0.25">
      <c r="B1436" s="46" t="s">
        <v>2604</v>
      </c>
      <c r="C1436" s="40" t="s">
        <v>2603</v>
      </c>
    </row>
    <row r="1437" spans="2:3" x14ac:dyDescent="0.25">
      <c r="B1437" s="46" t="s">
        <v>2606</v>
      </c>
      <c r="C1437" s="40" t="s">
        <v>2605</v>
      </c>
    </row>
    <row r="1438" spans="2:3" x14ac:dyDescent="0.25">
      <c r="B1438" s="46" t="s">
        <v>2608</v>
      </c>
      <c r="C1438" s="40" t="s">
        <v>2607</v>
      </c>
    </row>
    <row r="1439" spans="2:3" x14ac:dyDescent="0.25">
      <c r="B1439" s="46" t="s">
        <v>2610</v>
      </c>
      <c r="C1439" s="40" t="s">
        <v>2609</v>
      </c>
    </row>
    <row r="1440" spans="2:3" x14ac:dyDescent="0.25">
      <c r="B1440" s="46" t="s">
        <v>2612</v>
      </c>
      <c r="C1440" s="40" t="s">
        <v>2611</v>
      </c>
    </row>
    <row r="1441" spans="2:3" x14ac:dyDescent="0.25">
      <c r="B1441" s="46" t="s">
        <v>2614</v>
      </c>
      <c r="C1441" s="40" t="s">
        <v>2613</v>
      </c>
    </row>
    <row r="1442" spans="2:3" x14ac:dyDescent="0.25">
      <c r="B1442" s="46" t="s">
        <v>2616</v>
      </c>
      <c r="C1442" s="40" t="s">
        <v>2615</v>
      </c>
    </row>
    <row r="1443" spans="2:3" x14ac:dyDescent="0.25">
      <c r="B1443" s="46" t="s">
        <v>2618</v>
      </c>
      <c r="C1443" s="40" t="s">
        <v>2617</v>
      </c>
    </row>
    <row r="1444" spans="2:3" x14ac:dyDescent="0.25">
      <c r="B1444" s="46" t="s">
        <v>2620</v>
      </c>
      <c r="C1444" s="40" t="s">
        <v>2619</v>
      </c>
    </row>
    <row r="1445" spans="2:3" x14ac:dyDescent="0.25">
      <c r="B1445" s="46" t="s">
        <v>2622</v>
      </c>
      <c r="C1445" s="40" t="s">
        <v>2621</v>
      </c>
    </row>
    <row r="1446" spans="2:3" x14ac:dyDescent="0.25">
      <c r="B1446" s="46" t="s">
        <v>2624</v>
      </c>
      <c r="C1446" s="40" t="s">
        <v>2623</v>
      </c>
    </row>
    <row r="1447" spans="2:3" x14ac:dyDescent="0.25">
      <c r="B1447" s="46" t="s">
        <v>2626</v>
      </c>
      <c r="C1447" s="40" t="s">
        <v>2625</v>
      </c>
    </row>
    <row r="1448" spans="2:3" x14ac:dyDescent="0.25">
      <c r="B1448" s="46" t="s">
        <v>2628</v>
      </c>
      <c r="C1448" s="40" t="s">
        <v>2627</v>
      </c>
    </row>
    <row r="1449" spans="2:3" x14ac:dyDescent="0.25">
      <c r="B1449" s="46" t="s">
        <v>2630</v>
      </c>
      <c r="C1449" s="40" t="s">
        <v>2629</v>
      </c>
    </row>
    <row r="1450" spans="2:3" x14ac:dyDescent="0.25">
      <c r="B1450" s="46" t="s">
        <v>2632</v>
      </c>
      <c r="C1450" s="40" t="s">
        <v>2631</v>
      </c>
    </row>
    <row r="1451" spans="2:3" x14ac:dyDescent="0.25">
      <c r="B1451" s="46" t="s">
        <v>2634</v>
      </c>
      <c r="C1451" s="40" t="s">
        <v>2633</v>
      </c>
    </row>
    <row r="1452" spans="2:3" x14ac:dyDescent="0.25">
      <c r="B1452" s="46" t="s">
        <v>2636</v>
      </c>
      <c r="C1452" s="40" t="s">
        <v>2635</v>
      </c>
    </row>
    <row r="1453" spans="2:3" x14ac:dyDescent="0.25">
      <c r="B1453" s="46" t="s">
        <v>2638</v>
      </c>
      <c r="C1453" s="40" t="s">
        <v>2637</v>
      </c>
    </row>
    <row r="1454" spans="2:3" x14ac:dyDescent="0.25">
      <c r="B1454" s="46" t="s">
        <v>2640</v>
      </c>
      <c r="C1454" s="40" t="s">
        <v>2639</v>
      </c>
    </row>
    <row r="1455" spans="2:3" x14ac:dyDescent="0.25">
      <c r="B1455" s="46" t="s">
        <v>2642</v>
      </c>
      <c r="C1455" s="40" t="s">
        <v>2641</v>
      </c>
    </row>
    <row r="1456" spans="2:3" x14ac:dyDescent="0.25">
      <c r="B1456" s="46" t="s">
        <v>2644</v>
      </c>
      <c r="C1456" s="40" t="s">
        <v>2643</v>
      </c>
    </row>
    <row r="1457" spans="2:3" x14ac:dyDescent="0.25">
      <c r="B1457" s="46" t="s">
        <v>2646</v>
      </c>
      <c r="C1457" s="40" t="s">
        <v>2645</v>
      </c>
    </row>
    <row r="1458" spans="2:3" x14ac:dyDescent="0.25">
      <c r="B1458" s="46" t="s">
        <v>2648</v>
      </c>
      <c r="C1458" s="40" t="s">
        <v>2647</v>
      </c>
    </row>
    <row r="1459" spans="2:3" x14ac:dyDescent="0.25">
      <c r="B1459" s="46" t="s">
        <v>2650</v>
      </c>
      <c r="C1459" s="40" t="s">
        <v>2649</v>
      </c>
    </row>
    <row r="1460" spans="2:3" x14ac:dyDescent="0.25">
      <c r="B1460" s="46" t="s">
        <v>2652</v>
      </c>
      <c r="C1460" s="40" t="s">
        <v>2651</v>
      </c>
    </row>
    <row r="1461" spans="2:3" x14ac:dyDescent="0.25">
      <c r="B1461" s="46" t="s">
        <v>2654</v>
      </c>
      <c r="C1461" s="40" t="s">
        <v>2653</v>
      </c>
    </row>
    <row r="1462" spans="2:3" x14ac:dyDescent="0.25">
      <c r="B1462" s="46" t="s">
        <v>2656</v>
      </c>
      <c r="C1462" s="40" t="s">
        <v>2655</v>
      </c>
    </row>
    <row r="1463" spans="2:3" x14ac:dyDescent="0.25">
      <c r="B1463" s="46" t="s">
        <v>2658</v>
      </c>
      <c r="C1463" s="40" t="s">
        <v>2657</v>
      </c>
    </row>
    <row r="1464" spans="2:3" x14ac:dyDescent="0.25">
      <c r="B1464" s="46" t="s">
        <v>2660</v>
      </c>
      <c r="C1464" s="40" t="s">
        <v>2659</v>
      </c>
    </row>
    <row r="1465" spans="2:3" x14ac:dyDescent="0.25">
      <c r="B1465" s="46" t="s">
        <v>2662</v>
      </c>
      <c r="C1465" s="40" t="s">
        <v>2661</v>
      </c>
    </row>
    <row r="1466" spans="2:3" x14ac:dyDescent="0.25">
      <c r="B1466" s="46" t="s">
        <v>2664</v>
      </c>
      <c r="C1466" s="40" t="s">
        <v>2663</v>
      </c>
    </row>
    <row r="1467" spans="2:3" x14ac:dyDescent="0.25">
      <c r="B1467" s="46" t="s">
        <v>2666</v>
      </c>
      <c r="C1467" s="40" t="s">
        <v>2665</v>
      </c>
    </row>
    <row r="1468" spans="2:3" x14ac:dyDescent="0.25">
      <c r="B1468" s="46" t="s">
        <v>2668</v>
      </c>
      <c r="C1468" s="40" t="s">
        <v>2667</v>
      </c>
    </row>
    <row r="1469" spans="2:3" x14ac:dyDescent="0.25">
      <c r="B1469" s="46" t="s">
        <v>2670</v>
      </c>
      <c r="C1469" s="40" t="s">
        <v>2669</v>
      </c>
    </row>
    <row r="1470" spans="2:3" x14ac:dyDescent="0.25">
      <c r="B1470" s="46" t="s">
        <v>2672</v>
      </c>
      <c r="C1470" s="40" t="s">
        <v>2671</v>
      </c>
    </row>
    <row r="1471" spans="2:3" x14ac:dyDescent="0.25">
      <c r="B1471" s="46" t="s">
        <v>2674</v>
      </c>
      <c r="C1471" s="40" t="s">
        <v>2673</v>
      </c>
    </row>
    <row r="1472" spans="2:3" x14ac:dyDescent="0.25">
      <c r="B1472" s="46" t="s">
        <v>2676</v>
      </c>
      <c r="C1472" s="40" t="s">
        <v>2675</v>
      </c>
    </row>
    <row r="1473" spans="2:3" x14ac:dyDescent="0.25">
      <c r="B1473" s="46" t="s">
        <v>2678</v>
      </c>
      <c r="C1473" s="40" t="s">
        <v>2677</v>
      </c>
    </row>
    <row r="1474" spans="2:3" x14ac:dyDescent="0.25">
      <c r="B1474" s="46" t="s">
        <v>2680</v>
      </c>
      <c r="C1474" s="40" t="s">
        <v>2679</v>
      </c>
    </row>
    <row r="1475" spans="2:3" x14ac:dyDescent="0.25">
      <c r="B1475" s="46" t="s">
        <v>2682</v>
      </c>
      <c r="C1475" s="40" t="s">
        <v>2681</v>
      </c>
    </row>
    <row r="1476" spans="2:3" x14ac:dyDescent="0.25">
      <c r="B1476" s="46" t="s">
        <v>2684</v>
      </c>
      <c r="C1476" s="40" t="s">
        <v>2683</v>
      </c>
    </row>
    <row r="1477" spans="2:3" x14ac:dyDescent="0.25">
      <c r="B1477" s="46" t="s">
        <v>2686</v>
      </c>
      <c r="C1477" s="40" t="s">
        <v>2685</v>
      </c>
    </row>
    <row r="1478" spans="2:3" x14ac:dyDescent="0.25">
      <c r="B1478" s="46" t="s">
        <v>2688</v>
      </c>
      <c r="C1478" s="40" t="s">
        <v>2687</v>
      </c>
    </row>
    <row r="1479" spans="2:3" x14ac:dyDescent="0.25">
      <c r="B1479" s="46" t="s">
        <v>2690</v>
      </c>
      <c r="C1479" s="40" t="s">
        <v>2689</v>
      </c>
    </row>
    <row r="1480" spans="2:3" x14ac:dyDescent="0.25">
      <c r="B1480" s="46" t="s">
        <v>2692</v>
      </c>
      <c r="C1480" s="40" t="s">
        <v>2691</v>
      </c>
    </row>
    <row r="1481" spans="2:3" x14ac:dyDescent="0.25">
      <c r="B1481" s="46" t="s">
        <v>2694</v>
      </c>
      <c r="C1481" s="40" t="s">
        <v>2693</v>
      </c>
    </row>
    <row r="1482" spans="2:3" x14ac:dyDescent="0.25">
      <c r="B1482" s="46" t="s">
        <v>2696</v>
      </c>
      <c r="C1482" s="40" t="s">
        <v>2695</v>
      </c>
    </row>
    <row r="1483" spans="2:3" x14ac:dyDescent="0.25">
      <c r="B1483" s="46" t="s">
        <v>2698</v>
      </c>
      <c r="C1483" s="40" t="s">
        <v>2697</v>
      </c>
    </row>
    <row r="1484" spans="2:3" x14ac:dyDescent="0.25">
      <c r="B1484" s="46" t="s">
        <v>2700</v>
      </c>
      <c r="C1484" s="40" t="s">
        <v>2699</v>
      </c>
    </row>
    <row r="1485" spans="2:3" x14ac:dyDescent="0.25">
      <c r="B1485" s="46" t="s">
        <v>2702</v>
      </c>
      <c r="C1485" s="40" t="s">
        <v>2701</v>
      </c>
    </row>
    <row r="1486" spans="2:3" x14ac:dyDescent="0.25">
      <c r="B1486" s="46" t="s">
        <v>2704</v>
      </c>
      <c r="C1486" s="40" t="s">
        <v>2703</v>
      </c>
    </row>
    <row r="1487" spans="2:3" x14ac:dyDescent="0.25">
      <c r="B1487" s="46" t="s">
        <v>2706</v>
      </c>
      <c r="C1487" s="40" t="s">
        <v>2705</v>
      </c>
    </row>
    <row r="1488" spans="2:3" x14ac:dyDescent="0.25">
      <c r="B1488" s="46" t="s">
        <v>2708</v>
      </c>
      <c r="C1488" s="40" t="s">
        <v>2707</v>
      </c>
    </row>
    <row r="1489" spans="2:3" x14ac:dyDescent="0.25">
      <c r="B1489" s="46" t="s">
        <v>2710</v>
      </c>
      <c r="C1489" s="40" t="s">
        <v>2709</v>
      </c>
    </row>
    <row r="1490" spans="2:3" x14ac:dyDescent="0.25">
      <c r="B1490" s="46" t="s">
        <v>2712</v>
      </c>
      <c r="C1490" s="40" t="s">
        <v>2711</v>
      </c>
    </row>
    <row r="1491" spans="2:3" x14ac:dyDescent="0.25">
      <c r="B1491" s="46" t="s">
        <v>2714</v>
      </c>
      <c r="C1491" s="40" t="s">
        <v>2713</v>
      </c>
    </row>
    <row r="1492" spans="2:3" x14ac:dyDescent="0.25">
      <c r="B1492" s="46" t="s">
        <v>2716</v>
      </c>
      <c r="C1492" s="40" t="s">
        <v>2715</v>
      </c>
    </row>
    <row r="1493" spans="2:3" x14ac:dyDescent="0.25">
      <c r="B1493" s="46" t="s">
        <v>2718</v>
      </c>
      <c r="C1493" s="40" t="s">
        <v>2717</v>
      </c>
    </row>
    <row r="1494" spans="2:3" x14ac:dyDescent="0.25">
      <c r="B1494" s="46" t="s">
        <v>2720</v>
      </c>
      <c r="C1494" s="40" t="s">
        <v>2719</v>
      </c>
    </row>
    <row r="1495" spans="2:3" x14ac:dyDescent="0.25">
      <c r="B1495" s="46" t="s">
        <v>2722</v>
      </c>
      <c r="C1495" s="40" t="s">
        <v>2721</v>
      </c>
    </row>
    <row r="1496" spans="2:3" x14ac:dyDescent="0.25">
      <c r="B1496" s="46" t="s">
        <v>2724</v>
      </c>
      <c r="C1496" s="40" t="s">
        <v>2723</v>
      </c>
    </row>
    <row r="1497" spans="2:3" x14ac:dyDescent="0.25">
      <c r="B1497" s="46" t="s">
        <v>2726</v>
      </c>
      <c r="C1497" s="40" t="s">
        <v>2725</v>
      </c>
    </row>
    <row r="1498" spans="2:3" x14ac:dyDescent="0.25">
      <c r="B1498" s="46" t="s">
        <v>2728</v>
      </c>
      <c r="C1498" s="40" t="s">
        <v>2727</v>
      </c>
    </row>
    <row r="1499" spans="2:3" x14ac:dyDescent="0.25">
      <c r="B1499" s="46" t="s">
        <v>2730</v>
      </c>
      <c r="C1499" s="40" t="s">
        <v>2729</v>
      </c>
    </row>
    <row r="1500" spans="2:3" x14ac:dyDescent="0.25">
      <c r="B1500" s="46" t="s">
        <v>2732</v>
      </c>
      <c r="C1500" s="40" t="s">
        <v>2731</v>
      </c>
    </row>
    <row r="1501" spans="2:3" x14ac:dyDescent="0.25">
      <c r="B1501" s="46" t="s">
        <v>2734</v>
      </c>
      <c r="C1501" s="40" t="s">
        <v>2733</v>
      </c>
    </row>
    <row r="1502" spans="2:3" x14ac:dyDescent="0.25">
      <c r="B1502" s="46" t="s">
        <v>2736</v>
      </c>
      <c r="C1502" s="40" t="s">
        <v>2735</v>
      </c>
    </row>
    <row r="1503" spans="2:3" x14ac:dyDescent="0.25">
      <c r="B1503" s="46" t="s">
        <v>2738</v>
      </c>
      <c r="C1503" s="40" t="s">
        <v>2737</v>
      </c>
    </row>
    <row r="1504" spans="2:3" x14ac:dyDescent="0.25">
      <c r="B1504" s="46" t="s">
        <v>2740</v>
      </c>
      <c r="C1504" s="40" t="s">
        <v>2739</v>
      </c>
    </row>
    <row r="1505" spans="2:3" x14ac:dyDescent="0.25">
      <c r="B1505" s="46" t="s">
        <v>2742</v>
      </c>
      <c r="C1505" s="40" t="s">
        <v>2741</v>
      </c>
    </row>
    <row r="1506" spans="2:3" x14ac:dyDescent="0.25">
      <c r="B1506" s="46" t="s">
        <v>2744</v>
      </c>
      <c r="C1506" s="40" t="s">
        <v>2743</v>
      </c>
    </row>
    <row r="1507" spans="2:3" x14ac:dyDescent="0.25">
      <c r="B1507" s="46" t="s">
        <v>2746</v>
      </c>
      <c r="C1507" s="40" t="s">
        <v>2745</v>
      </c>
    </row>
    <row r="1508" spans="2:3" x14ac:dyDescent="0.25">
      <c r="B1508" s="46" t="s">
        <v>2748</v>
      </c>
      <c r="C1508" s="40" t="s">
        <v>2747</v>
      </c>
    </row>
    <row r="1509" spans="2:3" ht="15.75" thickBot="1" x14ac:dyDescent="0.3">
      <c r="B1509" s="47" t="s">
        <v>2750</v>
      </c>
      <c r="C1509" s="41" t="s">
        <v>2749</v>
      </c>
    </row>
    <row r="1511" spans="2:3" ht="15.75" thickBot="1" x14ac:dyDescent="0.3"/>
    <row r="1512" spans="2:3" ht="15.75" thickBot="1" x14ac:dyDescent="0.3">
      <c r="B1512" s="95" t="s">
        <v>3071</v>
      </c>
      <c r="C1512" s="96"/>
    </row>
    <row r="1513" spans="2:3" ht="15.75" thickBot="1" x14ac:dyDescent="0.3">
      <c r="B1513" s="74" t="s">
        <v>286</v>
      </c>
      <c r="C1513" s="73" t="s">
        <v>612</v>
      </c>
    </row>
    <row r="1514" spans="2:3" x14ac:dyDescent="0.25">
      <c r="B1514" s="46" t="s">
        <v>3073</v>
      </c>
      <c r="C1514" s="40" t="s">
        <v>3072</v>
      </c>
    </row>
    <row r="1515" spans="2:3" x14ac:dyDescent="0.25">
      <c r="B1515" s="46" t="s">
        <v>3075</v>
      </c>
      <c r="C1515" s="40" t="s">
        <v>3074</v>
      </c>
    </row>
    <row r="1516" spans="2:3" x14ac:dyDescent="0.25">
      <c r="B1516" s="46" t="s">
        <v>3077</v>
      </c>
      <c r="C1516" s="40" t="s">
        <v>3076</v>
      </c>
    </row>
    <row r="1517" spans="2:3" x14ac:dyDescent="0.25">
      <c r="B1517" s="46" t="s">
        <v>3079</v>
      </c>
      <c r="C1517" s="40" t="s">
        <v>3078</v>
      </c>
    </row>
    <row r="1518" spans="2:3" x14ac:dyDescent="0.25">
      <c r="B1518" s="46" t="s">
        <v>3081</v>
      </c>
      <c r="C1518" s="40" t="s">
        <v>3080</v>
      </c>
    </row>
    <row r="1519" spans="2:3" x14ac:dyDescent="0.25">
      <c r="B1519" s="46" t="s">
        <v>3083</v>
      </c>
      <c r="C1519" s="40" t="s">
        <v>3082</v>
      </c>
    </row>
    <row r="1520" spans="2:3" x14ac:dyDescent="0.25">
      <c r="B1520" s="46" t="s">
        <v>3085</v>
      </c>
      <c r="C1520" s="40" t="s">
        <v>3084</v>
      </c>
    </row>
    <row r="1521" spans="2:3" x14ac:dyDescent="0.25">
      <c r="B1521" s="46" t="s">
        <v>3087</v>
      </c>
      <c r="C1521" s="40" t="s">
        <v>3086</v>
      </c>
    </row>
    <row r="1522" spans="2:3" x14ac:dyDescent="0.25">
      <c r="B1522" s="46" t="s">
        <v>3089</v>
      </c>
      <c r="C1522" s="40" t="s">
        <v>3088</v>
      </c>
    </row>
    <row r="1523" spans="2:3" x14ac:dyDescent="0.25">
      <c r="B1523" s="46" t="s">
        <v>3091</v>
      </c>
      <c r="C1523" s="40" t="s">
        <v>3090</v>
      </c>
    </row>
    <row r="1524" spans="2:3" x14ac:dyDescent="0.25">
      <c r="B1524" s="46" t="s">
        <v>3093</v>
      </c>
      <c r="C1524" s="40" t="s">
        <v>3092</v>
      </c>
    </row>
    <row r="1525" spans="2:3" x14ac:dyDescent="0.25">
      <c r="B1525" s="46" t="s">
        <v>3095</v>
      </c>
      <c r="C1525" s="40" t="s">
        <v>3094</v>
      </c>
    </row>
    <row r="1526" spans="2:3" x14ac:dyDescent="0.25">
      <c r="B1526" s="46" t="s">
        <v>3097</v>
      </c>
      <c r="C1526" s="40" t="s">
        <v>3096</v>
      </c>
    </row>
    <row r="1527" spans="2:3" x14ac:dyDescent="0.25">
      <c r="B1527" s="46" t="s">
        <v>3099</v>
      </c>
      <c r="C1527" s="40" t="s">
        <v>3098</v>
      </c>
    </row>
    <row r="1528" spans="2:3" x14ac:dyDescent="0.25">
      <c r="B1528" s="46" t="s">
        <v>3101</v>
      </c>
      <c r="C1528" s="40" t="s">
        <v>3100</v>
      </c>
    </row>
    <row r="1529" spans="2:3" x14ac:dyDescent="0.25">
      <c r="B1529" s="46" t="s">
        <v>3103</v>
      </c>
      <c r="C1529" s="40" t="s">
        <v>3102</v>
      </c>
    </row>
    <row r="1530" spans="2:3" x14ac:dyDescent="0.25">
      <c r="B1530" s="46" t="s">
        <v>3105</v>
      </c>
      <c r="C1530" s="40" t="s">
        <v>3104</v>
      </c>
    </row>
    <row r="1531" spans="2:3" x14ac:dyDescent="0.25">
      <c r="B1531" s="46" t="s">
        <v>3107</v>
      </c>
      <c r="C1531" s="40" t="s">
        <v>3106</v>
      </c>
    </row>
    <row r="1532" spans="2:3" x14ac:dyDescent="0.25">
      <c r="B1532" s="46" t="s">
        <v>3109</v>
      </c>
      <c r="C1532" s="40" t="s">
        <v>3108</v>
      </c>
    </row>
    <row r="1533" spans="2:3" x14ac:dyDescent="0.25">
      <c r="B1533" s="46" t="s">
        <v>3111</v>
      </c>
      <c r="C1533" s="40" t="s">
        <v>3110</v>
      </c>
    </row>
    <row r="1534" spans="2:3" x14ac:dyDescent="0.25">
      <c r="B1534" s="46" t="s">
        <v>3113</v>
      </c>
      <c r="C1534" s="40" t="s">
        <v>3112</v>
      </c>
    </row>
    <row r="1535" spans="2:3" x14ac:dyDescent="0.25">
      <c r="B1535" s="46" t="s">
        <v>3115</v>
      </c>
      <c r="C1535" s="40" t="s">
        <v>3114</v>
      </c>
    </row>
    <row r="1536" spans="2:3" x14ac:dyDescent="0.25">
      <c r="B1536" s="46" t="s">
        <v>3116</v>
      </c>
      <c r="C1536" s="40" t="s">
        <v>29</v>
      </c>
    </row>
    <row r="1537" spans="2:3" x14ac:dyDescent="0.25">
      <c r="B1537" s="46" t="s">
        <v>3118</v>
      </c>
      <c r="C1537" s="40" t="s">
        <v>3117</v>
      </c>
    </row>
    <row r="1538" spans="2:3" x14ac:dyDescent="0.25">
      <c r="B1538" s="46" t="s">
        <v>3120</v>
      </c>
      <c r="C1538" s="40" t="s">
        <v>3119</v>
      </c>
    </row>
    <row r="1539" spans="2:3" x14ac:dyDescent="0.25">
      <c r="B1539" s="46" t="s">
        <v>3122</v>
      </c>
      <c r="C1539" s="40" t="s">
        <v>3121</v>
      </c>
    </row>
    <row r="1540" spans="2:3" x14ac:dyDescent="0.25">
      <c r="B1540" s="46" t="s">
        <v>3124</v>
      </c>
      <c r="C1540" s="40" t="s">
        <v>3123</v>
      </c>
    </row>
    <row r="1541" spans="2:3" x14ac:dyDescent="0.25">
      <c r="B1541" s="46" t="s">
        <v>3126</v>
      </c>
      <c r="C1541" s="40" t="s">
        <v>3125</v>
      </c>
    </row>
    <row r="1542" spans="2:3" x14ac:dyDescent="0.25">
      <c r="B1542" s="46" t="s">
        <v>3128</v>
      </c>
      <c r="C1542" s="40" t="s">
        <v>3127</v>
      </c>
    </row>
    <row r="1543" spans="2:3" x14ac:dyDescent="0.25">
      <c r="B1543" s="46" t="s">
        <v>3130</v>
      </c>
      <c r="C1543" s="40" t="s">
        <v>3129</v>
      </c>
    </row>
    <row r="1544" spans="2:3" x14ac:dyDescent="0.25">
      <c r="B1544" s="46" t="s">
        <v>3132</v>
      </c>
      <c r="C1544" s="40" t="s">
        <v>3131</v>
      </c>
    </row>
    <row r="1545" spans="2:3" x14ac:dyDescent="0.25">
      <c r="B1545" s="46" t="s">
        <v>3134</v>
      </c>
      <c r="C1545" s="40" t="s">
        <v>3133</v>
      </c>
    </row>
    <row r="1546" spans="2:3" x14ac:dyDescent="0.25">
      <c r="B1546" s="46" t="s">
        <v>3136</v>
      </c>
      <c r="C1546" s="40" t="s">
        <v>3135</v>
      </c>
    </row>
    <row r="1547" spans="2:3" x14ac:dyDescent="0.25">
      <c r="B1547" s="46" t="s">
        <v>3137</v>
      </c>
      <c r="C1547" s="40" t="s">
        <v>453</v>
      </c>
    </row>
    <row r="1548" spans="2:3" x14ac:dyDescent="0.25">
      <c r="B1548" s="46" t="s">
        <v>3138</v>
      </c>
      <c r="C1548" s="40" t="s">
        <v>476</v>
      </c>
    </row>
    <row r="1549" spans="2:3" x14ac:dyDescent="0.25">
      <c r="B1549" s="46" t="s">
        <v>3140</v>
      </c>
      <c r="C1549" s="40" t="s">
        <v>3139</v>
      </c>
    </row>
    <row r="1550" spans="2:3" x14ac:dyDescent="0.25">
      <c r="B1550" s="46" t="s">
        <v>3142</v>
      </c>
      <c r="C1550" s="40" t="s">
        <v>3141</v>
      </c>
    </row>
    <row r="1551" spans="2:3" x14ac:dyDescent="0.25">
      <c r="B1551" s="46" t="s">
        <v>3144</v>
      </c>
      <c r="C1551" s="40" t="s">
        <v>3143</v>
      </c>
    </row>
    <row r="1552" spans="2:3" x14ac:dyDescent="0.25">
      <c r="B1552" s="46" t="s">
        <v>3146</v>
      </c>
      <c r="C1552" s="40" t="s">
        <v>3145</v>
      </c>
    </row>
    <row r="1553" spans="2:3" x14ac:dyDescent="0.25">
      <c r="B1553" s="46" t="s">
        <v>3148</v>
      </c>
      <c r="C1553" s="40" t="s">
        <v>3147</v>
      </c>
    </row>
    <row r="1554" spans="2:3" x14ac:dyDescent="0.25">
      <c r="B1554" s="46" t="s">
        <v>3150</v>
      </c>
      <c r="C1554" s="40" t="s">
        <v>3149</v>
      </c>
    </row>
    <row r="1555" spans="2:3" x14ac:dyDescent="0.25">
      <c r="B1555" s="46" t="s">
        <v>3152</v>
      </c>
      <c r="C1555" s="40" t="s">
        <v>3151</v>
      </c>
    </row>
    <row r="1556" spans="2:3" x14ac:dyDescent="0.25">
      <c r="B1556" s="46" t="s">
        <v>3154</v>
      </c>
      <c r="C1556" s="40" t="s">
        <v>3153</v>
      </c>
    </row>
    <row r="1557" spans="2:3" x14ac:dyDescent="0.25">
      <c r="B1557" s="46" t="s">
        <v>3156</v>
      </c>
      <c r="C1557" s="40" t="s">
        <v>3155</v>
      </c>
    </row>
    <row r="1558" spans="2:3" x14ac:dyDescent="0.25">
      <c r="B1558" s="46" t="s">
        <v>3158</v>
      </c>
      <c r="C1558" s="40" t="s">
        <v>3157</v>
      </c>
    </row>
    <row r="1559" spans="2:3" x14ac:dyDescent="0.25">
      <c r="B1559" s="46" t="s">
        <v>3160</v>
      </c>
      <c r="C1559" s="40" t="s">
        <v>3159</v>
      </c>
    </row>
    <row r="1560" spans="2:3" x14ac:dyDescent="0.25">
      <c r="B1560" s="46" t="s">
        <v>3162</v>
      </c>
      <c r="C1560" s="40" t="s">
        <v>3161</v>
      </c>
    </row>
    <row r="1561" spans="2:3" x14ac:dyDescent="0.25">
      <c r="B1561" s="46" t="s">
        <v>3164</v>
      </c>
      <c r="C1561" s="40" t="s">
        <v>3163</v>
      </c>
    </row>
    <row r="1562" spans="2:3" x14ac:dyDescent="0.25">
      <c r="B1562" s="46" t="s">
        <v>3166</v>
      </c>
      <c r="C1562" s="40" t="s">
        <v>3165</v>
      </c>
    </row>
    <row r="1563" spans="2:3" x14ac:dyDescent="0.25">
      <c r="B1563" s="46" t="s">
        <v>114</v>
      </c>
      <c r="C1563" s="40" t="s">
        <v>114</v>
      </c>
    </row>
    <row r="1564" spans="2:3" x14ac:dyDescent="0.25">
      <c r="B1564" s="46" t="s">
        <v>3168</v>
      </c>
      <c r="C1564" s="40" t="s">
        <v>3167</v>
      </c>
    </row>
    <row r="1565" spans="2:3" x14ac:dyDescent="0.25">
      <c r="B1565" s="46" t="s">
        <v>3170</v>
      </c>
      <c r="C1565" s="40" t="s">
        <v>3169</v>
      </c>
    </row>
    <row r="1566" spans="2:3" x14ac:dyDescent="0.25">
      <c r="B1566" s="46" t="s">
        <v>3172</v>
      </c>
      <c r="C1566" s="40" t="s">
        <v>3171</v>
      </c>
    </row>
    <row r="1567" spans="2:3" x14ac:dyDescent="0.25">
      <c r="B1567" s="46" t="s">
        <v>3174</v>
      </c>
      <c r="C1567" s="40" t="s">
        <v>3173</v>
      </c>
    </row>
    <row r="1568" spans="2:3" x14ac:dyDescent="0.25">
      <c r="B1568" s="46" t="s">
        <v>3176</v>
      </c>
      <c r="C1568" s="40" t="s">
        <v>3175</v>
      </c>
    </row>
    <row r="1569" spans="2:3" x14ac:dyDescent="0.25">
      <c r="B1569" s="46" t="s">
        <v>3178</v>
      </c>
      <c r="C1569" s="40" t="s">
        <v>3177</v>
      </c>
    </row>
    <row r="1570" spans="2:3" x14ac:dyDescent="0.25">
      <c r="B1570" s="46" t="s">
        <v>3180</v>
      </c>
      <c r="C1570" s="40" t="s">
        <v>3179</v>
      </c>
    </row>
    <row r="1571" spans="2:3" x14ac:dyDescent="0.25">
      <c r="B1571" s="46" t="s">
        <v>3182</v>
      </c>
      <c r="C1571" s="40" t="s">
        <v>3181</v>
      </c>
    </row>
    <row r="1572" spans="2:3" x14ac:dyDescent="0.25">
      <c r="B1572" s="46" t="s">
        <v>3184</v>
      </c>
      <c r="C1572" s="40" t="s">
        <v>3183</v>
      </c>
    </row>
    <row r="1573" spans="2:3" x14ac:dyDescent="0.25">
      <c r="B1573" s="46" t="s">
        <v>3186</v>
      </c>
      <c r="C1573" s="40" t="s">
        <v>3185</v>
      </c>
    </row>
    <row r="1574" spans="2:3" x14ac:dyDescent="0.25">
      <c r="B1574" s="46" t="s">
        <v>3188</v>
      </c>
      <c r="C1574" s="40" t="s">
        <v>3187</v>
      </c>
    </row>
    <row r="1575" spans="2:3" x14ac:dyDescent="0.25">
      <c r="B1575" s="46" t="s">
        <v>3190</v>
      </c>
      <c r="C1575" s="40" t="s">
        <v>3189</v>
      </c>
    </row>
    <row r="1576" spans="2:3" x14ac:dyDescent="0.25">
      <c r="B1576" s="46" t="s">
        <v>3192</v>
      </c>
      <c r="C1576" s="40" t="s">
        <v>3191</v>
      </c>
    </row>
    <row r="1577" spans="2:3" x14ac:dyDescent="0.25">
      <c r="B1577" s="46" t="s">
        <v>3194</v>
      </c>
      <c r="C1577" s="40" t="s">
        <v>3193</v>
      </c>
    </row>
    <row r="1578" spans="2:3" x14ac:dyDescent="0.25">
      <c r="B1578" s="46" t="s">
        <v>3196</v>
      </c>
      <c r="C1578" s="40" t="s">
        <v>3195</v>
      </c>
    </row>
    <row r="1579" spans="2:3" x14ac:dyDescent="0.25">
      <c r="B1579" s="46" t="s">
        <v>3198</v>
      </c>
      <c r="C1579" s="40" t="s">
        <v>3197</v>
      </c>
    </row>
    <row r="1580" spans="2:3" x14ac:dyDescent="0.25">
      <c r="B1580" s="46" t="s">
        <v>2561</v>
      </c>
      <c r="C1580" s="40" t="s">
        <v>3199</v>
      </c>
    </row>
    <row r="1581" spans="2:3" x14ac:dyDescent="0.25">
      <c r="B1581" s="46" t="s">
        <v>3201</v>
      </c>
      <c r="C1581" s="40" t="s">
        <v>3200</v>
      </c>
    </row>
    <row r="1582" spans="2:3" x14ac:dyDescent="0.25">
      <c r="B1582" s="46" t="s">
        <v>3203</v>
      </c>
      <c r="C1582" s="40" t="s">
        <v>3202</v>
      </c>
    </row>
    <row r="1583" spans="2:3" x14ac:dyDescent="0.25">
      <c r="B1583" s="46" t="s">
        <v>3205</v>
      </c>
      <c r="C1583" s="40" t="s">
        <v>3204</v>
      </c>
    </row>
    <row r="1584" spans="2:3" x14ac:dyDescent="0.25">
      <c r="B1584" s="46" t="s">
        <v>3207</v>
      </c>
      <c r="C1584" s="40" t="s">
        <v>3206</v>
      </c>
    </row>
    <row r="1585" spans="2:3" x14ac:dyDescent="0.25">
      <c r="B1585" s="46" t="s">
        <v>3209</v>
      </c>
      <c r="C1585" s="40" t="s">
        <v>3208</v>
      </c>
    </row>
    <row r="1586" spans="2:3" x14ac:dyDescent="0.25">
      <c r="B1586" s="46" t="s">
        <v>3211</v>
      </c>
      <c r="C1586" s="40" t="s">
        <v>3210</v>
      </c>
    </row>
    <row r="1587" spans="2:3" ht="15.75" thickBot="1" x14ac:dyDescent="0.3">
      <c r="B1587" s="47" t="s">
        <v>3213</v>
      </c>
      <c r="C1587" s="41" t="s">
        <v>3212</v>
      </c>
    </row>
    <row r="1589" spans="2:3" ht="15.75" thickBot="1" x14ac:dyDescent="0.3"/>
    <row r="1590" spans="2:3" ht="15.75" thickBot="1" x14ac:dyDescent="0.3">
      <c r="B1590" s="51" t="s">
        <v>3215</v>
      </c>
      <c r="C1590" s="49"/>
    </row>
    <row r="1591" spans="2:3" ht="15.75" thickBot="1" x14ac:dyDescent="0.3">
      <c r="B1591" s="47" t="s">
        <v>286</v>
      </c>
      <c r="C1591" s="74" t="s">
        <v>612</v>
      </c>
    </row>
    <row r="1592" spans="2:3" x14ac:dyDescent="0.25">
      <c r="B1592" s="46" t="s">
        <v>719</v>
      </c>
      <c r="C1592" s="46" t="s">
        <v>720</v>
      </c>
    </row>
    <row r="1593" spans="2:3" x14ac:dyDescent="0.25">
      <c r="B1593" s="46" t="s">
        <v>721</v>
      </c>
      <c r="C1593" s="46" t="s">
        <v>722</v>
      </c>
    </row>
    <row r="1594" spans="2:3" x14ac:dyDescent="0.25">
      <c r="B1594" s="46" t="s">
        <v>723</v>
      </c>
      <c r="C1594" s="46" t="s">
        <v>724</v>
      </c>
    </row>
    <row r="1595" spans="2:3" x14ac:dyDescent="0.25">
      <c r="B1595" s="46" t="s">
        <v>725</v>
      </c>
      <c r="C1595" s="46" t="s">
        <v>726</v>
      </c>
    </row>
    <row r="1596" spans="2:3" x14ac:dyDescent="0.25">
      <c r="B1596" s="46" t="s">
        <v>727</v>
      </c>
      <c r="C1596" s="46" t="s">
        <v>728</v>
      </c>
    </row>
    <row r="1597" spans="2:3" x14ac:dyDescent="0.25">
      <c r="B1597" s="46" t="s">
        <v>729</v>
      </c>
      <c r="C1597" s="46" t="s">
        <v>730</v>
      </c>
    </row>
    <row r="1598" spans="2:3" x14ac:dyDescent="0.25">
      <c r="B1598" s="46" t="s">
        <v>731</v>
      </c>
      <c r="C1598" s="46" t="s">
        <v>732</v>
      </c>
    </row>
    <row r="1599" spans="2:3" x14ac:dyDescent="0.25">
      <c r="B1599" s="46" t="s">
        <v>733</v>
      </c>
      <c r="C1599" s="46" t="s">
        <v>734</v>
      </c>
    </row>
    <row r="1600" spans="2:3" x14ac:dyDescent="0.25">
      <c r="B1600" s="46" t="s">
        <v>735</v>
      </c>
      <c r="C1600" s="46" t="s">
        <v>736</v>
      </c>
    </row>
    <row r="1601" spans="2:3" x14ac:dyDescent="0.25">
      <c r="B1601" s="46" t="s">
        <v>737</v>
      </c>
      <c r="C1601" s="46" t="s">
        <v>738</v>
      </c>
    </row>
    <row r="1602" spans="2:3" x14ac:dyDescent="0.25">
      <c r="B1602" s="46" t="s">
        <v>739</v>
      </c>
      <c r="C1602" s="46" t="s">
        <v>740</v>
      </c>
    </row>
    <row r="1603" spans="2:3" x14ac:dyDescent="0.25">
      <c r="B1603" s="46" t="s">
        <v>741</v>
      </c>
      <c r="C1603" s="46" t="s">
        <v>742</v>
      </c>
    </row>
    <row r="1604" spans="2:3" x14ac:dyDescent="0.25">
      <c r="B1604" s="46" t="s">
        <v>743</v>
      </c>
      <c r="C1604" s="46" t="s">
        <v>744</v>
      </c>
    </row>
    <row r="1605" spans="2:3" x14ac:dyDescent="0.25">
      <c r="B1605" s="46" t="s">
        <v>745</v>
      </c>
      <c r="C1605" s="46" t="s">
        <v>746</v>
      </c>
    </row>
    <row r="1606" spans="2:3" x14ac:dyDescent="0.25">
      <c r="B1606" s="46" t="s">
        <v>747</v>
      </c>
      <c r="C1606" s="46" t="s">
        <v>748</v>
      </c>
    </row>
    <row r="1607" spans="2:3" x14ac:dyDescent="0.25">
      <c r="B1607" s="46" t="s">
        <v>749</v>
      </c>
      <c r="C1607" s="46" t="s">
        <v>750</v>
      </c>
    </row>
    <row r="1608" spans="2:3" x14ac:dyDescent="0.25">
      <c r="B1608" s="46" t="s">
        <v>751</v>
      </c>
      <c r="C1608" s="46" t="s">
        <v>752</v>
      </c>
    </row>
    <row r="1609" spans="2:3" x14ac:dyDescent="0.25">
      <c r="B1609" s="46" t="s">
        <v>753</v>
      </c>
      <c r="C1609" s="46" t="s">
        <v>754</v>
      </c>
    </row>
    <row r="1610" spans="2:3" x14ac:dyDescent="0.25">
      <c r="B1610" s="46" t="s">
        <v>755</v>
      </c>
      <c r="C1610" s="46" t="s">
        <v>756</v>
      </c>
    </row>
    <row r="1611" spans="2:3" x14ac:dyDescent="0.25">
      <c r="B1611" s="46" t="s">
        <v>757</v>
      </c>
      <c r="C1611" s="46" t="s">
        <v>758</v>
      </c>
    </row>
    <row r="1612" spans="2:3" x14ac:dyDescent="0.25">
      <c r="B1612" s="46" t="s">
        <v>759</v>
      </c>
      <c r="C1612" s="46" t="s">
        <v>760</v>
      </c>
    </row>
    <row r="1613" spans="2:3" x14ac:dyDescent="0.25">
      <c r="B1613" s="46" t="s">
        <v>761</v>
      </c>
      <c r="C1613" s="46" t="s">
        <v>762</v>
      </c>
    </row>
    <row r="1614" spans="2:3" x14ac:dyDescent="0.25">
      <c r="B1614" s="46" t="s">
        <v>763</v>
      </c>
      <c r="C1614" s="46" t="s">
        <v>764</v>
      </c>
    </row>
    <row r="1615" spans="2:3" x14ac:dyDescent="0.25">
      <c r="B1615" s="46" t="s">
        <v>765</v>
      </c>
      <c r="C1615" s="46" t="s">
        <v>766</v>
      </c>
    </row>
    <row r="1616" spans="2:3" x14ac:dyDescent="0.25">
      <c r="B1616" s="46" t="s">
        <v>767</v>
      </c>
      <c r="C1616" s="46" t="s">
        <v>768</v>
      </c>
    </row>
    <row r="1617" spans="2:3" x14ac:dyDescent="0.25">
      <c r="B1617" s="46" t="s">
        <v>769</v>
      </c>
      <c r="C1617" s="46" t="s">
        <v>770</v>
      </c>
    </row>
    <row r="1618" spans="2:3" x14ac:dyDescent="0.25">
      <c r="B1618" s="46" t="s">
        <v>771</v>
      </c>
      <c r="C1618" s="46" t="s">
        <v>772</v>
      </c>
    </row>
    <row r="1619" spans="2:3" x14ac:dyDescent="0.25">
      <c r="B1619" s="46" t="s">
        <v>773</v>
      </c>
      <c r="C1619" s="46" t="s">
        <v>774</v>
      </c>
    </row>
    <row r="1620" spans="2:3" x14ac:dyDescent="0.25">
      <c r="B1620" s="46" t="s">
        <v>775</v>
      </c>
      <c r="C1620" s="46" t="s">
        <v>776</v>
      </c>
    </row>
    <row r="1621" spans="2:3" x14ac:dyDescent="0.25">
      <c r="B1621" s="46" t="s">
        <v>777</v>
      </c>
      <c r="C1621" s="46" t="s">
        <v>778</v>
      </c>
    </row>
    <row r="1622" spans="2:3" x14ac:dyDescent="0.25">
      <c r="B1622" s="46" t="s">
        <v>779</v>
      </c>
      <c r="C1622" s="46" t="s">
        <v>779</v>
      </c>
    </row>
    <row r="1623" spans="2:3" x14ac:dyDescent="0.25">
      <c r="B1623" s="46" t="s">
        <v>780</v>
      </c>
      <c r="C1623" s="46" t="s">
        <v>781</v>
      </c>
    </row>
    <row r="1624" spans="2:3" x14ac:dyDescent="0.25">
      <c r="B1624" s="46" t="s">
        <v>782</v>
      </c>
      <c r="C1624" s="46" t="s">
        <v>783</v>
      </c>
    </row>
    <row r="1625" spans="2:3" x14ac:dyDescent="0.25">
      <c r="B1625" s="46" t="s">
        <v>784</v>
      </c>
      <c r="C1625" s="46" t="s">
        <v>785</v>
      </c>
    </row>
    <row r="1626" spans="2:3" x14ac:dyDescent="0.25">
      <c r="B1626" s="46" t="s">
        <v>786</v>
      </c>
      <c r="C1626" s="46" t="s">
        <v>787</v>
      </c>
    </row>
    <row r="1627" spans="2:3" x14ac:dyDescent="0.25">
      <c r="B1627" s="46" t="s">
        <v>788</v>
      </c>
      <c r="C1627" s="46" t="s">
        <v>789</v>
      </c>
    </row>
    <row r="1628" spans="2:3" x14ac:dyDescent="0.25">
      <c r="B1628" s="46" t="s">
        <v>790</v>
      </c>
      <c r="C1628" s="46" t="s">
        <v>791</v>
      </c>
    </row>
    <row r="1629" spans="2:3" x14ac:dyDescent="0.25">
      <c r="B1629" s="46" t="s">
        <v>792</v>
      </c>
      <c r="C1629" s="46" t="s">
        <v>793</v>
      </c>
    </row>
    <row r="1630" spans="2:3" x14ac:dyDescent="0.25">
      <c r="B1630" s="46" t="s">
        <v>794</v>
      </c>
      <c r="C1630" s="46" t="s">
        <v>795</v>
      </c>
    </row>
    <row r="1631" spans="2:3" x14ac:dyDescent="0.25">
      <c r="B1631" s="46" t="s">
        <v>796</v>
      </c>
      <c r="C1631" s="46" t="s">
        <v>797</v>
      </c>
    </row>
    <row r="1632" spans="2:3" x14ac:dyDescent="0.25">
      <c r="B1632" s="46" t="s">
        <v>798</v>
      </c>
      <c r="C1632" s="46" t="s">
        <v>799</v>
      </c>
    </row>
    <row r="1633" spans="2:3" x14ac:dyDescent="0.25">
      <c r="B1633" s="46" t="s">
        <v>800</v>
      </c>
      <c r="C1633" s="46" t="s">
        <v>801</v>
      </c>
    </row>
    <row r="1634" spans="2:3" x14ac:dyDescent="0.25">
      <c r="B1634" s="46" t="s">
        <v>568</v>
      </c>
      <c r="C1634" s="46" t="s">
        <v>802</v>
      </c>
    </row>
    <row r="1635" spans="2:3" x14ac:dyDescent="0.25">
      <c r="B1635" s="46" t="s">
        <v>803</v>
      </c>
      <c r="C1635" s="46" t="s">
        <v>804</v>
      </c>
    </row>
    <row r="1636" spans="2:3" x14ac:dyDescent="0.25">
      <c r="B1636" s="46" t="s">
        <v>805</v>
      </c>
      <c r="C1636" s="46" t="s">
        <v>806</v>
      </c>
    </row>
    <row r="1637" spans="2:3" x14ac:dyDescent="0.25">
      <c r="B1637" s="46" t="s">
        <v>807</v>
      </c>
      <c r="C1637" s="46" t="s">
        <v>808</v>
      </c>
    </row>
    <row r="1638" spans="2:3" x14ac:dyDescent="0.25">
      <c r="B1638" s="46" t="s">
        <v>809</v>
      </c>
      <c r="C1638" s="46" t="s">
        <v>810</v>
      </c>
    </row>
    <row r="1639" spans="2:3" x14ac:dyDescent="0.25">
      <c r="B1639" s="46" t="s">
        <v>811</v>
      </c>
      <c r="C1639" s="46" t="s">
        <v>812</v>
      </c>
    </row>
    <row r="1640" spans="2:3" x14ac:dyDescent="0.25">
      <c r="B1640" s="46" t="s">
        <v>813</v>
      </c>
      <c r="C1640" s="46" t="s">
        <v>814</v>
      </c>
    </row>
    <row r="1641" spans="2:3" x14ac:dyDescent="0.25">
      <c r="B1641" s="46" t="s">
        <v>815</v>
      </c>
      <c r="C1641" s="46" t="s">
        <v>816</v>
      </c>
    </row>
    <row r="1642" spans="2:3" x14ac:dyDescent="0.25">
      <c r="B1642" s="46" t="s">
        <v>817</v>
      </c>
      <c r="C1642" s="46" t="s">
        <v>818</v>
      </c>
    </row>
    <row r="1643" spans="2:3" x14ac:dyDescent="0.25">
      <c r="B1643" s="46" t="s">
        <v>819</v>
      </c>
      <c r="C1643" s="46" t="s">
        <v>820</v>
      </c>
    </row>
    <row r="1644" spans="2:3" x14ac:dyDescent="0.25">
      <c r="B1644" s="46" t="s">
        <v>821</v>
      </c>
      <c r="C1644" s="46" t="s">
        <v>822</v>
      </c>
    </row>
    <row r="1645" spans="2:3" x14ac:dyDescent="0.25">
      <c r="B1645" s="46" t="s">
        <v>823</v>
      </c>
      <c r="C1645" s="46" t="s">
        <v>824</v>
      </c>
    </row>
    <row r="1646" spans="2:3" x14ac:dyDescent="0.25">
      <c r="B1646" s="46" t="s">
        <v>825</v>
      </c>
      <c r="C1646" s="46" t="s">
        <v>826</v>
      </c>
    </row>
    <row r="1647" spans="2:3" x14ac:dyDescent="0.25">
      <c r="B1647" s="46" t="s">
        <v>827</v>
      </c>
      <c r="C1647" s="46" t="s">
        <v>828</v>
      </c>
    </row>
    <row r="1648" spans="2:3" x14ac:dyDescent="0.25">
      <c r="B1648" s="46" t="s">
        <v>829</v>
      </c>
      <c r="C1648" s="46" t="s">
        <v>830</v>
      </c>
    </row>
    <row r="1649" spans="2:3" x14ac:dyDescent="0.25">
      <c r="B1649" s="46" t="s">
        <v>831</v>
      </c>
      <c r="C1649" s="46" t="s">
        <v>832</v>
      </c>
    </row>
    <row r="1650" spans="2:3" x14ac:dyDescent="0.25">
      <c r="B1650" s="46" t="s">
        <v>833</v>
      </c>
      <c r="C1650" s="46" t="s">
        <v>834</v>
      </c>
    </row>
    <row r="1651" spans="2:3" x14ac:dyDescent="0.25">
      <c r="B1651" s="46" t="s">
        <v>835</v>
      </c>
      <c r="C1651" s="46" t="s">
        <v>836</v>
      </c>
    </row>
    <row r="1652" spans="2:3" x14ac:dyDescent="0.25">
      <c r="B1652" s="46" t="s">
        <v>837</v>
      </c>
      <c r="C1652" s="46" t="s">
        <v>838</v>
      </c>
    </row>
    <row r="1653" spans="2:3" x14ac:dyDescent="0.25">
      <c r="B1653" s="46" t="s">
        <v>839</v>
      </c>
      <c r="C1653" s="46" t="s">
        <v>840</v>
      </c>
    </row>
    <row r="1654" spans="2:3" x14ac:dyDescent="0.25">
      <c r="B1654" s="46" t="s">
        <v>841</v>
      </c>
      <c r="C1654" s="46" t="s">
        <v>842</v>
      </c>
    </row>
    <row r="1655" spans="2:3" x14ac:dyDescent="0.25">
      <c r="B1655" s="46" t="s">
        <v>843</v>
      </c>
      <c r="C1655" s="46" t="s">
        <v>844</v>
      </c>
    </row>
    <row r="1656" spans="2:3" x14ac:dyDescent="0.25">
      <c r="B1656" s="46" t="s">
        <v>845</v>
      </c>
      <c r="C1656" s="46" t="s">
        <v>846</v>
      </c>
    </row>
    <row r="1657" spans="2:3" x14ac:dyDescent="0.25">
      <c r="B1657" s="46" t="s">
        <v>847</v>
      </c>
      <c r="C1657" s="46" t="s">
        <v>848</v>
      </c>
    </row>
    <row r="1658" spans="2:3" x14ac:dyDescent="0.25">
      <c r="B1658" s="46" t="s">
        <v>849</v>
      </c>
      <c r="C1658" s="46" t="s">
        <v>850</v>
      </c>
    </row>
    <row r="1659" spans="2:3" x14ac:dyDescent="0.25">
      <c r="B1659" s="46" t="s">
        <v>851</v>
      </c>
      <c r="C1659" s="46" t="s">
        <v>852</v>
      </c>
    </row>
    <row r="1660" spans="2:3" x14ac:dyDescent="0.25">
      <c r="B1660" s="46" t="s">
        <v>853</v>
      </c>
      <c r="C1660" s="46" t="s">
        <v>854</v>
      </c>
    </row>
    <row r="1661" spans="2:3" x14ac:dyDescent="0.25">
      <c r="B1661" s="46" t="s">
        <v>855</v>
      </c>
      <c r="C1661" s="46" t="s">
        <v>856</v>
      </c>
    </row>
    <row r="1662" spans="2:3" x14ac:dyDescent="0.25">
      <c r="B1662" s="46" t="s">
        <v>857</v>
      </c>
      <c r="C1662" s="46" t="s">
        <v>858</v>
      </c>
    </row>
    <row r="1663" spans="2:3" x14ac:dyDescent="0.25">
      <c r="B1663" s="46" t="s">
        <v>859</v>
      </c>
      <c r="C1663" s="46" t="s">
        <v>860</v>
      </c>
    </row>
    <row r="1664" spans="2:3" x14ac:dyDescent="0.25">
      <c r="B1664" s="46" t="s">
        <v>861</v>
      </c>
      <c r="C1664" s="46" t="s">
        <v>862</v>
      </c>
    </row>
    <row r="1665" spans="2:3" x14ac:dyDescent="0.25">
      <c r="B1665" s="46" t="s">
        <v>863</v>
      </c>
      <c r="C1665" s="46" t="s">
        <v>864</v>
      </c>
    </row>
    <row r="1666" spans="2:3" x14ac:dyDescent="0.25">
      <c r="B1666" s="46" t="s">
        <v>865</v>
      </c>
      <c r="C1666" s="46" t="s">
        <v>866</v>
      </c>
    </row>
    <row r="1667" spans="2:3" x14ac:dyDescent="0.25">
      <c r="B1667" s="46" t="s">
        <v>867</v>
      </c>
      <c r="C1667" s="46" t="s">
        <v>868</v>
      </c>
    </row>
    <row r="1668" spans="2:3" x14ac:dyDescent="0.25">
      <c r="B1668" s="46" t="s">
        <v>869</v>
      </c>
      <c r="C1668" s="46" t="s">
        <v>870</v>
      </c>
    </row>
    <row r="1669" spans="2:3" x14ac:dyDescent="0.25">
      <c r="B1669" s="46" t="s">
        <v>871</v>
      </c>
      <c r="C1669" s="46" t="s">
        <v>872</v>
      </c>
    </row>
    <row r="1670" spans="2:3" x14ac:dyDescent="0.25">
      <c r="B1670" s="46" t="s">
        <v>873</v>
      </c>
      <c r="C1670" s="46" t="s">
        <v>874</v>
      </c>
    </row>
    <row r="1671" spans="2:3" x14ac:dyDescent="0.25">
      <c r="B1671" s="46" t="s">
        <v>875</v>
      </c>
      <c r="C1671" s="46" t="s">
        <v>876</v>
      </c>
    </row>
    <row r="1672" spans="2:3" x14ac:dyDescent="0.25">
      <c r="B1672" s="46" t="s">
        <v>877</v>
      </c>
      <c r="C1672" s="46" t="s">
        <v>878</v>
      </c>
    </row>
    <row r="1673" spans="2:3" x14ac:dyDescent="0.25">
      <c r="B1673" s="46" t="s">
        <v>879</v>
      </c>
      <c r="C1673" s="46" t="s">
        <v>880</v>
      </c>
    </row>
    <row r="1674" spans="2:3" x14ac:dyDescent="0.25">
      <c r="B1674" s="46" t="s">
        <v>881</v>
      </c>
      <c r="C1674" s="46" t="s">
        <v>882</v>
      </c>
    </row>
    <row r="1675" spans="2:3" x14ac:dyDescent="0.25">
      <c r="B1675" s="46" t="s">
        <v>883</v>
      </c>
      <c r="C1675" s="46" t="s">
        <v>884</v>
      </c>
    </row>
    <row r="1676" spans="2:3" x14ac:dyDescent="0.25">
      <c r="B1676" s="46" t="s">
        <v>885</v>
      </c>
      <c r="C1676" s="46" t="s">
        <v>886</v>
      </c>
    </row>
    <row r="1677" spans="2:3" x14ac:dyDescent="0.25">
      <c r="B1677" s="46" t="s">
        <v>887</v>
      </c>
      <c r="C1677" s="46" t="s">
        <v>888</v>
      </c>
    </row>
    <row r="1678" spans="2:3" x14ac:dyDescent="0.25">
      <c r="B1678" s="46" t="s">
        <v>889</v>
      </c>
      <c r="C1678" s="46" t="s">
        <v>890</v>
      </c>
    </row>
    <row r="1679" spans="2:3" x14ac:dyDescent="0.25">
      <c r="B1679" s="46" t="s">
        <v>891</v>
      </c>
      <c r="C1679" s="46" t="s">
        <v>892</v>
      </c>
    </row>
    <row r="1680" spans="2:3" x14ac:dyDescent="0.25">
      <c r="B1680" s="46" t="s">
        <v>893</v>
      </c>
      <c r="C1680" s="46" t="s">
        <v>894</v>
      </c>
    </row>
    <row r="1681" spans="2:3" x14ac:dyDescent="0.25">
      <c r="B1681" s="46" t="s">
        <v>895</v>
      </c>
      <c r="C1681" s="46" t="s">
        <v>896</v>
      </c>
    </row>
    <row r="1682" spans="2:3" x14ac:dyDescent="0.25">
      <c r="B1682" s="46" t="s">
        <v>897</v>
      </c>
      <c r="C1682" s="46" t="s">
        <v>898</v>
      </c>
    </row>
    <row r="1683" spans="2:3" x14ac:dyDescent="0.25">
      <c r="B1683" s="46" t="s">
        <v>899</v>
      </c>
      <c r="C1683" s="46" t="s">
        <v>900</v>
      </c>
    </row>
    <row r="1684" spans="2:3" x14ac:dyDescent="0.25">
      <c r="B1684" s="46" t="s">
        <v>901</v>
      </c>
      <c r="C1684" s="46" t="s">
        <v>902</v>
      </c>
    </row>
    <row r="1685" spans="2:3" x14ac:dyDescent="0.25">
      <c r="B1685" s="46" t="s">
        <v>903</v>
      </c>
      <c r="C1685" s="46" t="s">
        <v>904</v>
      </c>
    </row>
    <row r="1686" spans="2:3" x14ac:dyDescent="0.25">
      <c r="B1686" s="46" t="s">
        <v>905</v>
      </c>
      <c r="C1686" s="46" t="s">
        <v>906</v>
      </c>
    </row>
    <row r="1687" spans="2:3" x14ac:dyDescent="0.25">
      <c r="B1687" s="46" t="s">
        <v>907</v>
      </c>
      <c r="C1687" s="46" t="s">
        <v>908</v>
      </c>
    </row>
    <row r="1688" spans="2:3" x14ac:dyDescent="0.25">
      <c r="B1688" s="46" t="s">
        <v>909</v>
      </c>
      <c r="C1688" s="46" t="s">
        <v>910</v>
      </c>
    </row>
    <row r="1689" spans="2:3" x14ac:dyDescent="0.25">
      <c r="B1689" s="46" t="s">
        <v>911</v>
      </c>
      <c r="C1689" s="46" t="s">
        <v>912</v>
      </c>
    </row>
    <row r="1690" spans="2:3" x14ac:dyDescent="0.25">
      <c r="B1690" s="46" t="s">
        <v>913</v>
      </c>
      <c r="C1690" s="46" t="s">
        <v>914</v>
      </c>
    </row>
    <row r="1691" spans="2:3" x14ac:dyDescent="0.25">
      <c r="B1691" s="46" t="s">
        <v>915</v>
      </c>
      <c r="C1691" s="46" t="s">
        <v>916</v>
      </c>
    </row>
    <row r="1692" spans="2:3" x14ac:dyDescent="0.25">
      <c r="B1692" s="46" t="s">
        <v>917</v>
      </c>
      <c r="C1692" s="46" t="s">
        <v>918</v>
      </c>
    </row>
    <row r="1693" spans="2:3" x14ac:dyDescent="0.25">
      <c r="B1693" s="46" t="s">
        <v>919</v>
      </c>
      <c r="C1693" s="46" t="s">
        <v>920</v>
      </c>
    </row>
    <row r="1694" spans="2:3" x14ac:dyDescent="0.25">
      <c r="B1694" s="46" t="s">
        <v>921</v>
      </c>
      <c r="C1694" s="46" t="s">
        <v>922</v>
      </c>
    </row>
    <row r="1695" spans="2:3" x14ac:dyDescent="0.25">
      <c r="B1695" s="46" t="s">
        <v>923</v>
      </c>
      <c r="C1695" s="46" t="s">
        <v>924</v>
      </c>
    </row>
    <row r="1696" spans="2:3" x14ac:dyDescent="0.25">
      <c r="B1696" s="46" t="s">
        <v>925</v>
      </c>
      <c r="C1696" s="46" t="s">
        <v>926</v>
      </c>
    </row>
    <row r="1697" spans="2:3" x14ac:dyDescent="0.25">
      <c r="B1697" s="46" t="s">
        <v>927</v>
      </c>
      <c r="C1697" s="46" t="s">
        <v>928</v>
      </c>
    </row>
    <row r="1698" spans="2:3" x14ac:dyDescent="0.25">
      <c r="B1698" s="46" t="s">
        <v>929</v>
      </c>
      <c r="C1698" s="46" t="s">
        <v>930</v>
      </c>
    </row>
    <row r="1699" spans="2:3" x14ac:dyDescent="0.25">
      <c r="B1699" s="46" t="s">
        <v>931</v>
      </c>
      <c r="C1699" s="46" t="s">
        <v>932</v>
      </c>
    </row>
    <row r="1700" spans="2:3" x14ac:dyDescent="0.25">
      <c r="B1700" s="46" t="s">
        <v>933</v>
      </c>
      <c r="C1700" s="46" t="s">
        <v>934</v>
      </c>
    </row>
    <row r="1701" spans="2:3" x14ac:dyDescent="0.25">
      <c r="B1701" s="46" t="s">
        <v>935</v>
      </c>
      <c r="C1701" s="46" t="s">
        <v>936</v>
      </c>
    </row>
    <row r="1702" spans="2:3" x14ac:dyDescent="0.25">
      <c r="B1702" s="46" t="s">
        <v>937</v>
      </c>
      <c r="C1702" s="46" t="s">
        <v>938</v>
      </c>
    </row>
    <row r="1703" spans="2:3" x14ac:dyDescent="0.25">
      <c r="B1703" s="46" t="s">
        <v>939</v>
      </c>
      <c r="C1703" s="46" t="s">
        <v>940</v>
      </c>
    </row>
    <row r="1704" spans="2:3" x14ac:dyDescent="0.25">
      <c r="B1704" s="46" t="s">
        <v>941</v>
      </c>
      <c r="C1704" s="46" t="s">
        <v>942</v>
      </c>
    </row>
    <row r="1705" spans="2:3" x14ac:dyDescent="0.25">
      <c r="B1705" s="46" t="s">
        <v>943</v>
      </c>
      <c r="C1705" s="46" t="s">
        <v>944</v>
      </c>
    </row>
    <row r="1706" spans="2:3" x14ac:dyDescent="0.25">
      <c r="B1706" s="46" t="s">
        <v>945</v>
      </c>
      <c r="C1706" s="46" t="s">
        <v>946</v>
      </c>
    </row>
    <row r="1707" spans="2:3" x14ac:dyDescent="0.25">
      <c r="B1707" s="46" t="s">
        <v>947</v>
      </c>
      <c r="C1707" s="46" t="s">
        <v>948</v>
      </c>
    </row>
    <row r="1708" spans="2:3" x14ac:dyDescent="0.25">
      <c r="B1708" s="46" t="s">
        <v>949</v>
      </c>
      <c r="C1708" s="46" t="s">
        <v>950</v>
      </c>
    </row>
    <row r="1709" spans="2:3" x14ac:dyDescent="0.25">
      <c r="B1709" s="46" t="s">
        <v>951</v>
      </c>
      <c r="C1709" s="46" t="s">
        <v>952</v>
      </c>
    </row>
    <row r="1710" spans="2:3" x14ac:dyDescent="0.25">
      <c r="B1710" s="46" t="s">
        <v>953</v>
      </c>
      <c r="C1710" s="46" t="s">
        <v>954</v>
      </c>
    </row>
    <row r="1711" spans="2:3" x14ac:dyDescent="0.25">
      <c r="B1711" s="46" t="s">
        <v>955</v>
      </c>
      <c r="C1711" s="46" t="s">
        <v>956</v>
      </c>
    </row>
    <row r="1712" spans="2:3" x14ac:dyDescent="0.25">
      <c r="B1712" s="46" t="s">
        <v>957</v>
      </c>
      <c r="C1712" s="46" t="s">
        <v>958</v>
      </c>
    </row>
    <row r="1713" spans="2:3" x14ac:dyDescent="0.25">
      <c r="B1713" s="46" t="s">
        <v>959</v>
      </c>
      <c r="C1713" s="46" t="s">
        <v>960</v>
      </c>
    </row>
    <row r="1714" spans="2:3" x14ac:dyDescent="0.25">
      <c r="B1714" s="46" t="s">
        <v>961</v>
      </c>
      <c r="C1714" s="46" t="s">
        <v>962</v>
      </c>
    </row>
    <row r="1715" spans="2:3" x14ac:dyDescent="0.25">
      <c r="B1715" s="46" t="s">
        <v>963</v>
      </c>
      <c r="C1715" s="46" t="s">
        <v>964</v>
      </c>
    </row>
    <row r="1716" spans="2:3" x14ac:dyDescent="0.25">
      <c r="B1716" s="46" t="s">
        <v>965</v>
      </c>
      <c r="C1716" s="46" t="s">
        <v>966</v>
      </c>
    </row>
    <row r="1717" spans="2:3" x14ac:dyDescent="0.25">
      <c r="B1717" s="46" t="s">
        <v>967</v>
      </c>
      <c r="C1717" s="46" t="s">
        <v>968</v>
      </c>
    </row>
    <row r="1718" spans="2:3" x14ac:dyDescent="0.25">
      <c r="B1718" s="46" t="s">
        <v>969</v>
      </c>
      <c r="C1718" s="46" t="s">
        <v>970</v>
      </c>
    </row>
    <row r="1719" spans="2:3" x14ac:dyDescent="0.25">
      <c r="B1719" s="46" t="s">
        <v>971</v>
      </c>
      <c r="C1719" s="46" t="s">
        <v>972</v>
      </c>
    </row>
    <row r="1720" spans="2:3" x14ac:dyDescent="0.25">
      <c r="B1720" s="46" t="s">
        <v>973</v>
      </c>
      <c r="C1720" s="46" t="s">
        <v>974</v>
      </c>
    </row>
    <row r="1721" spans="2:3" x14ac:dyDescent="0.25">
      <c r="B1721" s="46" t="s">
        <v>975</v>
      </c>
      <c r="C1721" s="46" t="s">
        <v>976</v>
      </c>
    </row>
    <row r="1722" spans="2:3" x14ac:dyDescent="0.25">
      <c r="B1722" s="46" t="s">
        <v>977</v>
      </c>
      <c r="C1722" s="46" t="s">
        <v>978</v>
      </c>
    </row>
    <row r="1723" spans="2:3" x14ac:dyDescent="0.25">
      <c r="B1723" s="46" t="s">
        <v>979</v>
      </c>
      <c r="C1723" s="46" t="s">
        <v>980</v>
      </c>
    </row>
    <row r="1724" spans="2:3" x14ac:dyDescent="0.25">
      <c r="B1724" s="46" t="s">
        <v>981</v>
      </c>
      <c r="C1724" s="46" t="s">
        <v>982</v>
      </c>
    </row>
    <row r="1725" spans="2:3" x14ac:dyDescent="0.25">
      <c r="B1725" s="46" t="s">
        <v>983</v>
      </c>
      <c r="C1725" s="46" t="s">
        <v>984</v>
      </c>
    </row>
    <row r="1726" spans="2:3" x14ac:dyDescent="0.25">
      <c r="B1726" s="46" t="s">
        <v>985</v>
      </c>
      <c r="C1726" s="46" t="s">
        <v>986</v>
      </c>
    </row>
    <row r="1727" spans="2:3" x14ac:dyDescent="0.25">
      <c r="B1727" s="46" t="s">
        <v>987</v>
      </c>
      <c r="C1727" s="46" t="s">
        <v>988</v>
      </c>
    </row>
    <row r="1728" spans="2:3" x14ac:dyDescent="0.25">
      <c r="B1728" s="46" t="s">
        <v>989</v>
      </c>
      <c r="C1728" s="46" t="s">
        <v>990</v>
      </c>
    </row>
    <row r="1729" spans="2:3" x14ac:dyDescent="0.25">
      <c r="B1729" s="46" t="s">
        <v>991</v>
      </c>
      <c r="C1729" s="46" t="s">
        <v>992</v>
      </c>
    </row>
    <row r="1730" spans="2:3" x14ac:dyDescent="0.25">
      <c r="B1730" s="46" t="s">
        <v>993</v>
      </c>
      <c r="C1730" s="46" t="s">
        <v>994</v>
      </c>
    </row>
    <row r="1731" spans="2:3" x14ac:dyDescent="0.25">
      <c r="B1731" s="46" t="s">
        <v>995</v>
      </c>
      <c r="C1731" s="46" t="s">
        <v>996</v>
      </c>
    </row>
    <row r="1732" spans="2:3" x14ac:dyDescent="0.25">
      <c r="B1732" s="46" t="s">
        <v>997</v>
      </c>
      <c r="C1732" s="46" t="s">
        <v>998</v>
      </c>
    </row>
    <row r="1733" spans="2:3" x14ac:dyDescent="0.25">
      <c r="B1733" s="46" t="s">
        <v>999</v>
      </c>
      <c r="C1733" s="46" t="s">
        <v>1000</v>
      </c>
    </row>
    <row r="1734" spans="2:3" x14ac:dyDescent="0.25">
      <c r="B1734" s="46" t="s">
        <v>1001</v>
      </c>
      <c r="C1734" s="46" t="s">
        <v>1002</v>
      </c>
    </row>
    <row r="1735" spans="2:3" x14ac:dyDescent="0.25">
      <c r="B1735" s="46" t="s">
        <v>1003</v>
      </c>
      <c r="C1735" s="46" t="s">
        <v>1004</v>
      </c>
    </row>
    <row r="1736" spans="2:3" x14ac:dyDescent="0.25">
      <c r="B1736" s="46" t="s">
        <v>1005</v>
      </c>
      <c r="C1736" s="46" t="s">
        <v>1006</v>
      </c>
    </row>
    <row r="1737" spans="2:3" x14ac:dyDescent="0.25">
      <c r="B1737" s="46" t="s">
        <v>1007</v>
      </c>
      <c r="C1737" s="46" t="s">
        <v>1008</v>
      </c>
    </row>
    <row r="1738" spans="2:3" x14ac:dyDescent="0.25">
      <c r="B1738" s="46" t="s">
        <v>1009</v>
      </c>
      <c r="C1738" s="46" t="s">
        <v>1010</v>
      </c>
    </row>
    <row r="1739" spans="2:3" x14ac:dyDescent="0.25">
      <c r="B1739" s="46" t="s">
        <v>1011</v>
      </c>
      <c r="C1739" s="46" t="s">
        <v>1012</v>
      </c>
    </row>
    <row r="1740" spans="2:3" x14ac:dyDescent="0.25">
      <c r="B1740" s="46" t="s">
        <v>1013</v>
      </c>
      <c r="C1740" s="46" t="s">
        <v>1014</v>
      </c>
    </row>
    <row r="1741" spans="2:3" x14ac:dyDescent="0.25">
      <c r="B1741" s="46" t="s">
        <v>1015</v>
      </c>
      <c r="C1741" s="46" t="s">
        <v>1016</v>
      </c>
    </row>
    <row r="1742" spans="2:3" x14ac:dyDescent="0.25">
      <c r="B1742" s="46" t="s">
        <v>1017</v>
      </c>
      <c r="C1742" s="46" t="s">
        <v>1018</v>
      </c>
    </row>
    <row r="1743" spans="2:3" x14ac:dyDescent="0.25">
      <c r="B1743" s="46" t="s">
        <v>1019</v>
      </c>
      <c r="C1743" s="46" t="s">
        <v>1020</v>
      </c>
    </row>
    <row r="1744" spans="2:3" x14ac:dyDescent="0.25">
      <c r="B1744" s="46" t="s">
        <v>1021</v>
      </c>
      <c r="C1744" s="46" t="s">
        <v>1022</v>
      </c>
    </row>
    <row r="1745" spans="2:3" x14ac:dyDescent="0.25">
      <c r="B1745" s="46" t="s">
        <v>1023</v>
      </c>
      <c r="C1745" s="46" t="s">
        <v>1024</v>
      </c>
    </row>
    <row r="1746" spans="2:3" x14ac:dyDescent="0.25">
      <c r="B1746" s="46" t="s">
        <v>1025</v>
      </c>
      <c r="C1746" s="46" t="s">
        <v>1026</v>
      </c>
    </row>
    <row r="1747" spans="2:3" x14ac:dyDescent="0.25">
      <c r="B1747" s="46" t="s">
        <v>1027</v>
      </c>
      <c r="C1747" s="46" t="s">
        <v>1028</v>
      </c>
    </row>
    <row r="1748" spans="2:3" x14ac:dyDescent="0.25">
      <c r="B1748" s="46" t="s">
        <v>1029</v>
      </c>
      <c r="C1748" s="46" t="s">
        <v>1030</v>
      </c>
    </row>
    <row r="1749" spans="2:3" x14ac:dyDescent="0.25">
      <c r="B1749" s="46" t="s">
        <v>1031</v>
      </c>
      <c r="C1749" s="46" t="s">
        <v>1032</v>
      </c>
    </row>
    <row r="1750" spans="2:3" x14ac:dyDescent="0.25">
      <c r="B1750" s="46" t="s">
        <v>1033</v>
      </c>
      <c r="C1750" s="46" t="s">
        <v>1034</v>
      </c>
    </row>
    <row r="1751" spans="2:3" x14ac:dyDescent="0.25">
      <c r="B1751" s="46" t="s">
        <v>1035</v>
      </c>
      <c r="C1751" s="46" t="s">
        <v>100</v>
      </c>
    </row>
    <row r="1752" spans="2:3" x14ac:dyDescent="0.25">
      <c r="B1752" s="46" t="s">
        <v>1036</v>
      </c>
      <c r="C1752" s="46" t="s">
        <v>1037</v>
      </c>
    </row>
    <row r="1753" spans="2:3" x14ac:dyDescent="0.25">
      <c r="B1753" s="46" t="s">
        <v>1038</v>
      </c>
      <c r="C1753" s="46" t="s">
        <v>1039</v>
      </c>
    </row>
    <row r="1754" spans="2:3" x14ac:dyDescent="0.25">
      <c r="B1754" s="46" t="s">
        <v>1040</v>
      </c>
      <c r="C1754" s="46" t="s">
        <v>1041</v>
      </c>
    </row>
    <row r="1755" spans="2:3" x14ac:dyDescent="0.25">
      <c r="B1755" s="46" t="s">
        <v>1042</v>
      </c>
      <c r="C1755" s="46" t="s">
        <v>1043</v>
      </c>
    </row>
    <row r="1756" spans="2:3" x14ac:dyDescent="0.25">
      <c r="B1756" s="46" t="s">
        <v>1044</v>
      </c>
      <c r="C1756" s="46" t="s">
        <v>1045</v>
      </c>
    </row>
    <row r="1757" spans="2:3" x14ac:dyDescent="0.25">
      <c r="B1757" s="46" t="s">
        <v>1046</v>
      </c>
      <c r="C1757" s="46" t="s">
        <v>1047</v>
      </c>
    </row>
    <row r="1758" spans="2:3" x14ac:dyDescent="0.25">
      <c r="B1758" s="46" t="s">
        <v>1048</v>
      </c>
      <c r="C1758" s="46" t="s">
        <v>1049</v>
      </c>
    </row>
    <row r="1759" spans="2:3" x14ac:dyDescent="0.25">
      <c r="B1759" s="46" t="s">
        <v>1050</v>
      </c>
      <c r="C1759" s="46" t="s">
        <v>1051</v>
      </c>
    </row>
    <row r="1760" spans="2:3" x14ac:dyDescent="0.25">
      <c r="B1760" s="46" t="s">
        <v>1052</v>
      </c>
      <c r="C1760" s="46" t="s">
        <v>1053</v>
      </c>
    </row>
    <row r="1761" spans="2:3" x14ac:dyDescent="0.25">
      <c r="B1761" s="46" t="s">
        <v>1054</v>
      </c>
      <c r="C1761" s="46" t="s">
        <v>1055</v>
      </c>
    </row>
    <row r="1762" spans="2:3" x14ac:dyDescent="0.25">
      <c r="B1762" s="46" t="s">
        <v>1056</v>
      </c>
      <c r="C1762" s="46" t="s">
        <v>1057</v>
      </c>
    </row>
    <row r="1763" spans="2:3" x14ac:dyDescent="0.25">
      <c r="B1763" s="46" t="s">
        <v>1058</v>
      </c>
      <c r="C1763" s="46" t="s">
        <v>1059</v>
      </c>
    </row>
    <row r="1764" spans="2:3" x14ac:dyDescent="0.25">
      <c r="B1764" s="46" t="s">
        <v>1060</v>
      </c>
      <c r="C1764" s="46" t="s">
        <v>1061</v>
      </c>
    </row>
    <row r="1765" spans="2:3" x14ac:dyDescent="0.25">
      <c r="B1765" s="46" t="s">
        <v>595</v>
      </c>
      <c r="C1765" s="46" t="s">
        <v>1062</v>
      </c>
    </row>
    <row r="1766" spans="2:3" x14ac:dyDescent="0.25">
      <c r="B1766" s="46" t="s">
        <v>1063</v>
      </c>
      <c r="C1766" s="46" t="s">
        <v>1064</v>
      </c>
    </row>
    <row r="1767" spans="2:3" x14ac:dyDescent="0.25">
      <c r="B1767" s="46" t="s">
        <v>1065</v>
      </c>
      <c r="C1767" s="46" t="s">
        <v>1066</v>
      </c>
    </row>
    <row r="1768" spans="2:3" x14ac:dyDescent="0.25">
      <c r="B1768" s="46" t="s">
        <v>1067</v>
      </c>
      <c r="C1768" s="46" t="s">
        <v>1068</v>
      </c>
    </row>
    <row r="1769" spans="2:3" x14ac:dyDescent="0.25">
      <c r="B1769" s="46" t="s">
        <v>1069</v>
      </c>
      <c r="C1769" s="46" t="s">
        <v>1070</v>
      </c>
    </row>
    <row r="1770" spans="2:3" x14ac:dyDescent="0.25">
      <c r="B1770" s="46" t="s">
        <v>1071</v>
      </c>
      <c r="C1770" s="46" t="s">
        <v>1072</v>
      </c>
    </row>
    <row r="1771" spans="2:3" x14ac:dyDescent="0.25">
      <c r="B1771" s="46" t="s">
        <v>1073</v>
      </c>
      <c r="C1771" s="46" t="s">
        <v>1074</v>
      </c>
    </row>
    <row r="1772" spans="2:3" x14ac:dyDescent="0.25">
      <c r="B1772" s="46" t="s">
        <v>1075</v>
      </c>
      <c r="C1772" s="46" t="s">
        <v>1076</v>
      </c>
    </row>
    <row r="1773" spans="2:3" x14ac:dyDescent="0.25">
      <c r="B1773" s="46" t="s">
        <v>1077</v>
      </c>
      <c r="C1773" s="46" t="s">
        <v>1078</v>
      </c>
    </row>
    <row r="1774" spans="2:3" x14ac:dyDescent="0.25">
      <c r="B1774" s="46" t="s">
        <v>1079</v>
      </c>
      <c r="C1774" s="46" t="s">
        <v>1080</v>
      </c>
    </row>
    <row r="1775" spans="2:3" x14ac:dyDescent="0.25">
      <c r="B1775" s="46" t="s">
        <v>1081</v>
      </c>
      <c r="C1775" s="46" t="s">
        <v>1082</v>
      </c>
    </row>
    <row r="1776" spans="2:3" x14ac:dyDescent="0.25">
      <c r="B1776" s="46" t="s">
        <v>1083</v>
      </c>
      <c r="C1776" s="46" t="s">
        <v>1084</v>
      </c>
    </row>
    <row r="1777" spans="2:3" x14ac:dyDescent="0.25">
      <c r="B1777" s="46" t="s">
        <v>1085</v>
      </c>
      <c r="C1777" s="46" t="s">
        <v>1086</v>
      </c>
    </row>
    <row r="1778" spans="2:3" x14ac:dyDescent="0.25">
      <c r="B1778" s="46" t="s">
        <v>1087</v>
      </c>
      <c r="C1778" s="46" t="s">
        <v>1088</v>
      </c>
    </row>
    <row r="1779" spans="2:3" x14ac:dyDescent="0.25">
      <c r="B1779" s="46" t="s">
        <v>1089</v>
      </c>
      <c r="C1779" s="46" t="s">
        <v>1090</v>
      </c>
    </row>
    <row r="1780" spans="2:3" x14ac:dyDescent="0.25">
      <c r="B1780" s="46" t="s">
        <v>1091</v>
      </c>
      <c r="C1780" s="46" t="s">
        <v>1092</v>
      </c>
    </row>
    <row r="1781" spans="2:3" x14ac:dyDescent="0.25">
      <c r="B1781" s="46" t="s">
        <v>1093</v>
      </c>
      <c r="C1781" s="46" t="s">
        <v>1094</v>
      </c>
    </row>
    <row r="1782" spans="2:3" x14ac:dyDescent="0.25">
      <c r="B1782" s="46" t="s">
        <v>1095</v>
      </c>
      <c r="C1782" s="46" t="s">
        <v>1096</v>
      </c>
    </row>
    <row r="1783" spans="2:3" x14ac:dyDescent="0.25">
      <c r="B1783" s="46" t="s">
        <v>1097</v>
      </c>
      <c r="C1783" s="46" t="s">
        <v>1098</v>
      </c>
    </row>
    <row r="1784" spans="2:3" x14ac:dyDescent="0.25">
      <c r="B1784" s="46" t="s">
        <v>1099</v>
      </c>
      <c r="C1784" s="46" t="s">
        <v>1100</v>
      </c>
    </row>
    <row r="1785" spans="2:3" x14ac:dyDescent="0.25">
      <c r="B1785" s="46" t="s">
        <v>1101</v>
      </c>
      <c r="C1785" s="46" t="s">
        <v>1102</v>
      </c>
    </row>
    <row r="1786" spans="2:3" x14ac:dyDescent="0.25">
      <c r="B1786" s="46" t="s">
        <v>1103</v>
      </c>
      <c r="C1786" s="46" t="s">
        <v>1104</v>
      </c>
    </row>
    <row r="1787" spans="2:3" x14ac:dyDescent="0.25">
      <c r="B1787" s="46" t="s">
        <v>1105</v>
      </c>
      <c r="C1787" s="46" t="s">
        <v>1106</v>
      </c>
    </row>
    <row r="1788" spans="2:3" x14ac:dyDescent="0.25">
      <c r="B1788" s="46" t="s">
        <v>1107</v>
      </c>
      <c r="C1788" s="46" t="s">
        <v>1108</v>
      </c>
    </row>
    <row r="1789" spans="2:3" x14ac:dyDescent="0.25">
      <c r="B1789" s="46" t="s">
        <v>1109</v>
      </c>
      <c r="C1789" s="46" t="s">
        <v>1110</v>
      </c>
    </row>
    <row r="1790" spans="2:3" x14ac:dyDescent="0.25">
      <c r="B1790" s="46" t="s">
        <v>1111</v>
      </c>
      <c r="C1790" s="46" t="s">
        <v>1112</v>
      </c>
    </row>
    <row r="1791" spans="2:3" x14ac:dyDescent="0.25">
      <c r="B1791" s="46" t="s">
        <v>1113</v>
      </c>
      <c r="C1791" s="46" t="s">
        <v>1114</v>
      </c>
    </row>
    <row r="1792" spans="2:3" x14ac:dyDescent="0.25">
      <c r="B1792" s="46" t="s">
        <v>1115</v>
      </c>
      <c r="C1792" s="46" t="s">
        <v>1116</v>
      </c>
    </row>
    <row r="1793" spans="2:3" x14ac:dyDescent="0.25">
      <c r="B1793" s="46" t="s">
        <v>1117</v>
      </c>
      <c r="C1793" s="46" t="s">
        <v>1118</v>
      </c>
    </row>
    <row r="1794" spans="2:3" x14ac:dyDescent="0.25">
      <c r="B1794" s="46" t="s">
        <v>1119</v>
      </c>
      <c r="C1794" s="46" t="s">
        <v>1120</v>
      </c>
    </row>
    <row r="1795" spans="2:3" x14ac:dyDescent="0.25">
      <c r="B1795" s="46" t="s">
        <v>1121</v>
      </c>
      <c r="C1795" s="46" t="s">
        <v>1122</v>
      </c>
    </row>
    <row r="1796" spans="2:3" x14ac:dyDescent="0.25">
      <c r="B1796" s="46" t="s">
        <v>1123</v>
      </c>
      <c r="C1796" s="46" t="s">
        <v>1124</v>
      </c>
    </row>
    <row r="1797" spans="2:3" x14ac:dyDescent="0.25">
      <c r="B1797" s="46" t="s">
        <v>1125</v>
      </c>
      <c r="C1797" s="46" t="s">
        <v>1126</v>
      </c>
    </row>
    <row r="1798" spans="2:3" x14ac:dyDescent="0.25">
      <c r="B1798" s="46" t="s">
        <v>1127</v>
      </c>
      <c r="C1798" s="46" t="s">
        <v>1128</v>
      </c>
    </row>
    <row r="1799" spans="2:3" x14ac:dyDescent="0.25">
      <c r="B1799" s="46" t="s">
        <v>1129</v>
      </c>
      <c r="C1799" s="46" t="s">
        <v>1130</v>
      </c>
    </row>
    <row r="1800" spans="2:3" x14ac:dyDescent="0.25">
      <c r="B1800" s="46" t="s">
        <v>1131</v>
      </c>
      <c r="C1800" s="46" t="s">
        <v>1132</v>
      </c>
    </row>
    <row r="1801" spans="2:3" x14ac:dyDescent="0.25">
      <c r="B1801" s="46" t="s">
        <v>1133</v>
      </c>
      <c r="C1801" s="46" t="s">
        <v>1134</v>
      </c>
    </row>
    <row r="1802" spans="2:3" x14ac:dyDescent="0.25">
      <c r="B1802" s="46" t="s">
        <v>1135</v>
      </c>
      <c r="C1802" s="46" t="s">
        <v>1136</v>
      </c>
    </row>
    <row r="1803" spans="2:3" x14ac:dyDescent="0.25">
      <c r="B1803" s="46" t="s">
        <v>1137</v>
      </c>
      <c r="C1803" s="46" t="s">
        <v>1138</v>
      </c>
    </row>
    <row r="1804" spans="2:3" x14ac:dyDescent="0.25">
      <c r="B1804" s="46" t="s">
        <v>1139</v>
      </c>
      <c r="C1804" s="46" t="s">
        <v>1140</v>
      </c>
    </row>
    <row r="1805" spans="2:3" x14ac:dyDescent="0.25">
      <c r="B1805" s="46" t="s">
        <v>1141</v>
      </c>
      <c r="C1805" s="46" t="s">
        <v>1142</v>
      </c>
    </row>
    <row r="1806" spans="2:3" x14ac:dyDescent="0.25">
      <c r="B1806" s="46" t="s">
        <v>1143</v>
      </c>
      <c r="C1806" s="46" t="s">
        <v>1144</v>
      </c>
    </row>
    <row r="1807" spans="2:3" x14ac:dyDescent="0.25">
      <c r="B1807" s="46" t="s">
        <v>1145</v>
      </c>
      <c r="C1807" s="46" t="s">
        <v>1146</v>
      </c>
    </row>
    <row r="1808" spans="2:3" x14ac:dyDescent="0.25">
      <c r="B1808" s="46" t="s">
        <v>1147</v>
      </c>
      <c r="C1808" s="46" t="s">
        <v>1148</v>
      </c>
    </row>
    <row r="1809" spans="2:3" x14ac:dyDescent="0.25">
      <c r="B1809" s="46" t="s">
        <v>1149</v>
      </c>
      <c r="C1809" s="46" t="s">
        <v>1150</v>
      </c>
    </row>
    <row r="1810" spans="2:3" x14ac:dyDescent="0.25">
      <c r="B1810" s="46" t="s">
        <v>1151</v>
      </c>
      <c r="C1810" s="46" t="s">
        <v>1152</v>
      </c>
    </row>
    <row r="1811" spans="2:3" x14ac:dyDescent="0.25">
      <c r="B1811" s="46" t="s">
        <v>1153</v>
      </c>
      <c r="C1811" s="46" t="s">
        <v>1154</v>
      </c>
    </row>
    <row r="1812" spans="2:3" x14ac:dyDescent="0.25">
      <c r="B1812" s="46" t="s">
        <v>1155</v>
      </c>
      <c r="C1812" s="46" t="s">
        <v>1156</v>
      </c>
    </row>
    <row r="1813" spans="2:3" x14ac:dyDescent="0.25">
      <c r="B1813" s="46" t="s">
        <v>1157</v>
      </c>
      <c r="C1813" s="46" t="s">
        <v>1158</v>
      </c>
    </row>
    <row r="1814" spans="2:3" x14ac:dyDescent="0.25">
      <c r="B1814" s="46" t="s">
        <v>1159</v>
      </c>
      <c r="C1814" s="46" t="s">
        <v>1160</v>
      </c>
    </row>
    <row r="1815" spans="2:3" x14ac:dyDescent="0.25">
      <c r="B1815" s="46" t="s">
        <v>1161</v>
      </c>
      <c r="C1815" s="46" t="s">
        <v>1162</v>
      </c>
    </row>
    <row r="1816" spans="2:3" x14ac:dyDescent="0.25">
      <c r="B1816" s="46" t="s">
        <v>1163</v>
      </c>
      <c r="C1816" s="46" t="s">
        <v>1164</v>
      </c>
    </row>
    <row r="1817" spans="2:3" x14ac:dyDescent="0.25">
      <c r="B1817" s="46" t="s">
        <v>1165</v>
      </c>
      <c r="C1817" s="46" t="s">
        <v>1166</v>
      </c>
    </row>
    <row r="1818" spans="2:3" x14ac:dyDescent="0.25">
      <c r="B1818" s="46" t="s">
        <v>1167</v>
      </c>
      <c r="C1818" s="46" t="s">
        <v>1168</v>
      </c>
    </row>
    <row r="1819" spans="2:3" x14ac:dyDescent="0.25">
      <c r="B1819" s="46" t="s">
        <v>1169</v>
      </c>
      <c r="C1819" s="46" t="s">
        <v>1170</v>
      </c>
    </row>
    <row r="1820" spans="2:3" x14ac:dyDescent="0.25">
      <c r="B1820" s="46" t="s">
        <v>1171</v>
      </c>
      <c r="C1820" s="46" t="s">
        <v>1172</v>
      </c>
    </row>
    <row r="1821" spans="2:3" x14ac:dyDescent="0.25">
      <c r="B1821" s="46" t="s">
        <v>1173</v>
      </c>
      <c r="C1821" s="46" t="s">
        <v>1174</v>
      </c>
    </row>
    <row r="1822" spans="2:3" x14ac:dyDescent="0.25">
      <c r="B1822" s="46" t="s">
        <v>1175</v>
      </c>
      <c r="C1822" s="46" t="s">
        <v>1176</v>
      </c>
    </row>
    <row r="1823" spans="2:3" x14ac:dyDescent="0.25">
      <c r="B1823" s="46" t="s">
        <v>1177</v>
      </c>
      <c r="C1823" s="46" t="s">
        <v>1178</v>
      </c>
    </row>
    <row r="1824" spans="2:3" x14ac:dyDescent="0.25">
      <c r="B1824" s="46" t="s">
        <v>1179</v>
      </c>
      <c r="C1824" s="46" t="s">
        <v>1180</v>
      </c>
    </row>
    <row r="1825" spans="2:3" x14ac:dyDescent="0.25">
      <c r="B1825" s="46" t="s">
        <v>1181</v>
      </c>
      <c r="C1825" s="46">
        <v>983</v>
      </c>
    </row>
    <row r="1826" spans="2:3" x14ac:dyDescent="0.25">
      <c r="B1826" s="46" t="s">
        <v>1182</v>
      </c>
      <c r="C1826" s="46" t="s">
        <v>1183</v>
      </c>
    </row>
    <row r="1827" spans="2:3" x14ac:dyDescent="0.25">
      <c r="B1827" s="46" t="s">
        <v>1184</v>
      </c>
      <c r="C1827" s="46" t="s">
        <v>1185</v>
      </c>
    </row>
    <row r="1828" spans="2:3" x14ac:dyDescent="0.25">
      <c r="B1828" s="46" t="s">
        <v>1186</v>
      </c>
      <c r="C1828" s="46" t="s">
        <v>1187</v>
      </c>
    </row>
    <row r="1829" spans="2:3" x14ac:dyDescent="0.25">
      <c r="B1829" s="46" t="s">
        <v>1188</v>
      </c>
      <c r="C1829" s="46" t="s">
        <v>1189</v>
      </c>
    </row>
    <row r="1830" spans="2:3" x14ac:dyDescent="0.25">
      <c r="B1830" s="46" t="s">
        <v>1190</v>
      </c>
      <c r="C1830" s="46" t="s">
        <v>1191</v>
      </c>
    </row>
    <row r="1831" spans="2:3" x14ac:dyDescent="0.25">
      <c r="B1831" s="46" t="s">
        <v>1192</v>
      </c>
      <c r="C1831" s="46" t="s">
        <v>1193</v>
      </c>
    </row>
    <row r="1832" spans="2:3" x14ac:dyDescent="0.25">
      <c r="B1832" s="46" t="s">
        <v>1194</v>
      </c>
      <c r="C1832" s="46" t="s">
        <v>1195</v>
      </c>
    </row>
    <row r="1833" spans="2:3" x14ac:dyDescent="0.25">
      <c r="B1833" s="46" t="s">
        <v>1196</v>
      </c>
      <c r="C1833" s="46" t="s">
        <v>1197</v>
      </c>
    </row>
    <row r="1834" spans="2:3" x14ac:dyDescent="0.25">
      <c r="B1834" s="46" t="s">
        <v>1198</v>
      </c>
      <c r="C1834" s="46" t="s">
        <v>1199</v>
      </c>
    </row>
    <row r="1835" spans="2:3" x14ac:dyDescent="0.25">
      <c r="B1835" s="46" t="s">
        <v>1200</v>
      </c>
      <c r="C1835" s="46" t="s">
        <v>1201</v>
      </c>
    </row>
    <row r="1836" spans="2:3" x14ac:dyDescent="0.25">
      <c r="B1836" s="46" t="s">
        <v>1202</v>
      </c>
      <c r="C1836" s="46" t="s">
        <v>1203</v>
      </c>
    </row>
    <row r="1837" spans="2:3" x14ac:dyDescent="0.25">
      <c r="B1837" s="46" t="s">
        <v>1204</v>
      </c>
      <c r="C1837" s="46" t="s">
        <v>1205</v>
      </c>
    </row>
    <row r="1838" spans="2:3" x14ac:dyDescent="0.25">
      <c r="B1838" s="46" t="s">
        <v>540</v>
      </c>
      <c r="C1838" s="46" t="s">
        <v>1206</v>
      </c>
    </row>
    <row r="1839" spans="2:3" x14ac:dyDescent="0.25">
      <c r="B1839" s="46" t="s">
        <v>1207</v>
      </c>
      <c r="C1839" s="46" t="s">
        <v>1208</v>
      </c>
    </row>
    <row r="1840" spans="2:3" x14ac:dyDescent="0.25">
      <c r="B1840" s="46" t="s">
        <v>1209</v>
      </c>
      <c r="C1840" s="46" t="s">
        <v>1210</v>
      </c>
    </row>
    <row r="1841" spans="2:3" x14ac:dyDescent="0.25">
      <c r="B1841" s="46" t="s">
        <v>1211</v>
      </c>
      <c r="C1841" s="46" t="s">
        <v>1212</v>
      </c>
    </row>
    <row r="1842" spans="2:3" x14ac:dyDescent="0.25">
      <c r="B1842" s="46" t="s">
        <v>1213</v>
      </c>
      <c r="C1842" s="46" t="s">
        <v>1214</v>
      </c>
    </row>
    <row r="1843" spans="2:3" x14ac:dyDescent="0.25">
      <c r="B1843" s="46" t="s">
        <v>717</v>
      </c>
      <c r="C1843" s="46" t="s">
        <v>718</v>
      </c>
    </row>
    <row r="1844" spans="2:3" x14ac:dyDescent="0.25">
      <c r="B1844" s="46" t="s">
        <v>1215</v>
      </c>
      <c r="C1844" s="46" t="s">
        <v>1216</v>
      </c>
    </row>
    <row r="1845" spans="2:3" x14ac:dyDescent="0.25">
      <c r="B1845" s="46" t="s">
        <v>1217</v>
      </c>
      <c r="C1845" s="46" t="s">
        <v>1218</v>
      </c>
    </row>
    <row r="1846" spans="2:3" x14ac:dyDescent="0.25">
      <c r="B1846" s="46" t="s">
        <v>1219</v>
      </c>
      <c r="C1846" s="46" t="s">
        <v>1220</v>
      </c>
    </row>
    <row r="1847" spans="2:3" x14ac:dyDescent="0.25">
      <c r="B1847" s="46" t="s">
        <v>1221</v>
      </c>
      <c r="C1847" s="46" t="s">
        <v>1222</v>
      </c>
    </row>
    <row r="1848" spans="2:3" x14ac:dyDescent="0.25">
      <c r="B1848" s="46" t="s">
        <v>1223</v>
      </c>
      <c r="C1848" s="46" t="s">
        <v>1224</v>
      </c>
    </row>
    <row r="1849" spans="2:3" x14ac:dyDescent="0.25">
      <c r="B1849" s="46" t="s">
        <v>1225</v>
      </c>
      <c r="C1849" s="46" t="s">
        <v>1226</v>
      </c>
    </row>
    <row r="1850" spans="2:3" x14ac:dyDescent="0.25">
      <c r="B1850" s="46" t="s">
        <v>1227</v>
      </c>
      <c r="C1850" s="46" t="s">
        <v>1228</v>
      </c>
    </row>
    <row r="1851" spans="2:3" x14ac:dyDescent="0.25">
      <c r="B1851" s="46" t="s">
        <v>1229</v>
      </c>
      <c r="C1851" s="46" t="s">
        <v>1230</v>
      </c>
    </row>
    <row r="1852" spans="2:3" x14ac:dyDescent="0.25">
      <c r="B1852" s="46" t="s">
        <v>1231</v>
      </c>
      <c r="C1852" s="46" t="s">
        <v>1232</v>
      </c>
    </row>
    <row r="1853" spans="2:3" x14ac:dyDescent="0.25">
      <c r="B1853" s="46" t="s">
        <v>1233</v>
      </c>
      <c r="C1853" s="46" t="s">
        <v>1234</v>
      </c>
    </row>
    <row r="1854" spans="2:3" x14ac:dyDescent="0.25">
      <c r="B1854" s="46" t="s">
        <v>1235</v>
      </c>
      <c r="C1854" s="46" t="s">
        <v>1236</v>
      </c>
    </row>
    <row r="1855" spans="2:3" x14ac:dyDescent="0.25">
      <c r="B1855" s="46" t="s">
        <v>1237</v>
      </c>
      <c r="C1855" s="46" t="s">
        <v>1238</v>
      </c>
    </row>
    <row r="1856" spans="2:3" x14ac:dyDescent="0.25">
      <c r="B1856" s="46" t="s">
        <v>1239</v>
      </c>
      <c r="C1856" s="46" t="s">
        <v>1240</v>
      </c>
    </row>
    <row r="1857" spans="2:3" x14ac:dyDescent="0.25">
      <c r="B1857" s="46" t="s">
        <v>1241</v>
      </c>
      <c r="C1857" s="46" t="s">
        <v>1242</v>
      </c>
    </row>
    <row r="1858" spans="2:3" ht="15.75" thickBot="1" x14ac:dyDescent="0.3">
      <c r="B1858" s="47" t="s">
        <v>1243</v>
      </c>
      <c r="C1858" s="47" t="s">
        <v>1244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C270"/>
  <sheetViews>
    <sheetView workbookViewId="0">
      <selection activeCell="A38" sqref="A38"/>
    </sheetView>
  </sheetViews>
  <sheetFormatPr defaultRowHeight="15" x14ac:dyDescent="0.25"/>
  <cols>
    <col min="2" max="2" width="35" customWidth="1"/>
  </cols>
  <sheetData>
    <row r="1" spans="2:3" ht="15.75" thickBot="1" x14ac:dyDescent="0.3"/>
    <row r="2" spans="2:3" ht="15.75" thickBot="1" x14ac:dyDescent="0.3">
      <c r="B2" s="95" t="s">
        <v>3214</v>
      </c>
      <c r="C2" s="96"/>
    </row>
    <row r="3" spans="2:3" ht="15.75" thickBot="1" x14ac:dyDescent="0.3">
      <c r="B3" s="74" t="s">
        <v>286</v>
      </c>
      <c r="C3" s="73" t="s">
        <v>612</v>
      </c>
    </row>
    <row r="4" spans="2:3" x14ac:dyDescent="0.25">
      <c r="B4" s="46" t="s">
        <v>719</v>
      </c>
      <c r="C4" s="40" t="s">
        <v>720</v>
      </c>
    </row>
    <row r="5" spans="2:3" x14ac:dyDescent="0.25">
      <c r="B5" s="46" t="s">
        <v>721</v>
      </c>
      <c r="C5" s="40" t="s">
        <v>722</v>
      </c>
    </row>
    <row r="6" spans="2:3" x14ac:dyDescent="0.25">
      <c r="B6" s="46" t="s">
        <v>723</v>
      </c>
      <c r="C6" s="40" t="s">
        <v>724</v>
      </c>
    </row>
    <row r="7" spans="2:3" x14ac:dyDescent="0.25">
      <c r="B7" s="46" t="s">
        <v>725</v>
      </c>
      <c r="C7" s="40" t="s">
        <v>726</v>
      </c>
    </row>
    <row r="8" spans="2:3" x14ac:dyDescent="0.25">
      <c r="B8" s="46" t="s">
        <v>727</v>
      </c>
      <c r="C8" s="40" t="s">
        <v>728</v>
      </c>
    </row>
    <row r="9" spans="2:3" x14ac:dyDescent="0.25">
      <c r="B9" s="46" t="s">
        <v>729</v>
      </c>
      <c r="C9" s="40" t="s">
        <v>730</v>
      </c>
    </row>
    <row r="10" spans="2:3" x14ac:dyDescent="0.25">
      <c r="B10" s="46" t="s">
        <v>731</v>
      </c>
      <c r="C10" s="40" t="s">
        <v>732</v>
      </c>
    </row>
    <row r="11" spans="2:3" x14ac:dyDescent="0.25">
      <c r="B11" s="46" t="s">
        <v>733</v>
      </c>
      <c r="C11" s="40" t="s">
        <v>734</v>
      </c>
    </row>
    <row r="12" spans="2:3" x14ac:dyDescent="0.25">
      <c r="B12" s="46" t="s">
        <v>735</v>
      </c>
      <c r="C12" s="40" t="s">
        <v>736</v>
      </c>
    </row>
    <row r="13" spans="2:3" x14ac:dyDescent="0.25">
      <c r="B13" s="46" t="s">
        <v>737</v>
      </c>
      <c r="C13" s="40" t="s">
        <v>738</v>
      </c>
    </row>
    <row r="14" spans="2:3" x14ac:dyDescent="0.25">
      <c r="B14" s="46" t="s">
        <v>739</v>
      </c>
      <c r="C14" s="40" t="s">
        <v>740</v>
      </c>
    </row>
    <row r="15" spans="2:3" x14ac:dyDescent="0.25">
      <c r="B15" s="46" t="s">
        <v>741</v>
      </c>
      <c r="C15" s="40" t="s">
        <v>742</v>
      </c>
    </row>
    <row r="16" spans="2:3" x14ac:dyDescent="0.25">
      <c r="B16" s="46" t="s">
        <v>743</v>
      </c>
      <c r="C16" s="40" t="s">
        <v>744</v>
      </c>
    </row>
    <row r="17" spans="2:3" x14ac:dyDescent="0.25">
      <c r="B17" s="46" t="s">
        <v>745</v>
      </c>
      <c r="C17" s="40" t="s">
        <v>746</v>
      </c>
    </row>
    <row r="18" spans="2:3" x14ac:dyDescent="0.25">
      <c r="B18" s="46" t="s">
        <v>747</v>
      </c>
      <c r="C18" s="40" t="s">
        <v>748</v>
      </c>
    </row>
    <row r="19" spans="2:3" x14ac:dyDescent="0.25">
      <c r="B19" s="46" t="s">
        <v>749</v>
      </c>
      <c r="C19" s="40" t="s">
        <v>750</v>
      </c>
    </row>
    <row r="20" spans="2:3" x14ac:dyDescent="0.25">
      <c r="B20" s="46" t="s">
        <v>751</v>
      </c>
      <c r="C20" s="40" t="s">
        <v>752</v>
      </c>
    </row>
    <row r="21" spans="2:3" x14ac:dyDescent="0.25">
      <c r="B21" s="46" t="s">
        <v>753</v>
      </c>
      <c r="C21" s="40" t="s">
        <v>754</v>
      </c>
    </row>
    <row r="22" spans="2:3" x14ac:dyDescent="0.25">
      <c r="B22" s="46" t="s">
        <v>755</v>
      </c>
      <c r="C22" s="40" t="s">
        <v>756</v>
      </c>
    </row>
    <row r="23" spans="2:3" x14ac:dyDescent="0.25">
      <c r="B23" s="46" t="s">
        <v>757</v>
      </c>
      <c r="C23" s="40" t="s">
        <v>758</v>
      </c>
    </row>
    <row r="24" spans="2:3" x14ac:dyDescent="0.25">
      <c r="B24" s="46" t="s">
        <v>759</v>
      </c>
      <c r="C24" s="40" t="s">
        <v>760</v>
      </c>
    </row>
    <row r="25" spans="2:3" x14ac:dyDescent="0.25">
      <c r="B25" s="46" t="s">
        <v>761</v>
      </c>
      <c r="C25" s="40" t="s">
        <v>762</v>
      </c>
    </row>
    <row r="26" spans="2:3" x14ac:dyDescent="0.25">
      <c r="B26" s="46" t="s">
        <v>763</v>
      </c>
      <c r="C26" s="40" t="s">
        <v>764</v>
      </c>
    </row>
    <row r="27" spans="2:3" x14ac:dyDescent="0.25">
      <c r="B27" s="46" t="s">
        <v>765</v>
      </c>
      <c r="C27" s="40" t="s">
        <v>766</v>
      </c>
    </row>
    <row r="28" spans="2:3" x14ac:dyDescent="0.25">
      <c r="B28" s="46" t="s">
        <v>767</v>
      </c>
      <c r="C28" s="40" t="s">
        <v>768</v>
      </c>
    </row>
    <row r="29" spans="2:3" x14ac:dyDescent="0.25">
      <c r="B29" s="46" t="s">
        <v>769</v>
      </c>
      <c r="C29" s="40" t="s">
        <v>770</v>
      </c>
    </row>
    <row r="30" spans="2:3" x14ac:dyDescent="0.25">
      <c r="B30" s="46" t="s">
        <v>771</v>
      </c>
      <c r="C30" s="40" t="s">
        <v>772</v>
      </c>
    </row>
    <row r="31" spans="2:3" x14ac:dyDescent="0.25">
      <c r="B31" s="46" t="s">
        <v>773</v>
      </c>
      <c r="C31" s="40" t="s">
        <v>774</v>
      </c>
    </row>
    <row r="32" spans="2:3" x14ac:dyDescent="0.25">
      <c r="B32" s="46" t="s">
        <v>775</v>
      </c>
      <c r="C32" s="40" t="s">
        <v>776</v>
      </c>
    </row>
    <row r="33" spans="2:3" x14ac:dyDescent="0.25">
      <c r="B33" s="46" t="s">
        <v>777</v>
      </c>
      <c r="C33" s="40" t="s">
        <v>778</v>
      </c>
    </row>
    <row r="34" spans="2:3" x14ac:dyDescent="0.25">
      <c r="B34" s="46" t="s">
        <v>779</v>
      </c>
      <c r="C34" s="40" t="s">
        <v>779</v>
      </c>
    </row>
    <row r="35" spans="2:3" x14ac:dyDescent="0.25">
      <c r="B35" s="46" t="s">
        <v>780</v>
      </c>
      <c r="C35" s="40" t="s">
        <v>781</v>
      </c>
    </row>
    <row r="36" spans="2:3" x14ac:dyDescent="0.25">
      <c r="B36" s="46" t="s">
        <v>782</v>
      </c>
      <c r="C36" s="40" t="s">
        <v>783</v>
      </c>
    </row>
    <row r="37" spans="2:3" x14ac:dyDescent="0.25">
      <c r="B37" s="46" t="s">
        <v>784</v>
      </c>
      <c r="C37" s="40" t="s">
        <v>785</v>
      </c>
    </row>
    <row r="38" spans="2:3" x14ac:dyDescent="0.25">
      <c r="B38" s="46" t="s">
        <v>786</v>
      </c>
      <c r="C38" s="40" t="s">
        <v>787</v>
      </c>
    </row>
    <row r="39" spans="2:3" x14ac:dyDescent="0.25">
      <c r="B39" s="46" t="s">
        <v>788</v>
      </c>
      <c r="C39" s="40" t="s">
        <v>789</v>
      </c>
    </row>
    <row r="40" spans="2:3" x14ac:dyDescent="0.25">
      <c r="B40" s="46" t="s">
        <v>790</v>
      </c>
      <c r="C40" s="40" t="s">
        <v>791</v>
      </c>
    </row>
    <row r="41" spans="2:3" x14ac:dyDescent="0.25">
      <c r="B41" s="46" t="s">
        <v>792</v>
      </c>
      <c r="C41" s="40" t="s">
        <v>793</v>
      </c>
    </row>
    <row r="42" spans="2:3" x14ac:dyDescent="0.25">
      <c r="B42" s="46" t="s">
        <v>794</v>
      </c>
      <c r="C42" s="40" t="s">
        <v>795</v>
      </c>
    </row>
    <row r="43" spans="2:3" x14ac:dyDescent="0.25">
      <c r="B43" s="46" t="s">
        <v>796</v>
      </c>
      <c r="C43" s="40" t="s">
        <v>797</v>
      </c>
    </row>
    <row r="44" spans="2:3" x14ac:dyDescent="0.25">
      <c r="B44" s="46" t="s">
        <v>798</v>
      </c>
      <c r="C44" s="40" t="s">
        <v>799</v>
      </c>
    </row>
    <row r="45" spans="2:3" x14ac:dyDescent="0.25">
      <c r="B45" s="46" t="s">
        <v>800</v>
      </c>
      <c r="C45" s="40" t="s">
        <v>801</v>
      </c>
    </row>
    <row r="46" spans="2:3" x14ac:dyDescent="0.25">
      <c r="B46" s="46" t="s">
        <v>568</v>
      </c>
      <c r="C46" s="40" t="s">
        <v>802</v>
      </c>
    </row>
    <row r="47" spans="2:3" x14ac:dyDescent="0.25">
      <c r="B47" s="46" t="s">
        <v>803</v>
      </c>
      <c r="C47" s="40" t="s">
        <v>804</v>
      </c>
    </row>
    <row r="48" spans="2:3" x14ac:dyDescent="0.25">
      <c r="B48" s="46" t="s">
        <v>805</v>
      </c>
      <c r="C48" s="40" t="s">
        <v>806</v>
      </c>
    </row>
    <row r="49" spans="2:3" x14ac:dyDescent="0.25">
      <c r="B49" s="46" t="s">
        <v>807</v>
      </c>
      <c r="C49" s="40" t="s">
        <v>808</v>
      </c>
    </row>
    <row r="50" spans="2:3" x14ac:dyDescent="0.25">
      <c r="B50" s="46" t="s">
        <v>809</v>
      </c>
      <c r="C50" s="40" t="s">
        <v>810</v>
      </c>
    </row>
    <row r="51" spans="2:3" x14ac:dyDescent="0.25">
      <c r="B51" s="46" t="s">
        <v>811</v>
      </c>
      <c r="C51" s="40" t="s">
        <v>812</v>
      </c>
    </row>
    <row r="52" spans="2:3" x14ac:dyDescent="0.25">
      <c r="B52" s="46" t="s">
        <v>813</v>
      </c>
      <c r="C52" s="40" t="s">
        <v>814</v>
      </c>
    </row>
    <row r="53" spans="2:3" x14ac:dyDescent="0.25">
      <c r="B53" s="46" t="s">
        <v>815</v>
      </c>
      <c r="C53" s="40" t="s">
        <v>816</v>
      </c>
    </row>
    <row r="54" spans="2:3" x14ac:dyDescent="0.25">
      <c r="B54" s="46" t="s">
        <v>817</v>
      </c>
      <c r="C54" s="40" t="s">
        <v>818</v>
      </c>
    </row>
    <row r="55" spans="2:3" x14ac:dyDescent="0.25">
      <c r="B55" s="46" t="s">
        <v>819</v>
      </c>
      <c r="C55" s="40" t="s">
        <v>820</v>
      </c>
    </row>
    <row r="56" spans="2:3" x14ac:dyDescent="0.25">
      <c r="B56" s="46" t="s">
        <v>821</v>
      </c>
      <c r="C56" s="40" t="s">
        <v>822</v>
      </c>
    </row>
    <row r="57" spans="2:3" x14ac:dyDescent="0.25">
      <c r="B57" s="46" t="s">
        <v>823</v>
      </c>
      <c r="C57" s="40" t="s">
        <v>824</v>
      </c>
    </row>
    <row r="58" spans="2:3" x14ac:dyDescent="0.25">
      <c r="B58" s="46" t="s">
        <v>825</v>
      </c>
      <c r="C58" s="40" t="s">
        <v>826</v>
      </c>
    </row>
    <row r="59" spans="2:3" x14ac:dyDescent="0.25">
      <c r="B59" s="46" t="s">
        <v>827</v>
      </c>
      <c r="C59" s="40" t="s">
        <v>828</v>
      </c>
    </row>
    <row r="60" spans="2:3" x14ac:dyDescent="0.25">
      <c r="B60" s="46" t="s">
        <v>829</v>
      </c>
      <c r="C60" s="40" t="s">
        <v>830</v>
      </c>
    </row>
    <row r="61" spans="2:3" x14ac:dyDescent="0.25">
      <c r="B61" s="46" t="s">
        <v>831</v>
      </c>
      <c r="C61" s="40" t="s">
        <v>832</v>
      </c>
    </row>
    <row r="62" spans="2:3" x14ac:dyDescent="0.25">
      <c r="B62" s="46" t="s">
        <v>833</v>
      </c>
      <c r="C62" s="40" t="s">
        <v>834</v>
      </c>
    </row>
    <row r="63" spans="2:3" x14ac:dyDescent="0.25">
      <c r="B63" s="46" t="s">
        <v>835</v>
      </c>
      <c r="C63" s="40" t="s">
        <v>836</v>
      </c>
    </row>
    <row r="64" spans="2:3" x14ac:dyDescent="0.25">
      <c r="B64" s="46" t="s">
        <v>837</v>
      </c>
      <c r="C64" s="40" t="s">
        <v>838</v>
      </c>
    </row>
    <row r="65" spans="2:3" x14ac:dyDescent="0.25">
      <c r="B65" s="46" t="s">
        <v>839</v>
      </c>
      <c r="C65" s="40" t="s">
        <v>840</v>
      </c>
    </row>
    <row r="66" spans="2:3" x14ac:dyDescent="0.25">
      <c r="B66" s="46" t="s">
        <v>841</v>
      </c>
      <c r="C66" s="40" t="s">
        <v>842</v>
      </c>
    </row>
    <row r="67" spans="2:3" x14ac:dyDescent="0.25">
      <c r="B67" s="46" t="s">
        <v>843</v>
      </c>
      <c r="C67" s="40" t="s">
        <v>844</v>
      </c>
    </row>
    <row r="68" spans="2:3" x14ac:dyDescent="0.25">
      <c r="B68" s="46" t="s">
        <v>845</v>
      </c>
      <c r="C68" s="40" t="s">
        <v>846</v>
      </c>
    </row>
    <row r="69" spans="2:3" x14ac:dyDescent="0.25">
      <c r="B69" s="46" t="s">
        <v>847</v>
      </c>
      <c r="C69" s="40" t="s">
        <v>848</v>
      </c>
    </row>
    <row r="70" spans="2:3" x14ac:dyDescent="0.25">
      <c r="B70" s="46" t="s">
        <v>849</v>
      </c>
      <c r="C70" s="40" t="s">
        <v>850</v>
      </c>
    </row>
    <row r="71" spans="2:3" x14ac:dyDescent="0.25">
      <c r="B71" s="46" t="s">
        <v>851</v>
      </c>
      <c r="C71" s="40" t="s">
        <v>852</v>
      </c>
    </row>
    <row r="72" spans="2:3" x14ac:dyDescent="0.25">
      <c r="B72" s="46" t="s">
        <v>853</v>
      </c>
      <c r="C72" s="40" t="s">
        <v>854</v>
      </c>
    </row>
    <row r="73" spans="2:3" x14ac:dyDescent="0.25">
      <c r="B73" s="46" t="s">
        <v>855</v>
      </c>
      <c r="C73" s="40" t="s">
        <v>856</v>
      </c>
    </row>
    <row r="74" spans="2:3" x14ac:dyDescent="0.25">
      <c r="B74" s="46" t="s">
        <v>857</v>
      </c>
      <c r="C74" s="40" t="s">
        <v>858</v>
      </c>
    </row>
    <row r="75" spans="2:3" x14ac:dyDescent="0.25">
      <c r="B75" s="46" t="s">
        <v>859</v>
      </c>
      <c r="C75" s="40" t="s">
        <v>860</v>
      </c>
    </row>
    <row r="76" spans="2:3" x14ac:dyDescent="0.25">
      <c r="B76" s="46" t="s">
        <v>861</v>
      </c>
      <c r="C76" s="40" t="s">
        <v>862</v>
      </c>
    </row>
    <row r="77" spans="2:3" x14ac:dyDescent="0.25">
      <c r="B77" s="46" t="s">
        <v>863</v>
      </c>
      <c r="C77" s="40" t="s">
        <v>864</v>
      </c>
    </row>
    <row r="78" spans="2:3" x14ac:dyDescent="0.25">
      <c r="B78" s="46" t="s">
        <v>865</v>
      </c>
      <c r="C78" s="40" t="s">
        <v>866</v>
      </c>
    </row>
    <row r="79" spans="2:3" x14ac:dyDescent="0.25">
      <c r="B79" s="46" t="s">
        <v>867</v>
      </c>
      <c r="C79" s="40" t="s">
        <v>868</v>
      </c>
    </row>
    <row r="80" spans="2:3" x14ac:dyDescent="0.25">
      <c r="B80" s="46" t="s">
        <v>869</v>
      </c>
      <c r="C80" s="40" t="s">
        <v>870</v>
      </c>
    </row>
    <row r="81" spans="2:3" x14ac:dyDescent="0.25">
      <c r="B81" s="46" t="s">
        <v>871</v>
      </c>
      <c r="C81" s="40" t="s">
        <v>872</v>
      </c>
    </row>
    <row r="82" spans="2:3" x14ac:dyDescent="0.25">
      <c r="B82" s="46" t="s">
        <v>873</v>
      </c>
      <c r="C82" s="40" t="s">
        <v>874</v>
      </c>
    </row>
    <row r="83" spans="2:3" x14ac:dyDescent="0.25">
      <c r="B83" s="46" t="s">
        <v>875</v>
      </c>
      <c r="C83" s="40" t="s">
        <v>876</v>
      </c>
    </row>
    <row r="84" spans="2:3" x14ac:dyDescent="0.25">
      <c r="B84" s="46" t="s">
        <v>877</v>
      </c>
      <c r="C84" s="40" t="s">
        <v>878</v>
      </c>
    </row>
    <row r="85" spans="2:3" x14ac:dyDescent="0.25">
      <c r="B85" s="46" t="s">
        <v>879</v>
      </c>
      <c r="C85" s="40" t="s">
        <v>880</v>
      </c>
    </row>
    <row r="86" spans="2:3" x14ac:dyDescent="0.25">
      <c r="B86" s="46" t="s">
        <v>881</v>
      </c>
      <c r="C86" s="40" t="s">
        <v>882</v>
      </c>
    </row>
    <row r="87" spans="2:3" x14ac:dyDescent="0.25">
      <c r="B87" s="46" t="s">
        <v>883</v>
      </c>
      <c r="C87" s="40" t="s">
        <v>884</v>
      </c>
    </row>
    <row r="88" spans="2:3" x14ac:dyDescent="0.25">
      <c r="B88" s="46" t="s">
        <v>885</v>
      </c>
      <c r="C88" s="40" t="s">
        <v>886</v>
      </c>
    </row>
    <row r="89" spans="2:3" x14ac:dyDescent="0.25">
      <c r="B89" s="46" t="s">
        <v>887</v>
      </c>
      <c r="C89" s="40" t="s">
        <v>888</v>
      </c>
    </row>
    <row r="90" spans="2:3" x14ac:dyDescent="0.25">
      <c r="B90" s="46" t="s">
        <v>889</v>
      </c>
      <c r="C90" s="40" t="s">
        <v>890</v>
      </c>
    </row>
    <row r="91" spans="2:3" x14ac:dyDescent="0.25">
      <c r="B91" s="46" t="s">
        <v>891</v>
      </c>
      <c r="C91" s="40" t="s">
        <v>892</v>
      </c>
    </row>
    <row r="92" spans="2:3" x14ac:dyDescent="0.25">
      <c r="B92" s="46" t="s">
        <v>893</v>
      </c>
      <c r="C92" s="40" t="s">
        <v>894</v>
      </c>
    </row>
    <row r="93" spans="2:3" x14ac:dyDescent="0.25">
      <c r="B93" s="46" t="s">
        <v>895</v>
      </c>
      <c r="C93" s="40" t="s">
        <v>896</v>
      </c>
    </row>
    <row r="94" spans="2:3" x14ac:dyDescent="0.25">
      <c r="B94" s="46" t="s">
        <v>897</v>
      </c>
      <c r="C94" s="40" t="s">
        <v>898</v>
      </c>
    </row>
    <row r="95" spans="2:3" x14ac:dyDescent="0.25">
      <c r="B95" s="46" t="s">
        <v>899</v>
      </c>
      <c r="C95" s="40" t="s">
        <v>900</v>
      </c>
    </row>
    <row r="96" spans="2:3" x14ac:dyDescent="0.25">
      <c r="B96" s="46" t="s">
        <v>901</v>
      </c>
      <c r="C96" s="40" t="s">
        <v>902</v>
      </c>
    </row>
    <row r="97" spans="2:3" x14ac:dyDescent="0.25">
      <c r="B97" s="46" t="s">
        <v>903</v>
      </c>
      <c r="C97" s="40" t="s">
        <v>904</v>
      </c>
    </row>
    <row r="98" spans="2:3" x14ac:dyDescent="0.25">
      <c r="B98" s="46" t="s">
        <v>905</v>
      </c>
      <c r="C98" s="40" t="s">
        <v>906</v>
      </c>
    </row>
    <row r="99" spans="2:3" x14ac:dyDescent="0.25">
      <c r="B99" s="46" t="s">
        <v>907</v>
      </c>
      <c r="C99" s="40" t="s">
        <v>908</v>
      </c>
    </row>
    <row r="100" spans="2:3" x14ac:dyDescent="0.25">
      <c r="B100" s="46" t="s">
        <v>909</v>
      </c>
      <c r="C100" s="40" t="s">
        <v>910</v>
      </c>
    </row>
    <row r="101" spans="2:3" x14ac:dyDescent="0.25">
      <c r="B101" s="46" t="s">
        <v>911</v>
      </c>
      <c r="C101" s="40" t="s">
        <v>912</v>
      </c>
    </row>
    <row r="102" spans="2:3" x14ac:dyDescent="0.25">
      <c r="B102" s="46" t="s">
        <v>913</v>
      </c>
      <c r="C102" s="40" t="s">
        <v>914</v>
      </c>
    </row>
    <row r="103" spans="2:3" x14ac:dyDescent="0.25">
      <c r="B103" s="46" t="s">
        <v>915</v>
      </c>
      <c r="C103" s="40" t="s">
        <v>916</v>
      </c>
    </row>
    <row r="104" spans="2:3" x14ac:dyDescent="0.25">
      <c r="B104" s="46" t="s">
        <v>917</v>
      </c>
      <c r="C104" s="40" t="s">
        <v>918</v>
      </c>
    </row>
    <row r="105" spans="2:3" x14ac:dyDescent="0.25">
      <c r="B105" s="46" t="s">
        <v>919</v>
      </c>
      <c r="C105" s="40" t="s">
        <v>920</v>
      </c>
    </row>
    <row r="106" spans="2:3" x14ac:dyDescent="0.25">
      <c r="B106" s="46" t="s">
        <v>921</v>
      </c>
      <c r="C106" s="40" t="s">
        <v>922</v>
      </c>
    </row>
    <row r="107" spans="2:3" x14ac:dyDescent="0.25">
      <c r="B107" s="46" t="s">
        <v>923</v>
      </c>
      <c r="C107" s="40" t="s">
        <v>924</v>
      </c>
    </row>
    <row r="108" spans="2:3" x14ac:dyDescent="0.25">
      <c r="B108" s="46" t="s">
        <v>925</v>
      </c>
      <c r="C108" s="40" t="s">
        <v>926</v>
      </c>
    </row>
    <row r="109" spans="2:3" x14ac:dyDescent="0.25">
      <c r="B109" s="46" t="s">
        <v>927</v>
      </c>
      <c r="C109" s="40" t="s">
        <v>928</v>
      </c>
    </row>
    <row r="110" spans="2:3" x14ac:dyDescent="0.25">
      <c r="B110" s="46" t="s">
        <v>929</v>
      </c>
      <c r="C110" s="40" t="s">
        <v>930</v>
      </c>
    </row>
    <row r="111" spans="2:3" x14ac:dyDescent="0.25">
      <c r="B111" s="46" t="s">
        <v>931</v>
      </c>
      <c r="C111" s="40" t="s">
        <v>932</v>
      </c>
    </row>
    <row r="112" spans="2:3" x14ac:dyDescent="0.25">
      <c r="B112" s="46" t="s">
        <v>933</v>
      </c>
      <c r="C112" s="40" t="s">
        <v>934</v>
      </c>
    </row>
    <row r="113" spans="2:3" x14ac:dyDescent="0.25">
      <c r="B113" s="46" t="s">
        <v>935</v>
      </c>
      <c r="C113" s="40" t="s">
        <v>936</v>
      </c>
    </row>
    <row r="114" spans="2:3" x14ac:dyDescent="0.25">
      <c r="B114" s="46" t="s">
        <v>937</v>
      </c>
      <c r="C114" s="40" t="s">
        <v>938</v>
      </c>
    </row>
    <row r="115" spans="2:3" x14ac:dyDescent="0.25">
      <c r="B115" s="46" t="s">
        <v>939</v>
      </c>
      <c r="C115" s="40" t="s">
        <v>940</v>
      </c>
    </row>
    <row r="116" spans="2:3" x14ac:dyDescent="0.25">
      <c r="B116" s="46" t="s">
        <v>941</v>
      </c>
      <c r="C116" s="40" t="s">
        <v>942</v>
      </c>
    </row>
    <row r="117" spans="2:3" x14ac:dyDescent="0.25">
      <c r="B117" s="46" t="s">
        <v>943</v>
      </c>
      <c r="C117" s="40" t="s">
        <v>944</v>
      </c>
    </row>
    <row r="118" spans="2:3" x14ac:dyDescent="0.25">
      <c r="B118" s="46" t="s">
        <v>945</v>
      </c>
      <c r="C118" s="40" t="s">
        <v>946</v>
      </c>
    </row>
    <row r="119" spans="2:3" x14ac:dyDescent="0.25">
      <c r="B119" s="46" t="s">
        <v>947</v>
      </c>
      <c r="C119" s="40" t="s">
        <v>948</v>
      </c>
    </row>
    <row r="120" spans="2:3" x14ac:dyDescent="0.25">
      <c r="B120" s="46" t="s">
        <v>949</v>
      </c>
      <c r="C120" s="40" t="s">
        <v>950</v>
      </c>
    </row>
    <row r="121" spans="2:3" x14ac:dyDescent="0.25">
      <c r="B121" s="46" t="s">
        <v>951</v>
      </c>
      <c r="C121" s="40" t="s">
        <v>952</v>
      </c>
    </row>
    <row r="122" spans="2:3" x14ac:dyDescent="0.25">
      <c r="B122" s="46" t="s">
        <v>953</v>
      </c>
      <c r="C122" s="40" t="s">
        <v>954</v>
      </c>
    </row>
    <row r="123" spans="2:3" x14ac:dyDescent="0.25">
      <c r="B123" s="46" t="s">
        <v>955</v>
      </c>
      <c r="C123" s="40" t="s">
        <v>956</v>
      </c>
    </row>
    <row r="124" spans="2:3" x14ac:dyDescent="0.25">
      <c r="B124" s="46" t="s">
        <v>957</v>
      </c>
      <c r="C124" s="40" t="s">
        <v>958</v>
      </c>
    </row>
    <row r="125" spans="2:3" x14ac:dyDescent="0.25">
      <c r="B125" s="46" t="s">
        <v>959</v>
      </c>
      <c r="C125" s="40" t="s">
        <v>960</v>
      </c>
    </row>
    <row r="126" spans="2:3" x14ac:dyDescent="0.25">
      <c r="B126" s="46" t="s">
        <v>961</v>
      </c>
      <c r="C126" s="40" t="s">
        <v>962</v>
      </c>
    </row>
    <row r="127" spans="2:3" x14ac:dyDescent="0.25">
      <c r="B127" s="46" t="s">
        <v>963</v>
      </c>
      <c r="C127" s="40" t="s">
        <v>964</v>
      </c>
    </row>
    <row r="128" spans="2:3" x14ac:dyDescent="0.25">
      <c r="B128" s="46" t="s">
        <v>965</v>
      </c>
      <c r="C128" s="40" t="s">
        <v>966</v>
      </c>
    </row>
    <row r="129" spans="2:3" x14ac:dyDescent="0.25">
      <c r="B129" s="46" t="s">
        <v>967</v>
      </c>
      <c r="C129" s="40" t="s">
        <v>968</v>
      </c>
    </row>
    <row r="130" spans="2:3" x14ac:dyDescent="0.25">
      <c r="B130" s="46" t="s">
        <v>969</v>
      </c>
      <c r="C130" s="40" t="s">
        <v>970</v>
      </c>
    </row>
    <row r="131" spans="2:3" x14ac:dyDescent="0.25">
      <c r="B131" s="46" t="s">
        <v>971</v>
      </c>
      <c r="C131" s="40" t="s">
        <v>972</v>
      </c>
    </row>
    <row r="132" spans="2:3" x14ac:dyDescent="0.25">
      <c r="B132" s="46" t="s">
        <v>973</v>
      </c>
      <c r="C132" s="40" t="s">
        <v>974</v>
      </c>
    </row>
    <row r="133" spans="2:3" x14ac:dyDescent="0.25">
      <c r="B133" s="46" t="s">
        <v>975</v>
      </c>
      <c r="C133" s="40" t="s">
        <v>976</v>
      </c>
    </row>
    <row r="134" spans="2:3" x14ac:dyDescent="0.25">
      <c r="B134" s="46" t="s">
        <v>977</v>
      </c>
      <c r="C134" s="40" t="s">
        <v>978</v>
      </c>
    </row>
    <row r="135" spans="2:3" x14ac:dyDescent="0.25">
      <c r="B135" s="46" t="s">
        <v>979</v>
      </c>
      <c r="C135" s="40" t="s">
        <v>980</v>
      </c>
    </row>
    <row r="136" spans="2:3" x14ac:dyDescent="0.25">
      <c r="B136" s="46" t="s">
        <v>981</v>
      </c>
      <c r="C136" s="40" t="s">
        <v>982</v>
      </c>
    </row>
    <row r="137" spans="2:3" x14ac:dyDescent="0.25">
      <c r="B137" s="46" t="s">
        <v>983</v>
      </c>
      <c r="C137" s="40" t="s">
        <v>984</v>
      </c>
    </row>
    <row r="138" spans="2:3" x14ac:dyDescent="0.25">
      <c r="B138" s="46" t="s">
        <v>985</v>
      </c>
      <c r="C138" s="40" t="s">
        <v>986</v>
      </c>
    </row>
    <row r="139" spans="2:3" x14ac:dyDescent="0.25">
      <c r="B139" s="46" t="s">
        <v>987</v>
      </c>
      <c r="C139" s="40" t="s">
        <v>988</v>
      </c>
    </row>
    <row r="140" spans="2:3" x14ac:dyDescent="0.25">
      <c r="B140" s="46" t="s">
        <v>989</v>
      </c>
      <c r="C140" s="40" t="s">
        <v>990</v>
      </c>
    </row>
    <row r="141" spans="2:3" x14ac:dyDescent="0.25">
      <c r="B141" s="46" t="s">
        <v>991</v>
      </c>
      <c r="C141" s="40" t="s">
        <v>992</v>
      </c>
    </row>
    <row r="142" spans="2:3" x14ac:dyDescent="0.25">
      <c r="B142" s="46" t="s">
        <v>993</v>
      </c>
      <c r="C142" s="40" t="s">
        <v>994</v>
      </c>
    </row>
    <row r="143" spans="2:3" x14ac:dyDescent="0.25">
      <c r="B143" s="46" t="s">
        <v>995</v>
      </c>
      <c r="C143" s="40" t="s">
        <v>996</v>
      </c>
    </row>
    <row r="144" spans="2:3" x14ac:dyDescent="0.25">
      <c r="B144" s="46" t="s">
        <v>997</v>
      </c>
      <c r="C144" s="40" t="s">
        <v>998</v>
      </c>
    </row>
    <row r="145" spans="2:3" x14ac:dyDescent="0.25">
      <c r="B145" s="46" t="s">
        <v>999</v>
      </c>
      <c r="C145" s="40" t="s">
        <v>1000</v>
      </c>
    </row>
    <row r="146" spans="2:3" x14ac:dyDescent="0.25">
      <c r="B146" s="46" t="s">
        <v>1001</v>
      </c>
      <c r="C146" s="40" t="s">
        <v>1002</v>
      </c>
    </row>
    <row r="147" spans="2:3" x14ac:dyDescent="0.25">
      <c r="B147" s="46" t="s">
        <v>1003</v>
      </c>
      <c r="C147" s="40" t="s">
        <v>1004</v>
      </c>
    </row>
    <row r="148" spans="2:3" x14ac:dyDescent="0.25">
      <c r="B148" s="46" t="s">
        <v>1005</v>
      </c>
      <c r="C148" s="40" t="s">
        <v>1006</v>
      </c>
    </row>
    <row r="149" spans="2:3" x14ac:dyDescent="0.25">
      <c r="B149" s="46" t="s">
        <v>1007</v>
      </c>
      <c r="C149" s="40" t="s">
        <v>1008</v>
      </c>
    </row>
    <row r="150" spans="2:3" x14ac:dyDescent="0.25">
      <c r="B150" s="46" t="s">
        <v>1009</v>
      </c>
      <c r="C150" s="40" t="s">
        <v>1010</v>
      </c>
    </row>
    <row r="151" spans="2:3" x14ac:dyDescent="0.25">
      <c r="B151" s="46" t="s">
        <v>1011</v>
      </c>
      <c r="C151" s="40" t="s">
        <v>1012</v>
      </c>
    </row>
    <row r="152" spans="2:3" x14ac:dyDescent="0.25">
      <c r="B152" s="46" t="s">
        <v>1013</v>
      </c>
      <c r="C152" s="40" t="s">
        <v>1014</v>
      </c>
    </row>
    <row r="153" spans="2:3" x14ac:dyDescent="0.25">
      <c r="B153" s="46" t="s">
        <v>1015</v>
      </c>
      <c r="C153" s="40" t="s">
        <v>1016</v>
      </c>
    </row>
    <row r="154" spans="2:3" x14ac:dyDescent="0.25">
      <c r="B154" s="46" t="s">
        <v>1017</v>
      </c>
      <c r="C154" s="40" t="s">
        <v>1018</v>
      </c>
    </row>
    <row r="155" spans="2:3" x14ac:dyDescent="0.25">
      <c r="B155" s="46" t="s">
        <v>1019</v>
      </c>
      <c r="C155" s="40" t="s">
        <v>1020</v>
      </c>
    </row>
    <row r="156" spans="2:3" x14ac:dyDescent="0.25">
      <c r="B156" s="46" t="s">
        <v>1021</v>
      </c>
      <c r="C156" s="40" t="s">
        <v>1022</v>
      </c>
    </row>
    <row r="157" spans="2:3" x14ac:dyDescent="0.25">
      <c r="B157" s="46" t="s">
        <v>1023</v>
      </c>
      <c r="C157" s="40" t="s">
        <v>1024</v>
      </c>
    </row>
    <row r="158" spans="2:3" x14ac:dyDescent="0.25">
      <c r="B158" s="46" t="s">
        <v>1025</v>
      </c>
      <c r="C158" s="40" t="s">
        <v>1026</v>
      </c>
    </row>
    <row r="159" spans="2:3" x14ac:dyDescent="0.25">
      <c r="B159" s="46" t="s">
        <v>1027</v>
      </c>
      <c r="C159" s="40" t="s">
        <v>1028</v>
      </c>
    </row>
    <row r="160" spans="2:3" x14ac:dyDescent="0.25">
      <c r="B160" s="46" t="s">
        <v>1029</v>
      </c>
      <c r="C160" s="40" t="s">
        <v>1030</v>
      </c>
    </row>
    <row r="161" spans="2:3" x14ac:dyDescent="0.25">
      <c r="B161" s="46" t="s">
        <v>1031</v>
      </c>
      <c r="C161" s="40" t="s">
        <v>1032</v>
      </c>
    </row>
    <row r="162" spans="2:3" x14ac:dyDescent="0.25">
      <c r="B162" s="46" t="s">
        <v>1033</v>
      </c>
      <c r="C162" s="40" t="s">
        <v>1034</v>
      </c>
    </row>
    <row r="163" spans="2:3" x14ac:dyDescent="0.25">
      <c r="B163" s="46" t="s">
        <v>1035</v>
      </c>
      <c r="C163" s="40" t="s">
        <v>100</v>
      </c>
    </row>
    <row r="164" spans="2:3" x14ac:dyDescent="0.25">
      <c r="B164" s="46" t="s">
        <v>1036</v>
      </c>
      <c r="C164" s="40" t="s">
        <v>1037</v>
      </c>
    </row>
    <row r="165" spans="2:3" x14ac:dyDescent="0.25">
      <c r="B165" s="46" t="s">
        <v>1038</v>
      </c>
      <c r="C165" s="40" t="s">
        <v>1039</v>
      </c>
    </row>
    <row r="166" spans="2:3" x14ac:dyDescent="0.25">
      <c r="B166" s="46" t="s">
        <v>1040</v>
      </c>
      <c r="C166" s="40" t="s">
        <v>1041</v>
      </c>
    </row>
    <row r="167" spans="2:3" x14ac:dyDescent="0.25">
      <c r="B167" s="46" t="s">
        <v>1042</v>
      </c>
      <c r="C167" s="40" t="s">
        <v>1043</v>
      </c>
    </row>
    <row r="168" spans="2:3" x14ac:dyDescent="0.25">
      <c r="B168" s="46" t="s">
        <v>1044</v>
      </c>
      <c r="C168" s="40" t="s">
        <v>1045</v>
      </c>
    </row>
    <row r="169" spans="2:3" x14ac:dyDescent="0.25">
      <c r="B169" s="46" t="s">
        <v>1046</v>
      </c>
      <c r="C169" s="40" t="s">
        <v>1047</v>
      </c>
    </row>
    <row r="170" spans="2:3" x14ac:dyDescent="0.25">
      <c r="B170" s="46" t="s">
        <v>1048</v>
      </c>
      <c r="C170" s="40" t="s">
        <v>1049</v>
      </c>
    </row>
    <row r="171" spans="2:3" x14ac:dyDescent="0.25">
      <c r="B171" s="46" t="s">
        <v>1050</v>
      </c>
      <c r="C171" s="40" t="s">
        <v>1051</v>
      </c>
    </row>
    <row r="172" spans="2:3" x14ac:dyDescent="0.25">
      <c r="B172" s="46" t="s">
        <v>1052</v>
      </c>
      <c r="C172" s="40" t="s">
        <v>1053</v>
      </c>
    </row>
    <row r="173" spans="2:3" x14ac:dyDescent="0.25">
      <c r="B173" s="46" t="s">
        <v>1054</v>
      </c>
      <c r="C173" s="40" t="s">
        <v>1055</v>
      </c>
    </row>
    <row r="174" spans="2:3" x14ac:dyDescent="0.25">
      <c r="B174" s="46" t="s">
        <v>1056</v>
      </c>
      <c r="C174" s="40" t="s">
        <v>1057</v>
      </c>
    </row>
    <row r="175" spans="2:3" x14ac:dyDescent="0.25">
      <c r="B175" s="46" t="s">
        <v>1058</v>
      </c>
      <c r="C175" s="40" t="s">
        <v>1059</v>
      </c>
    </row>
    <row r="176" spans="2:3" x14ac:dyDescent="0.25">
      <c r="B176" s="46" t="s">
        <v>1060</v>
      </c>
      <c r="C176" s="40" t="s">
        <v>1061</v>
      </c>
    </row>
    <row r="177" spans="2:3" x14ac:dyDescent="0.25">
      <c r="B177" s="46" t="s">
        <v>595</v>
      </c>
      <c r="C177" s="40" t="s">
        <v>1062</v>
      </c>
    </row>
    <row r="178" spans="2:3" x14ac:dyDescent="0.25">
      <c r="B178" s="46" t="s">
        <v>1063</v>
      </c>
      <c r="C178" s="40" t="s">
        <v>1064</v>
      </c>
    </row>
    <row r="179" spans="2:3" x14ac:dyDescent="0.25">
      <c r="B179" s="46" t="s">
        <v>1065</v>
      </c>
      <c r="C179" s="40" t="s">
        <v>1066</v>
      </c>
    </row>
    <row r="180" spans="2:3" x14ac:dyDescent="0.25">
      <c r="B180" s="46" t="s">
        <v>1067</v>
      </c>
      <c r="C180" s="40" t="s">
        <v>1068</v>
      </c>
    </row>
    <row r="181" spans="2:3" x14ac:dyDescent="0.25">
      <c r="B181" s="46" t="s">
        <v>1069</v>
      </c>
      <c r="C181" s="40" t="s">
        <v>1070</v>
      </c>
    </row>
    <row r="182" spans="2:3" x14ac:dyDescent="0.25">
      <c r="B182" s="46" t="s">
        <v>1071</v>
      </c>
      <c r="C182" s="40" t="s">
        <v>1072</v>
      </c>
    </row>
    <row r="183" spans="2:3" x14ac:dyDescent="0.25">
      <c r="B183" s="46" t="s">
        <v>1073</v>
      </c>
      <c r="C183" s="40" t="s">
        <v>1074</v>
      </c>
    </row>
    <row r="184" spans="2:3" x14ac:dyDescent="0.25">
      <c r="B184" s="46" t="s">
        <v>1075</v>
      </c>
      <c r="C184" s="40" t="s">
        <v>1076</v>
      </c>
    </row>
    <row r="185" spans="2:3" x14ac:dyDescent="0.25">
      <c r="B185" s="46" t="s">
        <v>1077</v>
      </c>
      <c r="C185" s="40" t="s">
        <v>1078</v>
      </c>
    </row>
    <row r="186" spans="2:3" x14ac:dyDescent="0.25">
      <c r="B186" s="46" t="s">
        <v>1079</v>
      </c>
      <c r="C186" s="40" t="s">
        <v>1080</v>
      </c>
    </row>
    <row r="187" spans="2:3" x14ac:dyDescent="0.25">
      <c r="B187" s="46" t="s">
        <v>1081</v>
      </c>
      <c r="C187" s="40" t="s">
        <v>1082</v>
      </c>
    </row>
    <row r="188" spans="2:3" x14ac:dyDescent="0.25">
      <c r="B188" s="46" t="s">
        <v>1083</v>
      </c>
      <c r="C188" s="40" t="s">
        <v>1084</v>
      </c>
    </row>
    <row r="189" spans="2:3" x14ac:dyDescent="0.25">
      <c r="B189" s="46" t="s">
        <v>1085</v>
      </c>
      <c r="C189" s="40" t="s">
        <v>1086</v>
      </c>
    </row>
    <row r="190" spans="2:3" x14ac:dyDescent="0.25">
      <c r="B190" s="46" t="s">
        <v>1087</v>
      </c>
      <c r="C190" s="40" t="s">
        <v>1088</v>
      </c>
    </row>
    <row r="191" spans="2:3" x14ac:dyDescent="0.25">
      <c r="B191" s="46" t="s">
        <v>1089</v>
      </c>
      <c r="C191" s="40" t="s">
        <v>1090</v>
      </c>
    </row>
    <row r="192" spans="2:3" x14ac:dyDescent="0.25">
      <c r="B192" s="46" t="s">
        <v>1091</v>
      </c>
      <c r="C192" s="40" t="s">
        <v>1092</v>
      </c>
    </row>
    <row r="193" spans="2:3" x14ac:dyDescent="0.25">
      <c r="B193" s="46" t="s">
        <v>1093</v>
      </c>
      <c r="C193" s="40" t="s">
        <v>1094</v>
      </c>
    </row>
    <row r="194" spans="2:3" x14ac:dyDescent="0.25">
      <c r="B194" s="46" t="s">
        <v>1095</v>
      </c>
      <c r="C194" s="40" t="s">
        <v>1096</v>
      </c>
    </row>
    <row r="195" spans="2:3" x14ac:dyDescent="0.25">
      <c r="B195" s="46" t="s">
        <v>1097</v>
      </c>
      <c r="C195" s="40" t="s">
        <v>1098</v>
      </c>
    </row>
    <row r="196" spans="2:3" x14ac:dyDescent="0.25">
      <c r="B196" s="46" t="s">
        <v>1099</v>
      </c>
      <c r="C196" s="40" t="s">
        <v>1100</v>
      </c>
    </row>
    <row r="197" spans="2:3" x14ac:dyDescent="0.25">
      <c r="B197" s="46" t="s">
        <v>1101</v>
      </c>
      <c r="C197" s="40" t="s">
        <v>1102</v>
      </c>
    </row>
    <row r="198" spans="2:3" x14ac:dyDescent="0.25">
      <c r="B198" s="46" t="s">
        <v>1103</v>
      </c>
      <c r="C198" s="40" t="s">
        <v>1104</v>
      </c>
    </row>
    <row r="199" spans="2:3" x14ac:dyDescent="0.25">
      <c r="B199" s="46" t="s">
        <v>1105</v>
      </c>
      <c r="C199" s="40" t="s">
        <v>1106</v>
      </c>
    </row>
    <row r="200" spans="2:3" x14ac:dyDescent="0.25">
      <c r="B200" s="46" t="s">
        <v>1107</v>
      </c>
      <c r="C200" s="40" t="s">
        <v>1108</v>
      </c>
    </row>
    <row r="201" spans="2:3" x14ac:dyDescent="0.25">
      <c r="B201" s="46" t="s">
        <v>1109</v>
      </c>
      <c r="C201" s="40" t="s">
        <v>1110</v>
      </c>
    </row>
    <row r="202" spans="2:3" x14ac:dyDescent="0.25">
      <c r="B202" s="46" t="s">
        <v>1111</v>
      </c>
      <c r="C202" s="40" t="s">
        <v>1112</v>
      </c>
    </row>
    <row r="203" spans="2:3" x14ac:dyDescent="0.25">
      <c r="B203" s="46" t="s">
        <v>1113</v>
      </c>
      <c r="C203" s="40" t="s">
        <v>1114</v>
      </c>
    </row>
    <row r="204" spans="2:3" x14ac:dyDescent="0.25">
      <c r="B204" s="46" t="s">
        <v>1115</v>
      </c>
      <c r="C204" s="40" t="s">
        <v>1116</v>
      </c>
    </row>
    <row r="205" spans="2:3" x14ac:dyDescent="0.25">
      <c r="B205" s="46" t="s">
        <v>1117</v>
      </c>
      <c r="C205" s="40" t="s">
        <v>1118</v>
      </c>
    </row>
    <row r="206" spans="2:3" x14ac:dyDescent="0.25">
      <c r="B206" s="46" t="s">
        <v>1119</v>
      </c>
      <c r="C206" s="40" t="s">
        <v>1120</v>
      </c>
    </row>
    <row r="207" spans="2:3" x14ac:dyDescent="0.25">
      <c r="B207" s="46" t="s">
        <v>1121</v>
      </c>
      <c r="C207" s="40" t="s">
        <v>1122</v>
      </c>
    </row>
    <row r="208" spans="2:3" x14ac:dyDescent="0.25">
      <c r="B208" s="46" t="s">
        <v>1123</v>
      </c>
      <c r="C208" s="40" t="s">
        <v>1124</v>
      </c>
    </row>
    <row r="209" spans="2:3" x14ac:dyDescent="0.25">
      <c r="B209" s="46" t="s">
        <v>1125</v>
      </c>
      <c r="C209" s="40" t="s">
        <v>1126</v>
      </c>
    </row>
    <row r="210" spans="2:3" x14ac:dyDescent="0.25">
      <c r="B210" s="46" t="s">
        <v>1127</v>
      </c>
      <c r="C210" s="40" t="s">
        <v>1128</v>
      </c>
    </row>
    <row r="211" spans="2:3" x14ac:dyDescent="0.25">
      <c r="B211" s="46" t="s">
        <v>1129</v>
      </c>
      <c r="C211" s="40" t="s">
        <v>1130</v>
      </c>
    </row>
    <row r="212" spans="2:3" x14ac:dyDescent="0.25">
      <c r="B212" s="46" t="s">
        <v>1131</v>
      </c>
      <c r="C212" s="40" t="s">
        <v>1132</v>
      </c>
    </row>
    <row r="213" spans="2:3" x14ac:dyDescent="0.25">
      <c r="B213" s="46" t="s">
        <v>1133</v>
      </c>
      <c r="C213" s="40" t="s">
        <v>1134</v>
      </c>
    </row>
    <row r="214" spans="2:3" x14ac:dyDescent="0.25">
      <c r="B214" s="46" t="s">
        <v>1135</v>
      </c>
      <c r="C214" s="40" t="s">
        <v>1136</v>
      </c>
    </row>
    <row r="215" spans="2:3" x14ac:dyDescent="0.25">
      <c r="B215" s="46" t="s">
        <v>1137</v>
      </c>
      <c r="C215" s="40" t="s">
        <v>1138</v>
      </c>
    </row>
    <row r="216" spans="2:3" x14ac:dyDescent="0.25">
      <c r="B216" s="46" t="s">
        <v>1139</v>
      </c>
      <c r="C216" s="40" t="s">
        <v>1140</v>
      </c>
    </row>
    <row r="217" spans="2:3" x14ac:dyDescent="0.25">
      <c r="B217" s="46" t="s">
        <v>1141</v>
      </c>
      <c r="C217" s="40" t="s">
        <v>1142</v>
      </c>
    </row>
    <row r="218" spans="2:3" x14ac:dyDescent="0.25">
      <c r="B218" s="46" t="s">
        <v>1143</v>
      </c>
      <c r="C218" s="40" t="s">
        <v>1144</v>
      </c>
    </row>
    <row r="219" spans="2:3" x14ac:dyDescent="0.25">
      <c r="B219" s="46" t="s">
        <v>1145</v>
      </c>
      <c r="C219" s="40" t="s">
        <v>1146</v>
      </c>
    </row>
    <row r="220" spans="2:3" x14ac:dyDescent="0.25">
      <c r="B220" s="46" t="s">
        <v>1147</v>
      </c>
      <c r="C220" s="40" t="s">
        <v>1148</v>
      </c>
    </row>
    <row r="221" spans="2:3" x14ac:dyDescent="0.25">
      <c r="B221" s="46" t="s">
        <v>1149</v>
      </c>
      <c r="C221" s="40" t="s">
        <v>1150</v>
      </c>
    </row>
    <row r="222" spans="2:3" x14ac:dyDescent="0.25">
      <c r="B222" s="46" t="s">
        <v>1151</v>
      </c>
      <c r="C222" s="40" t="s">
        <v>1152</v>
      </c>
    </row>
    <row r="223" spans="2:3" x14ac:dyDescent="0.25">
      <c r="B223" s="46" t="s">
        <v>1153</v>
      </c>
      <c r="C223" s="40" t="s">
        <v>1154</v>
      </c>
    </row>
    <row r="224" spans="2:3" x14ac:dyDescent="0.25">
      <c r="B224" s="46" t="s">
        <v>1155</v>
      </c>
      <c r="C224" s="40" t="s">
        <v>1156</v>
      </c>
    </row>
    <row r="225" spans="2:3" x14ac:dyDescent="0.25">
      <c r="B225" s="46" t="s">
        <v>1157</v>
      </c>
      <c r="C225" s="40" t="s">
        <v>1158</v>
      </c>
    </row>
    <row r="226" spans="2:3" x14ac:dyDescent="0.25">
      <c r="B226" s="46" t="s">
        <v>1159</v>
      </c>
      <c r="C226" s="40" t="s">
        <v>1160</v>
      </c>
    </row>
    <row r="227" spans="2:3" x14ac:dyDescent="0.25">
      <c r="B227" s="46" t="s">
        <v>1161</v>
      </c>
      <c r="C227" s="40" t="s">
        <v>1162</v>
      </c>
    </row>
    <row r="228" spans="2:3" x14ac:dyDescent="0.25">
      <c r="B228" s="46" t="s">
        <v>1163</v>
      </c>
      <c r="C228" s="40" t="s">
        <v>1164</v>
      </c>
    </row>
    <row r="229" spans="2:3" x14ac:dyDescent="0.25">
      <c r="B229" s="46" t="s">
        <v>1165</v>
      </c>
      <c r="C229" s="40" t="s">
        <v>1166</v>
      </c>
    </row>
    <row r="230" spans="2:3" x14ac:dyDescent="0.25">
      <c r="B230" s="46" t="s">
        <v>1167</v>
      </c>
      <c r="C230" s="40" t="s">
        <v>1168</v>
      </c>
    </row>
    <row r="231" spans="2:3" x14ac:dyDescent="0.25">
      <c r="B231" s="46" t="s">
        <v>1169</v>
      </c>
      <c r="C231" s="40" t="s">
        <v>1170</v>
      </c>
    </row>
    <row r="232" spans="2:3" x14ac:dyDescent="0.25">
      <c r="B232" s="46" t="s">
        <v>1171</v>
      </c>
      <c r="C232" s="40" t="s">
        <v>1172</v>
      </c>
    </row>
    <row r="233" spans="2:3" x14ac:dyDescent="0.25">
      <c r="B233" s="46" t="s">
        <v>1173</v>
      </c>
      <c r="C233" s="40" t="s">
        <v>1174</v>
      </c>
    </row>
    <row r="234" spans="2:3" x14ac:dyDescent="0.25">
      <c r="B234" s="46" t="s">
        <v>1175</v>
      </c>
      <c r="C234" s="40" t="s">
        <v>1176</v>
      </c>
    </row>
    <row r="235" spans="2:3" x14ac:dyDescent="0.25">
      <c r="B235" s="46" t="s">
        <v>1177</v>
      </c>
      <c r="C235" s="40" t="s">
        <v>1178</v>
      </c>
    </row>
    <row r="236" spans="2:3" x14ac:dyDescent="0.25">
      <c r="B236" s="46" t="s">
        <v>1179</v>
      </c>
      <c r="C236" s="40" t="s">
        <v>1180</v>
      </c>
    </row>
    <row r="237" spans="2:3" x14ac:dyDescent="0.25">
      <c r="B237" s="46" t="s">
        <v>1181</v>
      </c>
      <c r="C237" s="40">
        <v>983</v>
      </c>
    </row>
    <row r="238" spans="2:3" x14ac:dyDescent="0.25">
      <c r="B238" s="46" t="s">
        <v>1182</v>
      </c>
      <c r="C238" s="40" t="s">
        <v>1183</v>
      </c>
    </row>
    <row r="239" spans="2:3" x14ac:dyDescent="0.25">
      <c r="B239" s="46" t="s">
        <v>1184</v>
      </c>
      <c r="C239" s="40" t="s">
        <v>1185</v>
      </c>
    </row>
    <row r="240" spans="2:3" x14ac:dyDescent="0.25">
      <c r="B240" s="46" t="s">
        <v>1186</v>
      </c>
      <c r="C240" s="40" t="s">
        <v>1187</v>
      </c>
    </row>
    <row r="241" spans="2:3" x14ac:dyDescent="0.25">
      <c r="B241" s="46" t="s">
        <v>1188</v>
      </c>
      <c r="C241" s="40" t="s">
        <v>1189</v>
      </c>
    </row>
    <row r="242" spans="2:3" x14ac:dyDescent="0.25">
      <c r="B242" s="46" t="s">
        <v>1190</v>
      </c>
      <c r="C242" s="40" t="s">
        <v>1191</v>
      </c>
    </row>
    <row r="243" spans="2:3" x14ac:dyDescent="0.25">
      <c r="B243" s="46" t="s">
        <v>1192</v>
      </c>
      <c r="C243" s="40" t="s">
        <v>1193</v>
      </c>
    </row>
    <row r="244" spans="2:3" x14ac:dyDescent="0.25">
      <c r="B244" s="46" t="s">
        <v>1194</v>
      </c>
      <c r="C244" s="40" t="s">
        <v>1195</v>
      </c>
    </row>
    <row r="245" spans="2:3" x14ac:dyDescent="0.25">
      <c r="B245" s="46" t="s">
        <v>1196</v>
      </c>
      <c r="C245" s="40" t="s">
        <v>1197</v>
      </c>
    </row>
    <row r="246" spans="2:3" x14ac:dyDescent="0.25">
      <c r="B246" s="46" t="s">
        <v>1198</v>
      </c>
      <c r="C246" s="40" t="s">
        <v>1199</v>
      </c>
    </row>
    <row r="247" spans="2:3" x14ac:dyDescent="0.25">
      <c r="B247" s="46" t="s">
        <v>1200</v>
      </c>
      <c r="C247" s="40" t="s">
        <v>1201</v>
      </c>
    </row>
    <row r="248" spans="2:3" x14ac:dyDescent="0.25">
      <c r="B248" s="46" t="s">
        <v>1202</v>
      </c>
      <c r="C248" s="40" t="s">
        <v>1203</v>
      </c>
    </row>
    <row r="249" spans="2:3" x14ac:dyDescent="0.25">
      <c r="B249" s="46" t="s">
        <v>1204</v>
      </c>
      <c r="C249" s="40" t="s">
        <v>1205</v>
      </c>
    </row>
    <row r="250" spans="2:3" x14ac:dyDescent="0.25">
      <c r="B250" s="46" t="s">
        <v>540</v>
      </c>
      <c r="C250" s="40" t="s">
        <v>1206</v>
      </c>
    </row>
    <row r="251" spans="2:3" x14ac:dyDescent="0.25">
      <c r="B251" s="46" t="s">
        <v>1207</v>
      </c>
      <c r="C251" s="40" t="s">
        <v>1208</v>
      </c>
    </row>
    <row r="252" spans="2:3" x14ac:dyDescent="0.25">
      <c r="B252" s="46" t="s">
        <v>1209</v>
      </c>
      <c r="C252" s="40" t="s">
        <v>1210</v>
      </c>
    </row>
    <row r="253" spans="2:3" x14ac:dyDescent="0.25">
      <c r="B253" s="46" t="s">
        <v>1211</v>
      </c>
      <c r="C253" s="40" t="s">
        <v>1212</v>
      </c>
    </row>
    <row r="254" spans="2:3" x14ac:dyDescent="0.25">
      <c r="B254" s="46" t="s">
        <v>1213</v>
      </c>
      <c r="C254" s="40" t="s">
        <v>1214</v>
      </c>
    </row>
    <row r="255" spans="2:3" x14ac:dyDescent="0.25">
      <c r="B255" s="46" t="s">
        <v>717</v>
      </c>
      <c r="C255" s="40" t="s">
        <v>718</v>
      </c>
    </row>
    <row r="256" spans="2:3" x14ac:dyDescent="0.25">
      <c r="B256" s="46" t="s">
        <v>1215</v>
      </c>
      <c r="C256" s="40" t="s">
        <v>1216</v>
      </c>
    </row>
    <row r="257" spans="2:3" x14ac:dyDescent="0.25">
      <c r="B257" s="46" t="s">
        <v>1217</v>
      </c>
      <c r="C257" s="40" t="s">
        <v>1218</v>
      </c>
    </row>
    <row r="258" spans="2:3" x14ac:dyDescent="0.25">
      <c r="B258" s="46" t="s">
        <v>1219</v>
      </c>
      <c r="C258" s="40" t="s">
        <v>1220</v>
      </c>
    </row>
    <row r="259" spans="2:3" x14ac:dyDescent="0.25">
      <c r="B259" s="46" t="s">
        <v>1221</v>
      </c>
      <c r="C259" s="40" t="s">
        <v>1222</v>
      </c>
    </row>
    <row r="260" spans="2:3" x14ac:dyDescent="0.25">
      <c r="B260" s="46" t="s">
        <v>1223</v>
      </c>
      <c r="C260" s="40" t="s">
        <v>1224</v>
      </c>
    </row>
    <row r="261" spans="2:3" x14ac:dyDescent="0.25">
      <c r="B261" s="46" t="s">
        <v>1225</v>
      </c>
      <c r="C261" s="40" t="s">
        <v>1226</v>
      </c>
    </row>
    <row r="262" spans="2:3" x14ac:dyDescent="0.25">
      <c r="B262" s="46" t="s">
        <v>1227</v>
      </c>
      <c r="C262" s="40" t="s">
        <v>1228</v>
      </c>
    </row>
    <row r="263" spans="2:3" x14ac:dyDescent="0.25">
      <c r="B263" s="46" t="s">
        <v>1229</v>
      </c>
      <c r="C263" s="40" t="s">
        <v>1230</v>
      </c>
    </row>
    <row r="264" spans="2:3" x14ac:dyDescent="0.25">
      <c r="B264" s="46" t="s">
        <v>1231</v>
      </c>
      <c r="C264" s="40" t="s">
        <v>1232</v>
      </c>
    </row>
    <row r="265" spans="2:3" x14ac:dyDescent="0.25">
      <c r="B265" s="46" t="s">
        <v>1233</v>
      </c>
      <c r="C265" s="40" t="s">
        <v>1234</v>
      </c>
    </row>
    <row r="266" spans="2:3" x14ac:dyDescent="0.25">
      <c r="B266" s="46" t="s">
        <v>1235</v>
      </c>
      <c r="C266" s="40" t="s">
        <v>1236</v>
      </c>
    </row>
    <row r="267" spans="2:3" x14ac:dyDescent="0.25">
      <c r="B267" s="46" t="s">
        <v>1237</v>
      </c>
      <c r="C267" s="40" t="s">
        <v>1238</v>
      </c>
    </row>
    <row r="268" spans="2:3" x14ac:dyDescent="0.25">
      <c r="B268" s="46" t="s">
        <v>1239</v>
      </c>
      <c r="C268" s="40" t="s">
        <v>1240</v>
      </c>
    </row>
    <row r="269" spans="2:3" x14ac:dyDescent="0.25">
      <c r="B269" s="46" t="s">
        <v>1241</v>
      </c>
      <c r="C269" s="40" t="s">
        <v>1242</v>
      </c>
    </row>
    <row r="270" spans="2:3" ht="15.75" thickBot="1" x14ac:dyDescent="0.3">
      <c r="B270" s="47" t="s">
        <v>1243</v>
      </c>
      <c r="C270" s="41" t="s">
        <v>1244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M4060"/>
  <sheetViews>
    <sheetView workbookViewId="0">
      <selection activeCell="F27" sqref="F27"/>
    </sheetView>
  </sheetViews>
  <sheetFormatPr defaultRowHeight="15" x14ac:dyDescent="0.25"/>
  <cols>
    <col min="2" max="2" width="33.7109375" customWidth="1"/>
    <col min="3" max="3" width="10.5703125" customWidth="1"/>
  </cols>
  <sheetData>
    <row r="1" spans="2:3" ht="15.75" thickBot="1" x14ac:dyDescent="0.3"/>
    <row r="2" spans="2:3" ht="15.75" thickBot="1" x14ac:dyDescent="0.3">
      <c r="B2" s="51" t="s">
        <v>3216</v>
      </c>
      <c r="C2" s="49"/>
    </row>
    <row r="3" spans="2:3" x14ac:dyDescent="0.25">
      <c r="B3" s="26" t="s">
        <v>3217</v>
      </c>
      <c r="C3" s="40"/>
    </row>
    <row r="4" spans="2:3" x14ac:dyDescent="0.25">
      <c r="B4" s="26" t="s">
        <v>3218</v>
      </c>
      <c r="C4" s="40"/>
    </row>
    <row r="5" spans="2:3" x14ac:dyDescent="0.25">
      <c r="B5" s="26" t="s">
        <v>3219</v>
      </c>
      <c r="C5" s="40"/>
    </row>
    <row r="6" spans="2:3" x14ac:dyDescent="0.25">
      <c r="B6" s="26" t="s">
        <v>3220</v>
      </c>
      <c r="C6" s="40"/>
    </row>
    <row r="7" spans="2:3" x14ac:dyDescent="0.25">
      <c r="B7" s="26" t="s">
        <v>3221</v>
      </c>
      <c r="C7" s="40"/>
    </row>
    <row r="8" spans="2:3" x14ac:dyDescent="0.25">
      <c r="B8" s="26" t="s">
        <v>3222</v>
      </c>
      <c r="C8" s="40"/>
    </row>
    <row r="9" spans="2:3" x14ac:dyDescent="0.25">
      <c r="B9" s="26" t="s">
        <v>3223</v>
      </c>
      <c r="C9" s="40"/>
    </row>
    <row r="10" spans="2:3" x14ac:dyDescent="0.25">
      <c r="B10" s="26" t="s">
        <v>3224</v>
      </c>
      <c r="C10" s="40"/>
    </row>
    <row r="11" spans="2:3" x14ac:dyDescent="0.25">
      <c r="B11" s="26" t="s">
        <v>3225</v>
      </c>
      <c r="C11" s="40"/>
    </row>
    <row r="12" spans="2:3" x14ac:dyDescent="0.25">
      <c r="B12" s="26" t="s">
        <v>3226</v>
      </c>
      <c r="C12" s="40"/>
    </row>
    <row r="13" spans="2:3" x14ac:dyDescent="0.25">
      <c r="B13" s="26" t="s">
        <v>3227</v>
      </c>
      <c r="C13" s="40"/>
    </row>
    <row r="14" spans="2:3" x14ac:dyDescent="0.25">
      <c r="B14" s="26" t="s">
        <v>3228</v>
      </c>
      <c r="C14" s="40"/>
    </row>
    <row r="15" spans="2:3" x14ac:dyDescent="0.25">
      <c r="B15" s="26" t="s">
        <v>3229</v>
      </c>
      <c r="C15" s="40"/>
    </row>
    <row r="16" spans="2:3" x14ac:dyDescent="0.25">
      <c r="B16" s="26" t="s">
        <v>3230</v>
      </c>
      <c r="C16" s="40"/>
    </row>
    <row r="17" spans="2:3" x14ac:dyDescent="0.25">
      <c r="B17" s="26" t="s">
        <v>3231</v>
      </c>
      <c r="C17" s="40"/>
    </row>
    <row r="18" spans="2:3" x14ac:dyDescent="0.25">
      <c r="B18" s="26" t="s">
        <v>3232</v>
      </c>
      <c r="C18" s="40"/>
    </row>
    <row r="19" spans="2:3" ht="15.75" thickBot="1" x14ac:dyDescent="0.3">
      <c r="B19" s="28" t="s">
        <v>3233</v>
      </c>
      <c r="C19" s="41"/>
    </row>
    <row r="58" spans="13:13" x14ac:dyDescent="0.25">
      <c r="M58" s="97"/>
    </row>
    <row r="209" spans="13:13" x14ac:dyDescent="0.25">
      <c r="M209" s="97"/>
    </row>
    <row r="241" spans="13:13" x14ac:dyDescent="0.25">
      <c r="M241" s="97"/>
    </row>
    <row r="326" spans="13:13" x14ac:dyDescent="0.25">
      <c r="M326" s="97"/>
    </row>
    <row r="382" spans="13:13" x14ac:dyDescent="0.25">
      <c r="M382" s="97"/>
    </row>
    <row r="829" spans="13:13" x14ac:dyDescent="0.25">
      <c r="M829" s="97"/>
    </row>
    <row r="902" spans="13:13" x14ac:dyDescent="0.25">
      <c r="M902" s="97"/>
    </row>
    <row r="929" spans="13:13" x14ac:dyDescent="0.25">
      <c r="M929" s="97"/>
    </row>
    <row r="942" spans="13:13" x14ac:dyDescent="0.25">
      <c r="M942" s="97"/>
    </row>
    <row r="1115" spans="13:13" x14ac:dyDescent="0.25">
      <c r="M1115" s="97"/>
    </row>
    <row r="1249" spans="13:13" x14ac:dyDescent="0.25">
      <c r="M1249" s="97"/>
    </row>
    <row r="1266" spans="13:13" x14ac:dyDescent="0.25">
      <c r="M1266" s="97"/>
    </row>
    <row r="2134" spans="13:13" x14ac:dyDescent="0.25">
      <c r="M2134" s="97"/>
    </row>
    <row r="2188" spans="13:13" x14ac:dyDescent="0.25">
      <c r="M2188" s="97"/>
    </row>
    <row r="2292" spans="13:13" x14ac:dyDescent="0.25">
      <c r="M2292" s="97"/>
    </row>
    <row r="4051" spans="13:13" x14ac:dyDescent="0.25">
      <c r="M4051" s="97"/>
    </row>
    <row r="4060" spans="13:13" x14ac:dyDescent="0.25">
      <c r="M4060" s="9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32"/>
  <sheetViews>
    <sheetView workbookViewId="0">
      <selection sqref="A1:F1048576"/>
    </sheetView>
  </sheetViews>
  <sheetFormatPr defaultRowHeight="15" x14ac:dyDescent="0.25"/>
  <cols>
    <col min="1" max="1" width="25" style="221" bestFit="1" customWidth="1"/>
    <col min="2" max="2" width="10.7109375" style="221" bestFit="1" customWidth="1"/>
    <col min="3" max="3" width="28.5703125" style="221" bestFit="1" customWidth="1"/>
    <col min="4" max="4" width="11.28515625" style="221" bestFit="1" customWidth="1"/>
    <col min="5" max="5" width="24.7109375" style="221" bestFit="1" customWidth="1"/>
    <col min="6" max="6" width="10.7109375" style="221" bestFit="1" customWidth="1"/>
    <col min="7" max="7" width="15.7109375" style="114" bestFit="1" customWidth="1"/>
    <col min="8" max="8" width="11.28515625" style="114" customWidth="1"/>
    <col min="9" max="9" width="10.5703125" style="114" bestFit="1" customWidth="1"/>
    <col min="10" max="10" width="12.28515625" style="114" customWidth="1"/>
    <col min="11" max="11" width="20.85546875" style="114" bestFit="1" customWidth="1"/>
    <col min="12" max="12" width="7.5703125" style="114" bestFit="1" customWidth="1"/>
    <col min="15" max="15" width="20.85546875" bestFit="1" customWidth="1"/>
    <col min="16" max="16" width="38.140625" bestFit="1" customWidth="1"/>
  </cols>
  <sheetData>
    <row r="1" spans="1:16" x14ac:dyDescent="0.25">
      <c r="A1" s="225" t="s">
        <v>4320</v>
      </c>
      <c r="B1" s="271" t="s">
        <v>4321</v>
      </c>
      <c r="C1" s="225" t="s">
        <v>4322</v>
      </c>
      <c r="D1" s="269" t="s">
        <v>4323</v>
      </c>
      <c r="E1" s="225" t="s">
        <v>4520</v>
      </c>
      <c r="F1" s="225" t="s">
        <v>4521</v>
      </c>
      <c r="H1" s="111"/>
      <c r="J1" s="112"/>
      <c r="L1" s="112"/>
    </row>
    <row r="2" spans="1:16" x14ac:dyDescent="0.25">
      <c r="B2" s="261"/>
      <c r="F2" s="261"/>
      <c r="H2" s="111"/>
    </row>
    <row r="3" spans="1:16" x14ac:dyDescent="0.25">
      <c r="B3" s="261"/>
      <c r="F3" s="261"/>
    </row>
    <row r="4" spans="1:16" x14ac:dyDescent="0.25">
      <c r="B4" s="261"/>
      <c r="F4" s="261"/>
    </row>
    <row r="5" spans="1:16" x14ac:dyDescent="0.25">
      <c r="B5" s="260"/>
      <c r="F5" s="260"/>
    </row>
    <row r="6" spans="1:16" x14ac:dyDescent="0.25">
      <c r="B6" s="260"/>
      <c r="F6" s="260"/>
    </row>
    <row r="7" spans="1:16" x14ac:dyDescent="0.25">
      <c r="B7" s="260"/>
      <c r="F7" s="260"/>
      <c r="O7" s="139"/>
      <c r="P7" s="139"/>
    </row>
    <row r="8" spans="1:16" x14ac:dyDescent="0.25">
      <c r="B8" s="260"/>
      <c r="F8" s="260"/>
      <c r="O8" s="139"/>
      <c r="P8" s="139"/>
    </row>
    <row r="9" spans="1:16" x14ac:dyDescent="0.25">
      <c r="B9" s="260"/>
      <c r="F9" s="260"/>
      <c r="O9" s="139"/>
      <c r="P9" s="139"/>
    </row>
    <row r="10" spans="1:16" x14ac:dyDescent="0.25">
      <c r="B10" s="260"/>
      <c r="F10" s="260"/>
      <c r="O10" s="139"/>
      <c r="P10" s="139"/>
    </row>
    <row r="11" spans="1:16" x14ac:dyDescent="0.25">
      <c r="B11" s="260"/>
      <c r="F11" s="260"/>
      <c r="O11" s="139"/>
      <c r="P11" s="139"/>
    </row>
    <row r="12" spans="1:16" x14ac:dyDescent="0.25">
      <c r="B12" s="260"/>
      <c r="F12" s="260"/>
      <c r="O12" s="139"/>
      <c r="P12" s="139"/>
    </row>
    <row r="13" spans="1:16" x14ac:dyDescent="0.25">
      <c r="B13" s="260"/>
      <c r="F13" s="260"/>
      <c r="O13" s="139"/>
      <c r="P13" s="139"/>
    </row>
    <row r="14" spans="1:16" x14ac:dyDescent="0.25">
      <c r="B14" s="260"/>
      <c r="F14" s="260"/>
      <c r="O14" s="139"/>
      <c r="P14" s="139"/>
    </row>
    <row r="15" spans="1:16" x14ac:dyDescent="0.25">
      <c r="B15" s="260"/>
      <c r="F15" s="260"/>
      <c r="O15" s="139"/>
      <c r="P15" s="139"/>
    </row>
    <row r="16" spans="1:16" x14ac:dyDescent="0.25">
      <c r="B16" s="260"/>
      <c r="F16" s="260"/>
      <c r="O16" s="139"/>
      <c r="P16" s="139"/>
    </row>
    <row r="17" spans="2:16" x14ac:dyDescent="0.25">
      <c r="B17" s="260"/>
      <c r="F17" s="260"/>
      <c r="O17" s="139"/>
      <c r="P17" s="139"/>
    </row>
    <row r="18" spans="2:16" x14ac:dyDescent="0.25">
      <c r="B18" s="260"/>
      <c r="F18" s="260"/>
      <c r="O18" s="139"/>
      <c r="P18" s="139"/>
    </row>
    <row r="19" spans="2:16" x14ac:dyDescent="0.25">
      <c r="B19" s="260"/>
      <c r="F19" s="260"/>
      <c r="O19" s="139"/>
      <c r="P19" s="139"/>
    </row>
    <row r="20" spans="2:16" x14ac:dyDescent="0.25">
      <c r="F20" s="260"/>
      <c r="O20" s="139"/>
      <c r="P20" s="139"/>
    </row>
    <row r="21" spans="2:16" x14ac:dyDescent="0.25">
      <c r="F21" s="260"/>
      <c r="O21" s="139"/>
      <c r="P21" s="139"/>
    </row>
    <row r="22" spans="2:16" x14ac:dyDescent="0.25">
      <c r="F22" s="260"/>
      <c r="O22" s="139"/>
      <c r="P22" s="139"/>
    </row>
    <row r="23" spans="2:16" x14ac:dyDescent="0.25">
      <c r="F23" s="260"/>
      <c r="O23" s="139"/>
      <c r="P23" s="139"/>
    </row>
    <row r="24" spans="2:16" x14ac:dyDescent="0.25">
      <c r="F24" s="260"/>
      <c r="O24" s="139"/>
      <c r="P24" s="139"/>
    </row>
    <row r="25" spans="2:16" x14ac:dyDescent="0.25">
      <c r="F25" s="260"/>
      <c r="O25" s="139"/>
      <c r="P25" s="139"/>
    </row>
    <row r="26" spans="2:16" x14ac:dyDescent="0.25">
      <c r="F26" s="260"/>
    </row>
    <row r="27" spans="2:16" x14ac:dyDescent="0.25">
      <c r="F27" s="260"/>
    </row>
    <row r="28" spans="2:16" x14ac:dyDescent="0.25">
      <c r="F28" s="260"/>
    </row>
    <row r="29" spans="2:16" x14ac:dyDescent="0.25">
      <c r="F29" s="260"/>
    </row>
    <row r="30" spans="2:16" x14ac:dyDescent="0.25">
      <c r="F30" s="260"/>
    </row>
    <row r="31" spans="2:16" x14ac:dyDescent="0.25">
      <c r="F31" s="260"/>
    </row>
    <row r="32" spans="2:16" x14ac:dyDescent="0.25">
      <c r="F32" s="260"/>
    </row>
  </sheetData>
  <dataValidations count="1">
    <dataValidation type="list" allowBlank="1" showInputMessage="1" showErrorMessage="1" sqref="J2:J1048576">
      <formula1>"Y,N"</formula1>
    </dataValidation>
  </dataValidations>
  <pageMargins left="0.7" right="0.7" top="0.75" bottom="0.75" header="0.3" footer="0.3"/>
  <drawing r:id="rId1"/>
  <legacyDrawing r:id="rId2"/>
  <controls>
    <mc:AlternateContent xmlns:mc="http://schemas.openxmlformats.org/markup-compatibility/2006">
      <mc:Choice Requires="x14">
        <control shapeId="21505" r:id="rId3" name="CommandButton1">
          <controlPr defaultSize="0" autoLine="0" r:id="rId4">
            <anchor moveWithCells="1">
              <from>
                <xdr:col>7</xdr:col>
                <xdr:colOff>0</xdr:colOff>
                <xdr:row>7</xdr:row>
                <xdr:rowOff>180975</xdr:rowOff>
              </from>
              <to>
                <xdr:col>9</xdr:col>
                <xdr:colOff>266700</xdr:colOff>
                <xdr:row>10</xdr:row>
                <xdr:rowOff>142875</xdr:rowOff>
              </to>
            </anchor>
          </controlPr>
        </control>
      </mc:Choice>
      <mc:Fallback>
        <control shapeId="21505" r:id="rId3" name="CommandButton1"/>
      </mc:Fallback>
    </mc:AlternateContent>
    <mc:AlternateContent xmlns:mc="http://schemas.openxmlformats.org/markup-compatibility/2006">
      <mc:Choice Requires="x14">
        <control shapeId="21506" r:id="rId5" name="CommandButton2">
          <controlPr defaultSize="0" autoLine="0" r:id="rId6">
            <anchor moveWithCells="1">
              <from>
                <xdr:col>6</xdr:col>
                <xdr:colOff>1038225</xdr:colOff>
                <xdr:row>1</xdr:row>
                <xdr:rowOff>180975</xdr:rowOff>
              </from>
              <to>
                <xdr:col>9</xdr:col>
                <xdr:colOff>561975</xdr:colOff>
                <xdr:row>4</xdr:row>
                <xdr:rowOff>95250</xdr:rowOff>
              </to>
            </anchor>
          </controlPr>
        </control>
      </mc:Choice>
      <mc:Fallback>
        <control shapeId="21506" r:id="rId5" name="CommandButton2"/>
      </mc:Fallback>
    </mc:AlternateContent>
    <mc:AlternateContent xmlns:mc="http://schemas.openxmlformats.org/markup-compatibility/2006">
      <mc:Choice Requires="x14">
        <control shapeId="21507" r:id="rId7" name="CommandButton3">
          <controlPr defaultSize="0" autoLine="0" r:id="rId8">
            <anchor moveWithCells="1">
              <from>
                <xdr:col>6</xdr:col>
                <xdr:colOff>1038225</xdr:colOff>
                <xdr:row>4</xdr:row>
                <xdr:rowOff>180975</xdr:rowOff>
              </from>
              <to>
                <xdr:col>9</xdr:col>
                <xdr:colOff>561975</xdr:colOff>
                <xdr:row>7</xdr:row>
                <xdr:rowOff>95250</xdr:rowOff>
              </to>
            </anchor>
          </controlPr>
        </control>
      </mc:Choice>
      <mc:Fallback>
        <control shapeId="21507" r:id="rId7" name="CommandButton3"/>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380"/>
  <sheetViews>
    <sheetView zoomScaleNormal="100" workbookViewId="0">
      <selection sqref="A1:F1048576"/>
    </sheetView>
  </sheetViews>
  <sheetFormatPr defaultRowHeight="15" x14ac:dyDescent="0.25"/>
  <cols>
    <col min="1" max="1" width="25" style="231" bestFit="1" customWidth="1"/>
    <col min="2" max="2" width="11.85546875" style="221" bestFit="1" customWidth="1"/>
    <col min="3" max="3" width="21" style="221" bestFit="1" customWidth="1"/>
    <col min="4" max="4" width="11.28515625" style="221" bestFit="1" customWidth="1"/>
    <col min="5" max="5" width="24.140625" style="221" bestFit="1" customWidth="1"/>
    <col min="6" max="6" width="11.7109375" style="221" bestFit="1" customWidth="1"/>
  </cols>
  <sheetData>
    <row r="1" spans="1:25" s="131" customFormat="1" x14ac:dyDescent="0.25">
      <c r="A1" s="268" t="s">
        <v>4320</v>
      </c>
      <c r="B1" s="225" t="s">
        <v>4321</v>
      </c>
      <c r="C1" s="225" t="s">
        <v>4322</v>
      </c>
      <c r="D1" s="269" t="s">
        <v>4323</v>
      </c>
      <c r="E1" s="225" t="s">
        <v>4520</v>
      </c>
      <c r="F1" s="269" t="s">
        <v>4521</v>
      </c>
    </row>
    <row r="2" spans="1:25" x14ac:dyDescent="0.25">
      <c r="B2" s="261"/>
      <c r="D2" s="229"/>
      <c r="F2" s="261"/>
      <c r="G2" s="114"/>
      <c r="H2" s="114"/>
      <c r="I2" s="114"/>
      <c r="J2" s="114"/>
      <c r="K2" s="114"/>
      <c r="L2" s="114"/>
    </row>
    <row r="3" spans="1:25" x14ac:dyDescent="0.25">
      <c r="B3" s="261"/>
      <c r="D3" s="229"/>
      <c r="F3" s="261"/>
      <c r="G3" s="114"/>
      <c r="H3" s="114"/>
      <c r="I3" s="114"/>
      <c r="J3" s="114"/>
      <c r="K3" s="114"/>
      <c r="L3" s="114"/>
    </row>
    <row r="4" spans="1:25" x14ac:dyDescent="0.25">
      <c r="B4" s="261"/>
      <c r="D4" s="229"/>
      <c r="F4" s="261"/>
      <c r="G4" s="114"/>
      <c r="H4" s="114"/>
      <c r="I4" s="114"/>
      <c r="J4" s="114"/>
      <c r="K4" s="114"/>
      <c r="L4" s="114"/>
    </row>
    <row r="5" spans="1:25" x14ac:dyDescent="0.25">
      <c r="B5" s="228"/>
      <c r="D5" s="229"/>
      <c r="F5" s="228"/>
      <c r="G5" s="114"/>
      <c r="H5" s="114"/>
      <c r="I5" s="114"/>
      <c r="J5" s="114"/>
      <c r="K5" s="114"/>
      <c r="L5" s="114"/>
    </row>
    <row r="6" spans="1:25" x14ac:dyDescent="0.25">
      <c r="B6" s="228"/>
      <c r="D6" s="229"/>
      <c r="F6" s="228"/>
      <c r="G6" s="114"/>
      <c r="H6" s="114"/>
      <c r="I6" s="114"/>
      <c r="J6" s="131"/>
      <c r="K6" s="114"/>
      <c r="L6" s="114"/>
    </row>
    <row r="7" spans="1:25" x14ac:dyDescent="0.25">
      <c r="B7" s="228"/>
      <c r="D7" s="229"/>
      <c r="F7" s="228"/>
      <c r="G7" s="114"/>
      <c r="H7" s="114"/>
      <c r="I7" s="114"/>
      <c r="J7" s="131"/>
      <c r="K7" s="114"/>
      <c r="L7" s="114"/>
    </row>
    <row r="8" spans="1:25" x14ac:dyDescent="0.25">
      <c r="B8" s="228"/>
      <c r="D8" s="229"/>
      <c r="F8" s="228"/>
      <c r="G8" s="114"/>
      <c r="H8" s="114"/>
      <c r="I8" s="114"/>
      <c r="J8" s="131"/>
      <c r="K8" s="114"/>
      <c r="L8" s="114"/>
    </row>
    <row r="9" spans="1:25" x14ac:dyDescent="0.25">
      <c r="B9" s="228"/>
      <c r="D9" s="229"/>
      <c r="F9" s="228"/>
      <c r="G9" s="114"/>
      <c r="H9" s="114"/>
      <c r="I9" s="114"/>
      <c r="J9" s="131"/>
      <c r="K9" s="117"/>
      <c r="L9" s="114"/>
    </row>
    <row r="10" spans="1:25" x14ac:dyDescent="0.25">
      <c r="B10" s="228"/>
      <c r="D10" s="229"/>
      <c r="F10" s="228"/>
      <c r="G10" s="114"/>
      <c r="H10" s="114"/>
      <c r="I10" s="114"/>
      <c r="J10" s="131"/>
      <c r="K10" s="117"/>
      <c r="L10" s="114"/>
    </row>
    <row r="11" spans="1:25" x14ac:dyDescent="0.25">
      <c r="B11" s="228"/>
      <c r="D11" s="229"/>
      <c r="F11" s="228"/>
      <c r="G11" s="114"/>
      <c r="H11" s="114"/>
      <c r="I11" s="114"/>
      <c r="J11" s="131"/>
      <c r="K11" s="117"/>
      <c r="L11" s="114"/>
    </row>
    <row r="12" spans="1:25" x14ac:dyDescent="0.25">
      <c r="B12" s="228"/>
      <c r="D12" s="229"/>
      <c r="F12" s="228"/>
      <c r="J12" s="131"/>
    </row>
    <row r="13" spans="1:25" x14ac:dyDescent="0.25">
      <c r="B13" s="228"/>
      <c r="D13" s="229"/>
      <c r="F13" s="228"/>
      <c r="J13" s="131"/>
    </row>
    <row r="14" spans="1:25" x14ac:dyDescent="0.25">
      <c r="B14" s="228"/>
      <c r="D14" s="229"/>
      <c r="F14" s="228"/>
    </row>
    <row r="15" spans="1:25" x14ac:dyDescent="0.25">
      <c r="B15" s="228"/>
      <c r="D15" s="229"/>
      <c r="F15" s="270"/>
    </row>
    <row r="16" spans="1:25" x14ac:dyDescent="0.25">
      <c r="B16" s="228"/>
      <c r="D16" s="229"/>
      <c r="F16" s="228"/>
      <c r="S16" s="139"/>
      <c r="T16" s="139"/>
      <c r="U16" s="139"/>
      <c r="V16" s="139"/>
      <c r="W16" s="139"/>
      <c r="X16" s="139"/>
      <c r="Y16" s="139"/>
    </row>
    <row r="17" spans="2:25" x14ac:dyDescent="0.25">
      <c r="B17" s="228"/>
      <c r="D17" s="229"/>
      <c r="F17" s="228"/>
      <c r="S17" s="139"/>
      <c r="T17" s="139"/>
      <c r="U17" s="139"/>
      <c r="V17" s="139"/>
      <c r="W17" s="139"/>
      <c r="X17" s="139"/>
      <c r="Y17" s="139"/>
    </row>
    <row r="18" spans="2:25" x14ac:dyDescent="0.25">
      <c r="B18" s="228"/>
      <c r="D18" s="229"/>
      <c r="F18" s="228"/>
      <c r="S18" s="139"/>
      <c r="T18" s="139"/>
      <c r="U18" s="139"/>
      <c r="V18" s="139"/>
      <c r="W18" s="139"/>
      <c r="X18" s="139"/>
      <c r="Y18" s="139"/>
    </row>
    <row r="19" spans="2:25" x14ac:dyDescent="0.25">
      <c r="B19" s="228"/>
      <c r="D19" s="229"/>
      <c r="F19" s="228"/>
      <c r="S19" s="139"/>
      <c r="T19" s="139"/>
      <c r="U19" s="139"/>
      <c r="V19" s="139"/>
      <c r="W19" s="139"/>
      <c r="X19" s="139"/>
      <c r="Y19" s="139"/>
    </row>
    <row r="20" spans="2:25" x14ac:dyDescent="0.25">
      <c r="B20" s="228"/>
      <c r="D20" s="229"/>
      <c r="F20" s="228"/>
      <c r="S20" s="139"/>
      <c r="T20" s="139"/>
      <c r="U20" s="139"/>
      <c r="V20" s="139"/>
      <c r="W20" s="139"/>
      <c r="X20" s="139"/>
      <c r="Y20" s="139"/>
    </row>
    <row r="21" spans="2:25" x14ac:dyDescent="0.25">
      <c r="B21" s="228"/>
      <c r="D21" s="229"/>
      <c r="F21" s="228"/>
      <c r="S21" s="139"/>
      <c r="T21" s="139"/>
      <c r="U21" s="139"/>
      <c r="V21" s="139"/>
      <c r="W21" s="139"/>
      <c r="X21" s="139"/>
      <c r="Y21" s="139"/>
    </row>
    <row r="22" spans="2:25" x14ac:dyDescent="0.25">
      <c r="B22" s="228"/>
      <c r="D22" s="229"/>
      <c r="F22" s="228"/>
      <c r="S22" s="139"/>
      <c r="T22" s="139"/>
      <c r="U22" s="139"/>
      <c r="V22" s="139"/>
      <c r="W22" s="139"/>
      <c r="X22" s="139"/>
      <c r="Y22" s="139"/>
    </row>
    <row r="23" spans="2:25" x14ac:dyDescent="0.25">
      <c r="B23" s="228"/>
      <c r="D23" s="229"/>
      <c r="F23" s="228"/>
      <c r="S23" s="139"/>
      <c r="T23" s="139"/>
      <c r="U23" s="139"/>
      <c r="V23" s="139"/>
      <c r="W23" s="139"/>
      <c r="X23" s="139"/>
      <c r="Y23" s="139"/>
    </row>
    <row r="24" spans="2:25" x14ac:dyDescent="0.25">
      <c r="B24" s="228"/>
      <c r="D24" s="229"/>
      <c r="F24" s="228"/>
      <c r="S24" s="139"/>
      <c r="T24" s="139"/>
      <c r="U24" s="139"/>
      <c r="V24" s="139"/>
      <c r="W24" s="139"/>
      <c r="X24" s="139"/>
      <c r="Y24" s="139"/>
    </row>
    <row r="25" spans="2:25" x14ac:dyDescent="0.25">
      <c r="B25" s="228"/>
      <c r="D25" s="229"/>
      <c r="F25" s="228"/>
      <c r="S25" s="139"/>
      <c r="T25" s="139"/>
      <c r="U25" s="139"/>
      <c r="V25" s="139"/>
      <c r="W25" s="139"/>
      <c r="X25" s="139"/>
      <c r="Y25" s="139"/>
    </row>
    <row r="26" spans="2:25" x14ac:dyDescent="0.25">
      <c r="B26" s="228"/>
      <c r="D26" s="229"/>
      <c r="F26" s="228"/>
      <c r="S26" s="139"/>
      <c r="T26" s="139"/>
      <c r="U26" s="139"/>
      <c r="V26" s="139"/>
      <c r="W26" s="139"/>
      <c r="X26" s="139"/>
      <c r="Y26" s="139"/>
    </row>
    <row r="27" spans="2:25" x14ac:dyDescent="0.25">
      <c r="B27" s="228"/>
      <c r="D27" s="229"/>
      <c r="F27" s="228"/>
      <c r="S27" s="139"/>
      <c r="T27" s="139"/>
      <c r="U27" s="139"/>
      <c r="V27" s="139"/>
      <c r="W27" s="139"/>
      <c r="X27" s="139"/>
      <c r="Y27" s="139"/>
    </row>
    <row r="28" spans="2:25" x14ac:dyDescent="0.25">
      <c r="B28" s="228"/>
      <c r="D28" s="229"/>
      <c r="F28" s="228"/>
      <c r="S28" s="139"/>
      <c r="T28" s="139"/>
      <c r="U28" s="139"/>
      <c r="V28" s="139"/>
      <c r="W28" s="139"/>
      <c r="X28" s="139"/>
      <c r="Y28" s="139"/>
    </row>
    <row r="29" spans="2:25" x14ac:dyDescent="0.25">
      <c r="B29" s="228"/>
      <c r="D29" s="229"/>
      <c r="F29" s="228"/>
      <c r="S29" s="139"/>
      <c r="T29" s="139"/>
      <c r="U29" s="139"/>
      <c r="V29" s="139"/>
      <c r="W29" s="139"/>
      <c r="X29" s="139"/>
      <c r="Y29" s="139"/>
    </row>
    <row r="30" spans="2:25" x14ac:dyDescent="0.25">
      <c r="B30" s="228"/>
      <c r="D30" s="229"/>
      <c r="F30" s="228"/>
    </row>
    <row r="31" spans="2:25" x14ac:dyDescent="0.25">
      <c r="B31" s="228"/>
      <c r="D31" s="229"/>
      <c r="F31" s="228"/>
    </row>
    <row r="32" spans="2:25" x14ac:dyDescent="0.25">
      <c r="B32" s="228"/>
      <c r="D32" s="229"/>
      <c r="F32" s="228"/>
    </row>
    <row r="33" spans="2:6" x14ac:dyDescent="0.25">
      <c r="B33" s="228"/>
      <c r="D33" s="229"/>
      <c r="F33" s="228"/>
    </row>
    <row r="34" spans="2:6" x14ac:dyDescent="0.25">
      <c r="B34" s="228"/>
      <c r="D34" s="229"/>
      <c r="F34" s="228"/>
    </row>
    <row r="35" spans="2:6" x14ac:dyDescent="0.25">
      <c r="B35" s="228"/>
      <c r="D35" s="229"/>
      <c r="F35" s="228"/>
    </row>
    <row r="36" spans="2:6" x14ac:dyDescent="0.25">
      <c r="B36" s="228"/>
      <c r="D36" s="229"/>
      <c r="F36" s="228"/>
    </row>
    <row r="37" spans="2:6" x14ac:dyDescent="0.25">
      <c r="B37" s="228"/>
      <c r="D37" s="229"/>
      <c r="F37" s="228"/>
    </row>
    <row r="38" spans="2:6" x14ac:dyDescent="0.25">
      <c r="B38" s="228"/>
      <c r="D38" s="229"/>
      <c r="F38" s="228"/>
    </row>
    <row r="39" spans="2:6" x14ac:dyDescent="0.25">
      <c r="B39" s="228"/>
      <c r="D39" s="229"/>
      <c r="F39" s="228"/>
    </row>
    <row r="40" spans="2:6" x14ac:dyDescent="0.25">
      <c r="B40" s="228"/>
      <c r="D40" s="229"/>
      <c r="F40" s="228"/>
    </row>
    <row r="41" spans="2:6" x14ac:dyDescent="0.25">
      <c r="B41" s="228"/>
      <c r="D41" s="229"/>
      <c r="F41" s="228"/>
    </row>
    <row r="42" spans="2:6" x14ac:dyDescent="0.25">
      <c r="B42" s="228"/>
      <c r="D42" s="229"/>
      <c r="F42" s="228"/>
    </row>
    <row r="43" spans="2:6" x14ac:dyDescent="0.25">
      <c r="B43" s="228"/>
      <c r="D43" s="229"/>
      <c r="F43" s="228"/>
    </row>
    <row r="44" spans="2:6" x14ac:dyDescent="0.25">
      <c r="B44" s="228"/>
      <c r="D44" s="229"/>
      <c r="F44" s="228"/>
    </row>
    <row r="45" spans="2:6" x14ac:dyDescent="0.25">
      <c r="B45" s="228"/>
      <c r="D45" s="229"/>
      <c r="F45" s="228"/>
    </row>
    <row r="46" spans="2:6" x14ac:dyDescent="0.25">
      <c r="B46" s="228"/>
      <c r="D46" s="229"/>
      <c r="F46" s="228"/>
    </row>
    <row r="47" spans="2:6" x14ac:dyDescent="0.25">
      <c r="B47" s="228"/>
      <c r="D47" s="229"/>
      <c r="F47" s="228"/>
    </row>
    <row r="48" spans="2:6" x14ac:dyDescent="0.25">
      <c r="B48" s="228"/>
      <c r="D48" s="229"/>
      <c r="F48" s="228"/>
    </row>
    <row r="49" spans="2:6" x14ac:dyDescent="0.25">
      <c r="B49" s="228"/>
      <c r="D49" s="229"/>
      <c r="F49" s="228"/>
    </row>
    <row r="50" spans="2:6" x14ac:dyDescent="0.25">
      <c r="B50" s="228"/>
      <c r="D50" s="229"/>
      <c r="F50" s="228"/>
    </row>
    <row r="51" spans="2:6" x14ac:dyDescent="0.25">
      <c r="B51" s="228"/>
      <c r="D51" s="229"/>
      <c r="F51" s="228"/>
    </row>
    <row r="52" spans="2:6" x14ac:dyDescent="0.25">
      <c r="B52" s="228"/>
      <c r="D52" s="229"/>
      <c r="F52" s="228"/>
    </row>
    <row r="53" spans="2:6" x14ac:dyDescent="0.25">
      <c r="B53" s="228"/>
      <c r="D53" s="229"/>
      <c r="F53" s="228"/>
    </row>
    <row r="54" spans="2:6" x14ac:dyDescent="0.25">
      <c r="B54" s="228"/>
      <c r="D54" s="229"/>
      <c r="F54" s="228"/>
    </row>
    <row r="55" spans="2:6" x14ac:dyDescent="0.25">
      <c r="B55" s="228"/>
      <c r="D55" s="229"/>
      <c r="F55" s="228"/>
    </row>
    <row r="56" spans="2:6" x14ac:dyDescent="0.25">
      <c r="B56" s="228"/>
      <c r="D56" s="229"/>
      <c r="F56" s="228"/>
    </row>
    <row r="57" spans="2:6" x14ac:dyDescent="0.25">
      <c r="B57" s="228"/>
      <c r="D57" s="229"/>
      <c r="F57" s="228"/>
    </row>
    <row r="58" spans="2:6" x14ac:dyDescent="0.25">
      <c r="B58" s="228"/>
      <c r="D58" s="229"/>
      <c r="F58" s="228"/>
    </row>
    <row r="59" spans="2:6" x14ac:dyDescent="0.25">
      <c r="B59" s="228"/>
      <c r="D59" s="229"/>
      <c r="F59" s="228"/>
    </row>
    <row r="60" spans="2:6" x14ac:dyDescent="0.25">
      <c r="B60" s="228"/>
      <c r="D60" s="229"/>
      <c r="F60" s="228"/>
    </row>
    <row r="61" spans="2:6" x14ac:dyDescent="0.25">
      <c r="B61" s="228"/>
      <c r="D61" s="229"/>
      <c r="F61" s="228"/>
    </row>
    <row r="62" spans="2:6" x14ac:dyDescent="0.25">
      <c r="B62" s="228"/>
      <c r="D62" s="229"/>
      <c r="F62" s="228"/>
    </row>
    <row r="63" spans="2:6" x14ac:dyDescent="0.25">
      <c r="B63" s="228"/>
      <c r="D63" s="229"/>
      <c r="F63" s="228"/>
    </row>
    <row r="64" spans="2:6" x14ac:dyDescent="0.25">
      <c r="B64" s="228"/>
      <c r="D64" s="229"/>
      <c r="F64" s="228"/>
    </row>
    <row r="65" spans="2:6" x14ac:dyDescent="0.25">
      <c r="B65" s="228"/>
      <c r="D65" s="229"/>
      <c r="F65" s="228"/>
    </row>
    <row r="66" spans="2:6" x14ac:dyDescent="0.25">
      <c r="B66" s="228"/>
      <c r="D66" s="229"/>
      <c r="F66" s="228"/>
    </row>
    <row r="67" spans="2:6" x14ac:dyDescent="0.25">
      <c r="B67" s="228"/>
      <c r="D67" s="229"/>
      <c r="F67" s="228"/>
    </row>
    <row r="68" spans="2:6" x14ac:dyDescent="0.25">
      <c r="B68" s="228"/>
      <c r="D68" s="229"/>
      <c r="F68" s="228"/>
    </row>
    <row r="69" spans="2:6" x14ac:dyDescent="0.25">
      <c r="B69" s="228"/>
      <c r="D69" s="229"/>
      <c r="F69" s="228"/>
    </row>
    <row r="70" spans="2:6" x14ac:dyDescent="0.25">
      <c r="B70" s="228"/>
      <c r="D70" s="229"/>
      <c r="F70" s="228"/>
    </row>
    <row r="71" spans="2:6" x14ac:dyDescent="0.25">
      <c r="B71" s="228"/>
      <c r="D71" s="229"/>
      <c r="F71" s="228"/>
    </row>
    <row r="72" spans="2:6" x14ac:dyDescent="0.25">
      <c r="B72" s="228"/>
      <c r="D72" s="229"/>
      <c r="F72" s="228"/>
    </row>
    <row r="73" spans="2:6" x14ac:dyDescent="0.25">
      <c r="B73" s="228"/>
      <c r="D73" s="229"/>
      <c r="F73" s="228"/>
    </row>
    <row r="74" spans="2:6" x14ac:dyDescent="0.25">
      <c r="B74" s="228"/>
      <c r="D74" s="229"/>
      <c r="F74" s="228"/>
    </row>
    <row r="75" spans="2:6" x14ac:dyDescent="0.25">
      <c r="B75" s="228"/>
      <c r="D75" s="229"/>
      <c r="F75" s="228"/>
    </row>
    <row r="76" spans="2:6" x14ac:dyDescent="0.25">
      <c r="B76" s="228"/>
      <c r="D76" s="229"/>
      <c r="F76" s="228"/>
    </row>
    <row r="77" spans="2:6" x14ac:dyDescent="0.25">
      <c r="B77" s="228"/>
      <c r="D77" s="229"/>
      <c r="F77" s="228"/>
    </row>
    <row r="78" spans="2:6" x14ac:dyDescent="0.25">
      <c r="B78" s="228"/>
      <c r="D78" s="229"/>
      <c r="F78" s="228"/>
    </row>
    <row r="79" spans="2:6" x14ac:dyDescent="0.25">
      <c r="B79" s="228"/>
      <c r="D79" s="229"/>
      <c r="F79" s="228"/>
    </row>
    <row r="80" spans="2:6" x14ac:dyDescent="0.25">
      <c r="B80" s="228"/>
      <c r="D80" s="229"/>
      <c r="F80" s="228"/>
    </row>
    <row r="81" spans="2:6" x14ac:dyDescent="0.25">
      <c r="B81" s="228"/>
      <c r="D81" s="229"/>
      <c r="F81" s="228"/>
    </row>
    <row r="82" spans="2:6" x14ac:dyDescent="0.25">
      <c r="B82" s="228"/>
      <c r="D82" s="229"/>
      <c r="F82" s="228"/>
    </row>
    <row r="83" spans="2:6" x14ac:dyDescent="0.25">
      <c r="B83" s="228"/>
      <c r="D83" s="229"/>
      <c r="F83" s="228"/>
    </row>
    <row r="84" spans="2:6" x14ac:dyDescent="0.25">
      <c r="B84" s="228"/>
      <c r="D84" s="229"/>
      <c r="F84" s="228"/>
    </row>
    <row r="85" spans="2:6" x14ac:dyDescent="0.25">
      <c r="B85" s="228"/>
      <c r="D85" s="229"/>
      <c r="F85" s="228"/>
    </row>
    <row r="86" spans="2:6" x14ac:dyDescent="0.25">
      <c r="B86" s="228"/>
      <c r="D86" s="229"/>
      <c r="F86" s="228"/>
    </row>
    <row r="87" spans="2:6" x14ac:dyDescent="0.25">
      <c r="B87" s="228"/>
      <c r="D87" s="229"/>
      <c r="F87" s="228"/>
    </row>
    <row r="88" spans="2:6" x14ac:dyDescent="0.25">
      <c r="B88" s="228"/>
      <c r="D88" s="229"/>
      <c r="F88" s="228"/>
    </row>
    <row r="89" spans="2:6" x14ac:dyDescent="0.25">
      <c r="B89" s="228"/>
      <c r="D89" s="229"/>
      <c r="F89" s="228"/>
    </row>
    <row r="90" spans="2:6" x14ac:dyDescent="0.25">
      <c r="B90" s="228"/>
      <c r="D90" s="229"/>
      <c r="F90" s="228"/>
    </row>
    <row r="91" spans="2:6" x14ac:dyDescent="0.25">
      <c r="B91" s="228"/>
      <c r="D91" s="229"/>
      <c r="F91" s="228"/>
    </row>
    <row r="92" spans="2:6" x14ac:dyDescent="0.25">
      <c r="B92" s="228"/>
      <c r="D92" s="229"/>
      <c r="F92" s="228"/>
    </row>
    <row r="93" spans="2:6" x14ac:dyDescent="0.25">
      <c r="B93" s="228"/>
      <c r="D93" s="229"/>
      <c r="F93" s="228"/>
    </row>
    <row r="94" spans="2:6" x14ac:dyDescent="0.25">
      <c r="B94" s="228"/>
      <c r="D94" s="229"/>
      <c r="F94" s="228"/>
    </row>
    <row r="95" spans="2:6" x14ac:dyDescent="0.25">
      <c r="B95" s="228"/>
      <c r="D95" s="229"/>
      <c r="F95" s="228"/>
    </row>
    <row r="96" spans="2:6" x14ac:dyDescent="0.25">
      <c r="B96" s="228"/>
      <c r="D96" s="229"/>
      <c r="F96" s="228"/>
    </row>
    <row r="97" spans="2:6" x14ac:dyDescent="0.25">
      <c r="B97" s="228"/>
      <c r="D97" s="229"/>
      <c r="F97" s="228"/>
    </row>
    <row r="98" spans="2:6" x14ac:dyDescent="0.25">
      <c r="B98" s="228"/>
      <c r="D98" s="229"/>
      <c r="F98" s="228"/>
    </row>
    <row r="99" spans="2:6" x14ac:dyDescent="0.25">
      <c r="B99" s="228"/>
      <c r="D99" s="229"/>
      <c r="F99" s="228"/>
    </row>
    <row r="100" spans="2:6" x14ac:dyDescent="0.25">
      <c r="B100" s="228"/>
      <c r="D100" s="229"/>
      <c r="F100" s="228"/>
    </row>
    <row r="101" spans="2:6" x14ac:dyDescent="0.25">
      <c r="B101" s="228"/>
      <c r="D101" s="229"/>
      <c r="F101" s="228"/>
    </row>
    <row r="102" spans="2:6" x14ac:dyDescent="0.25">
      <c r="B102" s="228"/>
      <c r="D102" s="229"/>
      <c r="F102" s="228"/>
    </row>
    <row r="103" spans="2:6" x14ac:dyDescent="0.25">
      <c r="B103" s="228"/>
      <c r="D103" s="229"/>
      <c r="F103" s="228"/>
    </row>
    <row r="104" spans="2:6" x14ac:dyDescent="0.25">
      <c r="B104" s="228"/>
      <c r="D104" s="229"/>
      <c r="F104" s="228"/>
    </row>
    <row r="105" spans="2:6" x14ac:dyDescent="0.25">
      <c r="B105" s="228"/>
      <c r="D105" s="229"/>
      <c r="F105" s="228"/>
    </row>
    <row r="106" spans="2:6" x14ac:dyDescent="0.25">
      <c r="B106" s="228"/>
      <c r="D106" s="229"/>
      <c r="F106" s="228"/>
    </row>
    <row r="107" spans="2:6" x14ac:dyDescent="0.25">
      <c r="B107" s="228"/>
      <c r="D107" s="229"/>
      <c r="F107" s="228"/>
    </row>
    <row r="108" spans="2:6" x14ac:dyDescent="0.25">
      <c r="B108" s="228"/>
      <c r="D108" s="229"/>
      <c r="F108" s="228"/>
    </row>
    <row r="109" spans="2:6" x14ac:dyDescent="0.25">
      <c r="B109" s="228"/>
      <c r="D109" s="229"/>
      <c r="F109" s="228"/>
    </row>
    <row r="110" spans="2:6" x14ac:dyDescent="0.25">
      <c r="B110" s="228"/>
      <c r="D110" s="229"/>
      <c r="F110" s="228"/>
    </row>
    <row r="111" spans="2:6" x14ac:dyDescent="0.25">
      <c r="B111" s="228"/>
      <c r="D111" s="229"/>
      <c r="F111" s="228"/>
    </row>
    <row r="112" spans="2:6" x14ac:dyDescent="0.25">
      <c r="B112" s="228"/>
      <c r="D112" s="229"/>
      <c r="F112" s="228"/>
    </row>
    <row r="113" spans="2:6" x14ac:dyDescent="0.25">
      <c r="B113" s="228"/>
      <c r="D113" s="229"/>
      <c r="F113" s="228"/>
    </row>
    <row r="114" spans="2:6" x14ac:dyDescent="0.25">
      <c r="B114" s="228"/>
      <c r="D114" s="229"/>
      <c r="F114" s="228"/>
    </row>
    <row r="115" spans="2:6" x14ac:dyDescent="0.25">
      <c r="B115" s="228"/>
      <c r="D115" s="229"/>
      <c r="F115" s="228"/>
    </row>
    <row r="116" spans="2:6" x14ac:dyDescent="0.25">
      <c r="B116" s="228"/>
      <c r="D116" s="229"/>
      <c r="F116" s="228"/>
    </row>
    <row r="117" spans="2:6" x14ac:dyDescent="0.25">
      <c r="B117" s="228"/>
      <c r="D117" s="229"/>
      <c r="F117" s="228"/>
    </row>
    <row r="118" spans="2:6" x14ac:dyDescent="0.25">
      <c r="B118" s="228"/>
      <c r="D118" s="229"/>
      <c r="F118" s="228"/>
    </row>
    <row r="119" spans="2:6" x14ac:dyDescent="0.25">
      <c r="B119" s="228"/>
      <c r="D119" s="229"/>
      <c r="F119" s="228"/>
    </row>
    <row r="120" spans="2:6" x14ac:dyDescent="0.25">
      <c r="B120" s="228"/>
      <c r="D120" s="229"/>
      <c r="F120" s="228"/>
    </row>
    <row r="121" spans="2:6" x14ac:dyDescent="0.25">
      <c r="B121" s="228"/>
      <c r="D121" s="229"/>
      <c r="F121" s="228"/>
    </row>
    <row r="122" spans="2:6" x14ac:dyDescent="0.25">
      <c r="B122" s="228"/>
      <c r="D122" s="229"/>
      <c r="F122" s="228"/>
    </row>
    <row r="123" spans="2:6" x14ac:dyDescent="0.25">
      <c r="B123" s="228"/>
      <c r="D123" s="229"/>
      <c r="F123" s="228"/>
    </row>
    <row r="124" spans="2:6" x14ac:dyDescent="0.25">
      <c r="B124" s="228"/>
      <c r="D124" s="229"/>
      <c r="F124" s="228"/>
    </row>
    <row r="125" spans="2:6" x14ac:dyDescent="0.25">
      <c r="B125" s="228"/>
      <c r="D125" s="229"/>
      <c r="F125" s="228"/>
    </row>
    <row r="126" spans="2:6" x14ac:dyDescent="0.25">
      <c r="B126" s="228"/>
      <c r="D126" s="229"/>
      <c r="F126" s="228"/>
    </row>
    <row r="127" spans="2:6" x14ac:dyDescent="0.25">
      <c r="B127" s="228"/>
      <c r="D127" s="229"/>
      <c r="F127" s="228"/>
    </row>
    <row r="128" spans="2:6" x14ac:dyDescent="0.25">
      <c r="B128" s="228"/>
      <c r="D128" s="229"/>
      <c r="F128" s="228"/>
    </row>
    <row r="129" spans="2:6" x14ac:dyDescent="0.25">
      <c r="B129" s="228"/>
      <c r="D129" s="229"/>
      <c r="F129" s="228"/>
    </row>
    <row r="130" spans="2:6" x14ac:dyDescent="0.25">
      <c r="B130" s="228"/>
      <c r="D130" s="229"/>
      <c r="F130" s="228"/>
    </row>
    <row r="131" spans="2:6" x14ac:dyDescent="0.25">
      <c r="B131" s="228"/>
      <c r="D131" s="229"/>
      <c r="F131" s="228"/>
    </row>
    <row r="132" spans="2:6" x14ac:dyDescent="0.25">
      <c r="B132" s="228"/>
      <c r="D132" s="229"/>
      <c r="F132" s="228"/>
    </row>
    <row r="133" spans="2:6" x14ac:dyDescent="0.25">
      <c r="B133" s="228"/>
      <c r="D133" s="229"/>
      <c r="F133" s="228"/>
    </row>
    <row r="134" spans="2:6" x14ac:dyDescent="0.25">
      <c r="B134" s="228"/>
      <c r="D134" s="229"/>
      <c r="F134" s="228"/>
    </row>
    <row r="135" spans="2:6" x14ac:dyDescent="0.25">
      <c r="B135" s="228"/>
      <c r="D135" s="229"/>
      <c r="F135" s="228"/>
    </row>
    <row r="136" spans="2:6" x14ac:dyDescent="0.25">
      <c r="B136" s="228"/>
      <c r="D136" s="229"/>
      <c r="F136" s="228"/>
    </row>
    <row r="137" spans="2:6" x14ac:dyDescent="0.25">
      <c r="B137" s="228"/>
      <c r="D137" s="229"/>
      <c r="F137" s="228"/>
    </row>
    <row r="138" spans="2:6" x14ac:dyDescent="0.25">
      <c r="B138" s="228"/>
      <c r="D138" s="229"/>
      <c r="F138" s="228"/>
    </row>
    <row r="139" spans="2:6" x14ac:dyDescent="0.25">
      <c r="B139" s="228"/>
      <c r="D139" s="229"/>
      <c r="F139" s="228"/>
    </row>
    <row r="140" spans="2:6" x14ac:dyDescent="0.25">
      <c r="B140" s="228"/>
      <c r="D140" s="229"/>
      <c r="F140" s="228"/>
    </row>
    <row r="141" spans="2:6" x14ac:dyDescent="0.25">
      <c r="B141" s="228"/>
      <c r="D141" s="229"/>
      <c r="F141" s="228"/>
    </row>
    <row r="142" spans="2:6" x14ac:dyDescent="0.25">
      <c r="B142" s="228"/>
      <c r="D142" s="229"/>
      <c r="F142" s="228"/>
    </row>
    <row r="143" spans="2:6" x14ac:dyDescent="0.25">
      <c r="B143" s="228"/>
      <c r="D143" s="229"/>
      <c r="F143" s="228"/>
    </row>
    <row r="144" spans="2:6" x14ac:dyDescent="0.25">
      <c r="B144" s="228"/>
      <c r="D144" s="229"/>
      <c r="F144" s="228"/>
    </row>
    <row r="145" spans="2:6" x14ac:dyDescent="0.25">
      <c r="B145" s="228"/>
      <c r="D145" s="229"/>
      <c r="F145" s="228"/>
    </row>
    <row r="146" spans="2:6" x14ac:dyDescent="0.25">
      <c r="B146" s="228"/>
      <c r="D146" s="229"/>
      <c r="F146" s="228"/>
    </row>
    <row r="147" spans="2:6" x14ac:dyDescent="0.25">
      <c r="B147" s="228"/>
      <c r="D147" s="229"/>
      <c r="F147" s="228"/>
    </row>
    <row r="148" spans="2:6" x14ac:dyDescent="0.25">
      <c r="B148" s="228"/>
      <c r="D148" s="229"/>
      <c r="F148" s="228"/>
    </row>
    <row r="149" spans="2:6" x14ac:dyDescent="0.25">
      <c r="B149" s="228"/>
      <c r="D149" s="229"/>
      <c r="F149" s="228"/>
    </row>
    <row r="150" spans="2:6" x14ac:dyDescent="0.25">
      <c r="B150" s="228"/>
      <c r="D150" s="229"/>
      <c r="F150" s="228"/>
    </row>
    <row r="151" spans="2:6" x14ac:dyDescent="0.25">
      <c r="B151" s="228"/>
      <c r="D151" s="229"/>
      <c r="F151" s="228"/>
    </row>
    <row r="152" spans="2:6" x14ac:dyDescent="0.25">
      <c r="B152" s="228"/>
      <c r="D152" s="229"/>
      <c r="F152" s="228"/>
    </row>
    <row r="153" spans="2:6" x14ac:dyDescent="0.25">
      <c r="B153" s="228"/>
      <c r="D153" s="229"/>
      <c r="F153" s="228"/>
    </row>
    <row r="154" spans="2:6" x14ac:dyDescent="0.25">
      <c r="B154" s="228"/>
      <c r="D154" s="229"/>
      <c r="F154" s="228"/>
    </row>
    <row r="155" spans="2:6" x14ac:dyDescent="0.25">
      <c r="B155" s="228"/>
      <c r="D155" s="229"/>
      <c r="F155" s="228"/>
    </row>
    <row r="156" spans="2:6" x14ac:dyDescent="0.25">
      <c r="B156" s="228"/>
      <c r="D156" s="229"/>
      <c r="F156" s="228"/>
    </row>
    <row r="157" spans="2:6" x14ac:dyDescent="0.25">
      <c r="B157" s="228"/>
      <c r="D157" s="229"/>
      <c r="F157" s="228"/>
    </row>
    <row r="158" spans="2:6" x14ac:dyDescent="0.25">
      <c r="B158" s="228"/>
      <c r="D158" s="229"/>
      <c r="F158" s="228"/>
    </row>
    <row r="159" spans="2:6" x14ac:dyDescent="0.25">
      <c r="B159" s="228"/>
      <c r="D159" s="229"/>
      <c r="F159" s="228"/>
    </row>
    <row r="160" spans="2:6" x14ac:dyDescent="0.25">
      <c r="B160" s="228"/>
      <c r="D160" s="229"/>
      <c r="F160" s="228"/>
    </row>
    <row r="161" spans="2:6" x14ac:dyDescent="0.25">
      <c r="B161" s="228"/>
      <c r="D161" s="229"/>
      <c r="F161" s="228"/>
    </row>
    <row r="162" spans="2:6" x14ac:dyDescent="0.25">
      <c r="B162" s="228"/>
      <c r="D162" s="229"/>
      <c r="F162" s="228"/>
    </row>
    <row r="163" spans="2:6" x14ac:dyDescent="0.25">
      <c r="B163" s="228"/>
      <c r="D163" s="229"/>
      <c r="F163" s="228"/>
    </row>
    <row r="164" spans="2:6" x14ac:dyDescent="0.25">
      <c r="B164" s="228"/>
      <c r="D164" s="229"/>
      <c r="F164" s="228"/>
    </row>
    <row r="165" spans="2:6" x14ac:dyDescent="0.25">
      <c r="B165" s="228"/>
      <c r="D165" s="229"/>
      <c r="F165" s="228"/>
    </row>
    <row r="166" spans="2:6" x14ac:dyDescent="0.25">
      <c r="B166" s="228"/>
      <c r="D166" s="229"/>
      <c r="F166" s="228"/>
    </row>
    <row r="167" spans="2:6" x14ac:dyDescent="0.25">
      <c r="B167" s="228"/>
      <c r="D167" s="229"/>
      <c r="F167" s="228"/>
    </row>
    <row r="168" spans="2:6" x14ac:dyDescent="0.25">
      <c r="B168" s="228"/>
      <c r="D168" s="229"/>
      <c r="F168" s="228"/>
    </row>
    <row r="169" spans="2:6" x14ac:dyDescent="0.25">
      <c r="B169" s="228"/>
      <c r="D169" s="229"/>
      <c r="F169" s="228"/>
    </row>
    <row r="170" spans="2:6" x14ac:dyDescent="0.25">
      <c r="B170" s="228"/>
      <c r="D170" s="229"/>
      <c r="F170" s="228"/>
    </row>
    <row r="171" spans="2:6" x14ac:dyDescent="0.25">
      <c r="B171" s="228"/>
      <c r="D171" s="229"/>
      <c r="F171" s="228"/>
    </row>
    <row r="172" spans="2:6" x14ac:dyDescent="0.25">
      <c r="B172" s="228"/>
      <c r="D172" s="229"/>
      <c r="F172" s="228"/>
    </row>
    <row r="173" spans="2:6" x14ac:dyDescent="0.25">
      <c r="B173" s="228"/>
      <c r="D173" s="229"/>
      <c r="F173" s="228"/>
    </row>
    <row r="174" spans="2:6" x14ac:dyDescent="0.25">
      <c r="B174" s="228"/>
      <c r="D174" s="229"/>
      <c r="F174" s="228"/>
    </row>
    <row r="175" spans="2:6" x14ac:dyDescent="0.25">
      <c r="B175" s="228"/>
      <c r="D175" s="229"/>
      <c r="F175" s="228"/>
    </row>
    <row r="176" spans="2:6" x14ac:dyDescent="0.25">
      <c r="B176" s="228"/>
      <c r="D176" s="229"/>
      <c r="F176" s="228"/>
    </row>
    <row r="177" spans="2:6" x14ac:dyDescent="0.25">
      <c r="B177" s="228"/>
      <c r="D177" s="229"/>
      <c r="F177" s="228"/>
    </row>
    <row r="178" spans="2:6" x14ac:dyDescent="0.25">
      <c r="B178" s="228"/>
      <c r="D178" s="229"/>
      <c r="F178" s="228"/>
    </row>
    <row r="179" spans="2:6" x14ac:dyDescent="0.25">
      <c r="B179" s="228"/>
      <c r="D179" s="229"/>
      <c r="F179" s="228"/>
    </row>
    <row r="180" spans="2:6" x14ac:dyDescent="0.25">
      <c r="B180" s="228"/>
      <c r="D180" s="229"/>
      <c r="F180" s="228"/>
    </row>
    <row r="181" spans="2:6" x14ac:dyDescent="0.25">
      <c r="B181" s="228"/>
      <c r="D181" s="229"/>
      <c r="F181" s="228"/>
    </row>
    <row r="182" spans="2:6" x14ac:dyDescent="0.25">
      <c r="B182" s="228"/>
      <c r="D182" s="229"/>
      <c r="F182" s="228"/>
    </row>
    <row r="183" spans="2:6" x14ac:dyDescent="0.25">
      <c r="B183" s="228"/>
      <c r="D183" s="229"/>
      <c r="F183" s="228"/>
    </row>
    <row r="184" spans="2:6" x14ac:dyDescent="0.25">
      <c r="B184" s="228"/>
      <c r="D184" s="229"/>
      <c r="F184" s="228"/>
    </row>
    <row r="185" spans="2:6" x14ac:dyDescent="0.25">
      <c r="B185" s="228"/>
      <c r="D185" s="229"/>
      <c r="F185" s="228"/>
    </row>
    <row r="186" spans="2:6" x14ac:dyDescent="0.25">
      <c r="B186" s="228"/>
      <c r="D186" s="229"/>
      <c r="F186" s="228"/>
    </row>
    <row r="187" spans="2:6" x14ac:dyDescent="0.25">
      <c r="B187" s="228"/>
      <c r="D187" s="229"/>
      <c r="F187" s="228"/>
    </row>
    <row r="188" spans="2:6" x14ac:dyDescent="0.25">
      <c r="B188" s="228"/>
      <c r="D188" s="229"/>
      <c r="F188" s="228"/>
    </row>
    <row r="189" spans="2:6" x14ac:dyDescent="0.25">
      <c r="B189" s="228"/>
      <c r="D189" s="229"/>
      <c r="F189" s="228"/>
    </row>
    <row r="190" spans="2:6" x14ac:dyDescent="0.25">
      <c r="B190" s="228"/>
      <c r="D190" s="229"/>
      <c r="F190" s="228"/>
    </row>
    <row r="191" spans="2:6" x14ac:dyDescent="0.25">
      <c r="B191" s="228"/>
      <c r="D191" s="229"/>
      <c r="F191" s="228"/>
    </row>
    <row r="192" spans="2:6" x14ac:dyDescent="0.25">
      <c r="B192" s="228"/>
      <c r="D192" s="229"/>
      <c r="F192" s="228"/>
    </row>
    <row r="193" spans="2:6" x14ac:dyDescent="0.25">
      <c r="B193" s="228"/>
      <c r="D193" s="229"/>
      <c r="F193" s="228"/>
    </row>
    <row r="194" spans="2:6" x14ac:dyDescent="0.25">
      <c r="B194" s="228"/>
      <c r="D194" s="229"/>
      <c r="F194" s="228"/>
    </row>
    <row r="195" spans="2:6" x14ac:dyDescent="0.25">
      <c r="B195" s="228"/>
      <c r="D195" s="229"/>
      <c r="F195" s="228"/>
    </row>
    <row r="196" spans="2:6" x14ac:dyDescent="0.25">
      <c r="B196" s="228"/>
      <c r="D196" s="229"/>
      <c r="F196" s="228"/>
    </row>
    <row r="197" spans="2:6" x14ac:dyDescent="0.25">
      <c r="B197" s="228"/>
      <c r="D197" s="229"/>
      <c r="F197" s="228"/>
    </row>
    <row r="198" spans="2:6" x14ac:dyDescent="0.25">
      <c r="B198" s="228"/>
      <c r="D198" s="229"/>
      <c r="F198" s="228"/>
    </row>
    <row r="199" spans="2:6" x14ac:dyDescent="0.25">
      <c r="B199" s="228"/>
      <c r="D199" s="229"/>
      <c r="F199" s="228"/>
    </row>
    <row r="200" spans="2:6" x14ac:dyDescent="0.25">
      <c r="B200" s="228"/>
      <c r="D200" s="229"/>
      <c r="F200" s="228"/>
    </row>
    <row r="201" spans="2:6" x14ac:dyDescent="0.25">
      <c r="B201" s="228"/>
      <c r="D201" s="229"/>
      <c r="F201" s="228"/>
    </row>
    <row r="202" spans="2:6" x14ac:dyDescent="0.25">
      <c r="B202" s="228"/>
      <c r="D202" s="229"/>
      <c r="F202" s="228"/>
    </row>
    <row r="203" spans="2:6" x14ac:dyDescent="0.25">
      <c r="B203" s="228"/>
      <c r="D203" s="229"/>
      <c r="F203" s="228"/>
    </row>
    <row r="204" spans="2:6" x14ac:dyDescent="0.25">
      <c r="B204" s="228"/>
      <c r="D204" s="229"/>
      <c r="F204" s="228"/>
    </row>
    <row r="205" spans="2:6" x14ac:dyDescent="0.25">
      <c r="B205" s="228"/>
      <c r="D205" s="229"/>
      <c r="F205" s="228"/>
    </row>
    <row r="206" spans="2:6" x14ac:dyDescent="0.25">
      <c r="B206" s="228"/>
      <c r="D206" s="229"/>
      <c r="F206" s="228"/>
    </row>
    <row r="207" spans="2:6" x14ac:dyDescent="0.25">
      <c r="B207" s="228"/>
      <c r="D207" s="229"/>
      <c r="F207" s="228"/>
    </row>
    <row r="208" spans="2:6" x14ac:dyDescent="0.25">
      <c r="B208" s="228"/>
      <c r="D208" s="229"/>
      <c r="F208" s="228"/>
    </row>
    <row r="209" spans="2:6" x14ac:dyDescent="0.25">
      <c r="B209" s="228"/>
      <c r="D209" s="229"/>
      <c r="F209" s="228"/>
    </row>
    <row r="210" spans="2:6" x14ac:dyDescent="0.25">
      <c r="B210" s="228"/>
      <c r="D210" s="229"/>
      <c r="F210" s="228"/>
    </row>
    <row r="211" spans="2:6" x14ac:dyDescent="0.25">
      <c r="B211" s="228"/>
      <c r="D211" s="229"/>
      <c r="F211" s="228"/>
    </row>
    <row r="212" spans="2:6" x14ac:dyDescent="0.25">
      <c r="B212" s="228"/>
      <c r="D212" s="229"/>
      <c r="F212" s="228"/>
    </row>
    <row r="213" spans="2:6" x14ac:dyDescent="0.25">
      <c r="B213" s="228"/>
      <c r="D213" s="229"/>
      <c r="F213" s="228"/>
    </row>
    <row r="214" spans="2:6" x14ac:dyDescent="0.25">
      <c r="B214" s="228"/>
      <c r="D214" s="229"/>
      <c r="F214" s="228"/>
    </row>
    <row r="215" spans="2:6" x14ac:dyDescent="0.25">
      <c r="B215" s="228"/>
      <c r="D215" s="229"/>
      <c r="F215" s="228"/>
    </row>
    <row r="216" spans="2:6" x14ac:dyDescent="0.25">
      <c r="B216" s="228"/>
      <c r="D216" s="229"/>
      <c r="F216" s="228"/>
    </row>
    <row r="217" spans="2:6" x14ac:dyDescent="0.25">
      <c r="B217" s="228"/>
      <c r="D217" s="229"/>
      <c r="F217" s="228"/>
    </row>
    <row r="218" spans="2:6" x14ac:dyDescent="0.25">
      <c r="B218" s="228"/>
      <c r="D218" s="229"/>
      <c r="F218" s="228"/>
    </row>
    <row r="219" spans="2:6" x14ac:dyDescent="0.25">
      <c r="B219" s="228"/>
      <c r="D219" s="229"/>
      <c r="F219" s="228"/>
    </row>
    <row r="220" spans="2:6" x14ac:dyDescent="0.25">
      <c r="B220" s="228"/>
      <c r="D220" s="229"/>
      <c r="F220" s="228"/>
    </row>
    <row r="221" spans="2:6" x14ac:dyDescent="0.25">
      <c r="B221" s="228"/>
      <c r="D221" s="229"/>
      <c r="F221" s="228"/>
    </row>
    <row r="222" spans="2:6" x14ac:dyDescent="0.25">
      <c r="B222" s="228"/>
      <c r="D222" s="229"/>
      <c r="F222" s="228"/>
    </row>
    <row r="223" spans="2:6" x14ac:dyDescent="0.25">
      <c r="B223" s="228"/>
      <c r="D223" s="229"/>
      <c r="F223" s="228"/>
    </row>
    <row r="224" spans="2:6" x14ac:dyDescent="0.25">
      <c r="B224" s="228"/>
      <c r="D224" s="229"/>
      <c r="F224" s="228"/>
    </row>
    <row r="225" spans="2:6" x14ac:dyDescent="0.25">
      <c r="B225" s="228"/>
      <c r="D225" s="229"/>
      <c r="F225" s="228"/>
    </row>
    <row r="226" spans="2:6" x14ac:dyDescent="0.25">
      <c r="B226" s="228"/>
      <c r="D226" s="229"/>
      <c r="F226" s="228"/>
    </row>
    <row r="227" spans="2:6" x14ac:dyDescent="0.25">
      <c r="B227" s="228"/>
      <c r="D227" s="229"/>
      <c r="F227" s="228"/>
    </row>
    <row r="228" spans="2:6" x14ac:dyDescent="0.25">
      <c r="B228" s="228"/>
      <c r="D228" s="229"/>
      <c r="F228" s="228"/>
    </row>
    <row r="229" spans="2:6" x14ac:dyDescent="0.25">
      <c r="B229" s="228"/>
      <c r="D229" s="229"/>
      <c r="F229" s="228"/>
    </row>
    <row r="230" spans="2:6" x14ac:dyDescent="0.25">
      <c r="B230" s="228"/>
      <c r="D230" s="229"/>
      <c r="F230" s="228"/>
    </row>
    <row r="231" spans="2:6" x14ac:dyDescent="0.25">
      <c r="B231" s="228"/>
      <c r="D231" s="229"/>
      <c r="F231" s="228"/>
    </row>
    <row r="232" spans="2:6" x14ac:dyDescent="0.25">
      <c r="B232" s="228"/>
      <c r="D232" s="229"/>
      <c r="F232" s="228"/>
    </row>
    <row r="233" spans="2:6" x14ac:dyDescent="0.25">
      <c r="B233" s="228"/>
      <c r="D233" s="229"/>
      <c r="F233" s="228"/>
    </row>
    <row r="234" spans="2:6" x14ac:dyDescent="0.25">
      <c r="B234" s="228"/>
      <c r="D234" s="229"/>
      <c r="F234" s="228"/>
    </row>
    <row r="235" spans="2:6" x14ac:dyDescent="0.25">
      <c r="B235" s="228"/>
      <c r="D235" s="229"/>
      <c r="F235" s="228"/>
    </row>
    <row r="236" spans="2:6" x14ac:dyDescent="0.25">
      <c r="B236" s="228"/>
      <c r="D236" s="229"/>
      <c r="F236" s="228"/>
    </row>
    <row r="237" spans="2:6" x14ac:dyDescent="0.25">
      <c r="B237" s="228"/>
      <c r="D237" s="229"/>
      <c r="F237" s="228"/>
    </row>
    <row r="238" spans="2:6" x14ac:dyDescent="0.25">
      <c r="B238" s="228"/>
      <c r="D238" s="229"/>
      <c r="F238" s="228"/>
    </row>
    <row r="239" spans="2:6" x14ac:dyDescent="0.25">
      <c r="B239" s="228"/>
      <c r="D239" s="229"/>
      <c r="F239" s="228"/>
    </row>
    <row r="240" spans="2:6" x14ac:dyDescent="0.25">
      <c r="B240" s="228"/>
      <c r="D240" s="229"/>
      <c r="F240" s="228"/>
    </row>
    <row r="241" spans="2:6" x14ac:dyDescent="0.25">
      <c r="B241" s="228"/>
      <c r="D241" s="229"/>
      <c r="F241" s="228"/>
    </row>
    <row r="242" spans="2:6" x14ac:dyDescent="0.25">
      <c r="B242" s="228"/>
      <c r="D242" s="229"/>
      <c r="F242" s="228"/>
    </row>
    <row r="243" spans="2:6" x14ac:dyDescent="0.25">
      <c r="B243" s="228"/>
      <c r="D243" s="229"/>
      <c r="F243" s="228"/>
    </row>
    <row r="244" spans="2:6" x14ac:dyDescent="0.25">
      <c r="B244" s="228"/>
      <c r="D244" s="229"/>
      <c r="F244" s="228"/>
    </row>
    <row r="245" spans="2:6" x14ac:dyDescent="0.25">
      <c r="B245" s="228"/>
      <c r="D245" s="229"/>
      <c r="F245" s="228"/>
    </row>
    <row r="246" spans="2:6" x14ac:dyDescent="0.25">
      <c r="B246" s="228"/>
      <c r="D246" s="229"/>
      <c r="F246" s="228"/>
    </row>
    <row r="247" spans="2:6" x14ac:dyDescent="0.25">
      <c r="B247" s="228"/>
      <c r="D247" s="229"/>
      <c r="F247" s="228"/>
    </row>
    <row r="248" spans="2:6" x14ac:dyDescent="0.25">
      <c r="B248" s="228"/>
      <c r="D248" s="229"/>
      <c r="F248" s="228"/>
    </row>
    <row r="249" spans="2:6" x14ac:dyDescent="0.25">
      <c r="B249" s="228"/>
      <c r="D249" s="229"/>
      <c r="F249" s="228"/>
    </row>
    <row r="250" spans="2:6" x14ac:dyDescent="0.25">
      <c r="B250" s="228"/>
      <c r="D250" s="229"/>
      <c r="F250" s="228"/>
    </row>
    <row r="251" spans="2:6" x14ac:dyDescent="0.25">
      <c r="B251" s="228"/>
      <c r="D251" s="229"/>
      <c r="F251" s="228"/>
    </row>
    <row r="252" spans="2:6" x14ac:dyDescent="0.25">
      <c r="B252" s="228"/>
      <c r="D252" s="229"/>
      <c r="F252" s="228"/>
    </row>
    <row r="253" spans="2:6" x14ac:dyDescent="0.25">
      <c r="B253" s="228"/>
      <c r="D253" s="229"/>
      <c r="F253" s="228"/>
    </row>
    <row r="254" spans="2:6" x14ac:dyDescent="0.25">
      <c r="B254" s="228"/>
      <c r="D254" s="229"/>
      <c r="F254" s="228"/>
    </row>
    <row r="255" spans="2:6" x14ac:dyDescent="0.25">
      <c r="B255" s="228"/>
      <c r="D255" s="229"/>
      <c r="F255" s="228"/>
    </row>
    <row r="256" spans="2:6" x14ac:dyDescent="0.25">
      <c r="B256" s="228"/>
      <c r="D256" s="229"/>
      <c r="F256" s="228"/>
    </row>
    <row r="257" spans="2:6" x14ac:dyDescent="0.25">
      <c r="B257" s="228"/>
      <c r="D257" s="229"/>
      <c r="F257" s="228"/>
    </row>
    <row r="258" spans="2:6" x14ac:dyDescent="0.25">
      <c r="B258" s="228"/>
      <c r="D258" s="229"/>
      <c r="F258" s="228"/>
    </row>
    <row r="259" spans="2:6" x14ac:dyDescent="0.25">
      <c r="B259" s="228"/>
      <c r="D259" s="229"/>
      <c r="F259" s="228"/>
    </row>
    <row r="260" spans="2:6" x14ac:dyDescent="0.25">
      <c r="B260" s="228"/>
      <c r="D260" s="229"/>
      <c r="F260" s="228"/>
    </row>
    <row r="261" spans="2:6" x14ac:dyDescent="0.25">
      <c r="B261" s="228"/>
      <c r="D261" s="229"/>
      <c r="F261" s="228"/>
    </row>
    <row r="262" spans="2:6" x14ac:dyDescent="0.25">
      <c r="B262" s="228"/>
      <c r="D262" s="229"/>
      <c r="F262" s="228"/>
    </row>
    <row r="263" spans="2:6" x14ac:dyDescent="0.25">
      <c r="B263" s="228"/>
      <c r="D263" s="229"/>
      <c r="F263" s="228"/>
    </row>
    <row r="264" spans="2:6" x14ac:dyDescent="0.25">
      <c r="B264" s="228"/>
      <c r="D264" s="229"/>
      <c r="F264" s="228"/>
    </row>
    <row r="265" spans="2:6" x14ac:dyDescent="0.25">
      <c r="B265" s="228"/>
      <c r="D265" s="229"/>
      <c r="F265" s="228"/>
    </row>
    <row r="266" spans="2:6" x14ac:dyDescent="0.25">
      <c r="B266" s="228"/>
      <c r="D266" s="229"/>
      <c r="F266" s="228"/>
    </row>
    <row r="267" spans="2:6" x14ac:dyDescent="0.25">
      <c r="B267" s="228"/>
      <c r="D267" s="229"/>
      <c r="F267" s="228"/>
    </row>
    <row r="268" spans="2:6" x14ac:dyDescent="0.25">
      <c r="B268" s="228"/>
      <c r="D268" s="229"/>
      <c r="F268" s="228"/>
    </row>
    <row r="269" spans="2:6" x14ac:dyDescent="0.25">
      <c r="B269" s="228"/>
      <c r="D269" s="229"/>
      <c r="F269" s="228"/>
    </row>
    <row r="270" spans="2:6" x14ac:dyDescent="0.25">
      <c r="B270" s="228"/>
      <c r="D270" s="229"/>
      <c r="F270" s="228"/>
    </row>
    <row r="271" spans="2:6" x14ac:dyDescent="0.25">
      <c r="B271" s="228"/>
      <c r="D271" s="229"/>
      <c r="F271" s="228"/>
    </row>
    <row r="272" spans="2:6" x14ac:dyDescent="0.25">
      <c r="B272" s="228"/>
      <c r="D272" s="229"/>
      <c r="F272" s="228"/>
    </row>
    <row r="273" spans="2:6" x14ac:dyDescent="0.25">
      <c r="B273" s="228"/>
      <c r="D273" s="229"/>
      <c r="F273" s="228"/>
    </row>
    <row r="274" spans="2:6" x14ac:dyDescent="0.25">
      <c r="B274" s="228"/>
      <c r="D274" s="229"/>
      <c r="F274" s="228"/>
    </row>
    <row r="275" spans="2:6" x14ac:dyDescent="0.25">
      <c r="B275" s="228"/>
      <c r="D275" s="229"/>
      <c r="F275" s="228"/>
    </row>
    <row r="276" spans="2:6" x14ac:dyDescent="0.25">
      <c r="B276" s="228"/>
      <c r="D276" s="229"/>
      <c r="F276" s="228"/>
    </row>
    <row r="277" spans="2:6" x14ac:dyDescent="0.25">
      <c r="B277" s="228"/>
      <c r="D277" s="229"/>
      <c r="F277" s="228"/>
    </row>
    <row r="278" spans="2:6" x14ac:dyDescent="0.25">
      <c r="B278" s="228"/>
      <c r="D278" s="229"/>
      <c r="F278" s="228"/>
    </row>
    <row r="279" spans="2:6" x14ac:dyDescent="0.25">
      <c r="B279" s="228"/>
      <c r="D279" s="229"/>
      <c r="F279" s="228"/>
    </row>
    <row r="280" spans="2:6" x14ac:dyDescent="0.25">
      <c r="B280" s="228"/>
      <c r="D280" s="229"/>
      <c r="F280" s="228"/>
    </row>
    <row r="281" spans="2:6" x14ac:dyDescent="0.25">
      <c r="B281" s="228"/>
      <c r="D281" s="229"/>
      <c r="F281" s="228"/>
    </row>
    <row r="282" spans="2:6" x14ac:dyDescent="0.25">
      <c r="B282" s="228"/>
      <c r="D282" s="229"/>
      <c r="F282" s="228"/>
    </row>
    <row r="283" spans="2:6" x14ac:dyDescent="0.25">
      <c r="B283" s="228"/>
      <c r="D283" s="229"/>
      <c r="F283" s="228"/>
    </row>
    <row r="284" spans="2:6" x14ac:dyDescent="0.25">
      <c r="B284" s="228"/>
      <c r="D284" s="229"/>
      <c r="F284" s="228"/>
    </row>
    <row r="285" spans="2:6" x14ac:dyDescent="0.25">
      <c r="B285" s="228"/>
      <c r="D285" s="229"/>
      <c r="F285" s="228"/>
    </row>
    <row r="286" spans="2:6" x14ac:dyDescent="0.25">
      <c r="B286" s="228"/>
      <c r="D286" s="229"/>
      <c r="F286" s="228"/>
    </row>
    <row r="287" spans="2:6" x14ac:dyDescent="0.25">
      <c r="B287" s="228"/>
      <c r="D287" s="229"/>
      <c r="F287" s="228"/>
    </row>
    <row r="288" spans="2:6" x14ac:dyDescent="0.25">
      <c r="B288" s="228"/>
      <c r="D288" s="229"/>
      <c r="F288" s="228"/>
    </row>
    <row r="289" spans="2:6" x14ac:dyDescent="0.25">
      <c r="B289" s="228"/>
      <c r="D289" s="229"/>
      <c r="F289" s="228"/>
    </row>
    <row r="290" spans="2:6" x14ac:dyDescent="0.25">
      <c r="B290" s="228"/>
      <c r="D290" s="229"/>
      <c r="F290" s="228"/>
    </row>
    <row r="291" spans="2:6" x14ac:dyDescent="0.25">
      <c r="B291" s="228"/>
      <c r="D291" s="229"/>
      <c r="F291" s="228"/>
    </row>
    <row r="292" spans="2:6" x14ac:dyDescent="0.25">
      <c r="B292" s="228"/>
      <c r="D292" s="229"/>
      <c r="F292" s="228"/>
    </row>
    <row r="293" spans="2:6" x14ac:dyDescent="0.25">
      <c r="B293" s="228"/>
      <c r="D293" s="229"/>
      <c r="F293" s="228"/>
    </row>
    <row r="294" spans="2:6" x14ac:dyDescent="0.25">
      <c r="B294" s="228"/>
      <c r="D294" s="229"/>
      <c r="F294" s="228"/>
    </row>
    <row r="295" spans="2:6" x14ac:dyDescent="0.25">
      <c r="B295" s="228"/>
      <c r="D295" s="229"/>
      <c r="F295" s="228"/>
    </row>
    <row r="296" spans="2:6" x14ac:dyDescent="0.25">
      <c r="B296" s="228"/>
      <c r="D296" s="229"/>
      <c r="F296" s="228"/>
    </row>
    <row r="297" spans="2:6" x14ac:dyDescent="0.25">
      <c r="B297" s="228"/>
      <c r="D297" s="229"/>
      <c r="F297" s="228"/>
    </row>
    <row r="298" spans="2:6" x14ac:dyDescent="0.25">
      <c r="B298" s="228"/>
      <c r="D298" s="229"/>
      <c r="F298" s="228"/>
    </row>
    <row r="299" spans="2:6" x14ac:dyDescent="0.25">
      <c r="B299" s="228"/>
      <c r="D299" s="229"/>
      <c r="F299" s="228"/>
    </row>
    <row r="300" spans="2:6" x14ac:dyDescent="0.25">
      <c r="B300" s="228"/>
      <c r="D300" s="229"/>
      <c r="F300" s="228"/>
    </row>
    <row r="301" spans="2:6" x14ac:dyDescent="0.25">
      <c r="B301" s="228"/>
      <c r="D301" s="229"/>
      <c r="F301" s="228"/>
    </row>
    <row r="302" spans="2:6" x14ac:dyDescent="0.25">
      <c r="B302" s="228"/>
      <c r="D302" s="229"/>
      <c r="F302" s="228"/>
    </row>
    <row r="303" spans="2:6" x14ac:dyDescent="0.25">
      <c r="B303" s="228"/>
      <c r="D303" s="229"/>
      <c r="F303" s="228"/>
    </row>
    <row r="304" spans="2:6" x14ac:dyDescent="0.25">
      <c r="B304" s="228"/>
      <c r="D304" s="229"/>
      <c r="F304" s="228"/>
    </row>
    <row r="305" spans="2:6" x14ac:dyDescent="0.25">
      <c r="B305" s="228"/>
      <c r="D305" s="229"/>
      <c r="F305" s="228"/>
    </row>
    <row r="306" spans="2:6" x14ac:dyDescent="0.25">
      <c r="B306" s="228"/>
      <c r="D306" s="229"/>
      <c r="F306" s="228"/>
    </row>
    <row r="307" spans="2:6" x14ac:dyDescent="0.25">
      <c r="B307" s="228"/>
      <c r="D307" s="229"/>
      <c r="F307" s="228"/>
    </row>
    <row r="308" spans="2:6" x14ac:dyDescent="0.25">
      <c r="B308" s="228"/>
      <c r="D308" s="229"/>
      <c r="F308" s="228"/>
    </row>
    <row r="309" spans="2:6" x14ac:dyDescent="0.25">
      <c r="B309" s="228"/>
      <c r="D309" s="229"/>
      <c r="F309" s="228"/>
    </row>
    <row r="310" spans="2:6" x14ac:dyDescent="0.25">
      <c r="B310" s="228"/>
      <c r="D310" s="229"/>
      <c r="F310" s="228"/>
    </row>
    <row r="311" spans="2:6" x14ac:dyDescent="0.25">
      <c r="B311" s="228"/>
      <c r="D311" s="229"/>
      <c r="F311" s="228"/>
    </row>
    <row r="312" spans="2:6" x14ac:dyDescent="0.25">
      <c r="B312" s="228"/>
      <c r="D312" s="229"/>
      <c r="F312" s="228"/>
    </row>
    <row r="313" spans="2:6" x14ac:dyDescent="0.25">
      <c r="B313" s="228"/>
      <c r="D313" s="229"/>
      <c r="F313" s="228"/>
    </row>
    <row r="314" spans="2:6" x14ac:dyDescent="0.25">
      <c r="B314" s="228"/>
      <c r="D314" s="229"/>
      <c r="F314" s="228"/>
    </row>
    <row r="315" spans="2:6" x14ac:dyDescent="0.25">
      <c r="B315" s="228"/>
      <c r="D315" s="229"/>
      <c r="F315" s="228"/>
    </row>
    <row r="316" spans="2:6" x14ac:dyDescent="0.25">
      <c r="B316" s="228"/>
      <c r="D316" s="229"/>
      <c r="F316" s="228"/>
    </row>
    <row r="317" spans="2:6" x14ac:dyDescent="0.25">
      <c r="B317" s="228"/>
      <c r="D317" s="229"/>
      <c r="F317" s="228"/>
    </row>
    <row r="318" spans="2:6" x14ac:dyDescent="0.25">
      <c r="B318" s="228"/>
      <c r="D318" s="229"/>
      <c r="F318" s="228"/>
    </row>
    <row r="319" spans="2:6" x14ac:dyDescent="0.25">
      <c r="B319" s="228"/>
      <c r="D319" s="229"/>
      <c r="F319" s="228"/>
    </row>
    <row r="320" spans="2:6" x14ac:dyDescent="0.25">
      <c r="B320" s="228"/>
      <c r="D320" s="229"/>
      <c r="F320" s="228"/>
    </row>
    <row r="321" spans="2:6" x14ac:dyDescent="0.25">
      <c r="B321" s="228"/>
      <c r="D321" s="229"/>
      <c r="F321" s="228"/>
    </row>
    <row r="322" spans="2:6" x14ac:dyDescent="0.25">
      <c r="B322" s="228"/>
      <c r="D322" s="229"/>
      <c r="F322" s="228"/>
    </row>
    <row r="323" spans="2:6" x14ac:dyDescent="0.25">
      <c r="B323" s="228"/>
      <c r="D323" s="229"/>
      <c r="F323" s="228"/>
    </row>
    <row r="324" spans="2:6" x14ac:dyDescent="0.25">
      <c r="B324" s="228"/>
      <c r="D324" s="229"/>
      <c r="F324" s="228"/>
    </row>
    <row r="325" spans="2:6" x14ac:dyDescent="0.25">
      <c r="B325" s="228"/>
      <c r="D325" s="229"/>
      <c r="F325" s="228"/>
    </row>
    <row r="326" spans="2:6" x14ac:dyDescent="0.25">
      <c r="B326" s="228"/>
      <c r="D326" s="229"/>
      <c r="F326" s="228"/>
    </row>
    <row r="327" spans="2:6" x14ac:dyDescent="0.25">
      <c r="B327" s="228"/>
      <c r="D327" s="229"/>
      <c r="F327" s="228"/>
    </row>
    <row r="328" spans="2:6" x14ac:dyDescent="0.25">
      <c r="B328" s="228"/>
      <c r="D328" s="229"/>
      <c r="F328" s="228"/>
    </row>
    <row r="329" spans="2:6" x14ac:dyDescent="0.25">
      <c r="B329" s="228"/>
      <c r="D329" s="229"/>
      <c r="F329" s="228"/>
    </row>
    <row r="330" spans="2:6" x14ac:dyDescent="0.25">
      <c r="B330" s="228"/>
      <c r="D330" s="229"/>
      <c r="F330" s="228"/>
    </row>
    <row r="331" spans="2:6" x14ac:dyDescent="0.25">
      <c r="B331" s="228"/>
      <c r="D331" s="229"/>
      <c r="F331" s="228"/>
    </row>
    <row r="332" spans="2:6" x14ac:dyDescent="0.25">
      <c r="B332" s="228"/>
      <c r="D332" s="229"/>
      <c r="F332" s="228"/>
    </row>
    <row r="333" spans="2:6" x14ac:dyDescent="0.25">
      <c r="B333" s="228"/>
      <c r="D333" s="229"/>
      <c r="F333" s="228"/>
    </row>
    <row r="334" spans="2:6" x14ac:dyDescent="0.25">
      <c r="B334" s="228"/>
      <c r="D334" s="229"/>
      <c r="F334" s="228"/>
    </row>
    <row r="335" spans="2:6" x14ac:dyDescent="0.25">
      <c r="B335" s="228"/>
      <c r="D335" s="229"/>
      <c r="F335" s="228"/>
    </row>
    <row r="336" spans="2:6" x14ac:dyDescent="0.25">
      <c r="B336" s="228"/>
      <c r="D336" s="229"/>
      <c r="F336" s="228"/>
    </row>
    <row r="337" spans="2:6" x14ac:dyDescent="0.25">
      <c r="B337" s="228"/>
      <c r="D337" s="229"/>
      <c r="F337" s="228"/>
    </row>
    <row r="338" spans="2:6" x14ac:dyDescent="0.25">
      <c r="B338" s="228"/>
      <c r="D338" s="229"/>
      <c r="F338" s="228"/>
    </row>
    <row r="339" spans="2:6" x14ac:dyDescent="0.25">
      <c r="B339" s="228"/>
      <c r="D339" s="229"/>
      <c r="F339" s="228"/>
    </row>
    <row r="340" spans="2:6" x14ac:dyDescent="0.25">
      <c r="B340" s="228"/>
      <c r="D340" s="229"/>
      <c r="F340" s="228"/>
    </row>
    <row r="341" spans="2:6" x14ac:dyDescent="0.25">
      <c r="B341" s="228"/>
      <c r="D341" s="229"/>
      <c r="F341" s="228"/>
    </row>
    <row r="342" spans="2:6" x14ac:dyDescent="0.25">
      <c r="B342" s="228"/>
      <c r="D342" s="229"/>
      <c r="F342" s="228"/>
    </row>
    <row r="343" spans="2:6" x14ac:dyDescent="0.25">
      <c r="B343" s="228"/>
      <c r="D343" s="229"/>
      <c r="F343" s="228"/>
    </row>
    <row r="344" spans="2:6" x14ac:dyDescent="0.25">
      <c r="B344" s="228"/>
      <c r="D344" s="229"/>
      <c r="F344" s="228"/>
    </row>
    <row r="345" spans="2:6" x14ac:dyDescent="0.25">
      <c r="B345" s="228"/>
      <c r="D345" s="229"/>
      <c r="F345" s="228"/>
    </row>
    <row r="346" spans="2:6" x14ac:dyDescent="0.25">
      <c r="B346" s="228"/>
      <c r="F346" s="228"/>
    </row>
    <row r="347" spans="2:6" x14ac:dyDescent="0.25">
      <c r="B347" s="228"/>
      <c r="F347" s="228"/>
    </row>
    <row r="348" spans="2:6" x14ac:dyDescent="0.25">
      <c r="B348" s="228"/>
      <c r="F348" s="228"/>
    </row>
    <row r="349" spans="2:6" x14ac:dyDescent="0.25">
      <c r="B349" s="228"/>
      <c r="F349" s="228"/>
    </row>
    <row r="350" spans="2:6" x14ac:dyDescent="0.25">
      <c r="B350" s="228"/>
      <c r="F350" s="228"/>
    </row>
    <row r="351" spans="2:6" x14ac:dyDescent="0.25">
      <c r="B351" s="228"/>
      <c r="F351" s="228"/>
    </row>
    <row r="352" spans="2:6" x14ac:dyDescent="0.25">
      <c r="B352" s="228"/>
      <c r="F352" s="228"/>
    </row>
    <row r="353" spans="2:6" x14ac:dyDescent="0.25">
      <c r="B353" s="228"/>
      <c r="F353" s="228"/>
    </row>
    <row r="354" spans="2:6" x14ac:dyDescent="0.25">
      <c r="B354" s="228"/>
      <c r="F354" s="228"/>
    </row>
    <row r="355" spans="2:6" x14ac:dyDescent="0.25">
      <c r="B355" s="228"/>
      <c r="F355" s="228"/>
    </row>
    <row r="356" spans="2:6" x14ac:dyDescent="0.25">
      <c r="B356" s="228"/>
      <c r="F356" s="228"/>
    </row>
    <row r="357" spans="2:6" x14ac:dyDescent="0.25">
      <c r="B357" s="228"/>
      <c r="F357" s="228"/>
    </row>
    <row r="358" spans="2:6" x14ac:dyDescent="0.25">
      <c r="B358" s="228"/>
      <c r="F358" s="228"/>
    </row>
    <row r="359" spans="2:6" x14ac:dyDescent="0.25">
      <c r="B359" s="228"/>
      <c r="F359" s="228"/>
    </row>
    <row r="360" spans="2:6" x14ac:dyDescent="0.25">
      <c r="B360" s="228"/>
      <c r="F360" s="228"/>
    </row>
    <row r="361" spans="2:6" x14ac:dyDescent="0.25">
      <c r="B361" s="228"/>
      <c r="F361" s="228"/>
    </row>
    <row r="362" spans="2:6" x14ac:dyDescent="0.25">
      <c r="B362" s="228"/>
      <c r="F362" s="228"/>
    </row>
    <row r="363" spans="2:6" x14ac:dyDescent="0.25">
      <c r="B363" s="228"/>
      <c r="F363" s="228"/>
    </row>
    <row r="364" spans="2:6" x14ac:dyDescent="0.25">
      <c r="B364" s="228"/>
      <c r="F364" s="228"/>
    </row>
    <row r="365" spans="2:6" x14ac:dyDescent="0.25">
      <c r="B365" s="228"/>
      <c r="F365" s="228"/>
    </row>
    <row r="366" spans="2:6" x14ac:dyDescent="0.25">
      <c r="B366" s="228"/>
      <c r="F366" s="228"/>
    </row>
    <row r="367" spans="2:6" x14ac:dyDescent="0.25">
      <c r="B367" s="228"/>
      <c r="F367" s="228"/>
    </row>
    <row r="368" spans="2:6" x14ac:dyDescent="0.25">
      <c r="B368" s="228"/>
      <c r="F368" s="228"/>
    </row>
    <row r="369" spans="2:6" x14ac:dyDescent="0.25">
      <c r="B369" s="228"/>
      <c r="F369" s="228"/>
    </row>
    <row r="370" spans="2:6" x14ac:dyDescent="0.25">
      <c r="B370" s="228"/>
      <c r="F370" s="228"/>
    </row>
    <row r="371" spans="2:6" x14ac:dyDescent="0.25">
      <c r="B371" s="228"/>
      <c r="F371" s="228"/>
    </row>
    <row r="372" spans="2:6" x14ac:dyDescent="0.25">
      <c r="B372" s="228"/>
      <c r="F372" s="228"/>
    </row>
    <row r="373" spans="2:6" x14ac:dyDescent="0.25">
      <c r="B373" s="228"/>
      <c r="F373" s="228"/>
    </row>
    <row r="374" spans="2:6" x14ac:dyDescent="0.25">
      <c r="B374" s="228"/>
      <c r="F374" s="228"/>
    </row>
    <row r="375" spans="2:6" x14ac:dyDescent="0.25">
      <c r="B375" s="228"/>
      <c r="F375" s="228"/>
    </row>
    <row r="376" spans="2:6" x14ac:dyDescent="0.25">
      <c r="B376" s="228"/>
      <c r="F376" s="228"/>
    </row>
    <row r="377" spans="2:6" x14ac:dyDescent="0.25">
      <c r="B377" s="228"/>
      <c r="F377" s="228"/>
    </row>
    <row r="378" spans="2:6" x14ac:dyDescent="0.25">
      <c r="B378" s="228"/>
      <c r="F378" s="228"/>
    </row>
    <row r="379" spans="2:6" x14ac:dyDescent="0.25">
      <c r="B379" s="228"/>
      <c r="F379" s="228"/>
    </row>
    <row r="380" spans="2:6" x14ac:dyDescent="0.25">
      <c r="B380" s="228"/>
    </row>
  </sheetData>
  <pageMargins left="0.7" right="0.7" top="0.75" bottom="0.75" header="0.3" footer="0.3"/>
  <drawing r:id="rId1"/>
  <legacyDrawing r:id="rId2"/>
  <controls>
    <mc:AlternateContent xmlns:mc="http://schemas.openxmlformats.org/markup-compatibility/2006">
      <mc:Choice Requires="x14">
        <control shapeId="22529" r:id="rId3" name="CommandButton1">
          <controlPr defaultSize="0" autoLine="0" r:id="rId4">
            <anchor moveWithCells="1">
              <from>
                <xdr:col>8</xdr:col>
                <xdr:colOff>0</xdr:colOff>
                <xdr:row>7</xdr:row>
                <xdr:rowOff>0</xdr:rowOff>
              </from>
              <to>
                <xdr:col>10</xdr:col>
                <xdr:colOff>219075</xdr:colOff>
                <xdr:row>9</xdr:row>
                <xdr:rowOff>104775</xdr:rowOff>
              </to>
            </anchor>
          </controlPr>
        </control>
      </mc:Choice>
      <mc:Fallback>
        <control shapeId="22529" r:id="rId3" name="CommandButton1"/>
      </mc:Fallback>
    </mc:AlternateContent>
    <mc:AlternateContent xmlns:mc="http://schemas.openxmlformats.org/markup-compatibility/2006">
      <mc:Choice Requires="x14">
        <control shapeId="22530" r:id="rId5" name="CommandButton2">
          <controlPr defaultSize="0" autoLine="0" r:id="rId6">
            <anchor moveWithCells="1">
              <from>
                <xdr:col>7</xdr:col>
                <xdr:colOff>590550</xdr:colOff>
                <xdr:row>0</xdr:row>
                <xdr:rowOff>180975</xdr:rowOff>
              </from>
              <to>
                <xdr:col>11</xdr:col>
                <xdr:colOff>180975</xdr:colOff>
                <xdr:row>3</xdr:row>
                <xdr:rowOff>95250</xdr:rowOff>
              </to>
            </anchor>
          </controlPr>
        </control>
      </mc:Choice>
      <mc:Fallback>
        <control shapeId="22530" r:id="rId5" name="CommandButton2"/>
      </mc:Fallback>
    </mc:AlternateContent>
    <mc:AlternateContent xmlns:mc="http://schemas.openxmlformats.org/markup-compatibility/2006">
      <mc:Choice Requires="x14">
        <control shapeId="22532" r:id="rId7" name="CommandButton3">
          <controlPr defaultSize="0" autoLine="0" r:id="rId8">
            <anchor moveWithCells="1">
              <from>
                <xdr:col>7</xdr:col>
                <xdr:colOff>590550</xdr:colOff>
                <xdr:row>3</xdr:row>
                <xdr:rowOff>180975</xdr:rowOff>
              </from>
              <to>
                <xdr:col>11</xdr:col>
                <xdr:colOff>180975</xdr:colOff>
                <xdr:row>6</xdr:row>
                <xdr:rowOff>95250</xdr:rowOff>
              </to>
            </anchor>
          </controlPr>
        </control>
      </mc:Choice>
      <mc:Fallback>
        <control shapeId="22532" r:id="rId7" name="CommandButton3"/>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G18"/>
  <sheetViews>
    <sheetView workbookViewId="0">
      <selection sqref="A1:D1048576"/>
    </sheetView>
  </sheetViews>
  <sheetFormatPr defaultRowHeight="15" x14ac:dyDescent="0.25"/>
  <cols>
    <col min="1" max="1" width="22.28515625" style="221" bestFit="1" customWidth="1"/>
    <col min="2" max="2" width="10.7109375" style="221" bestFit="1" customWidth="1"/>
    <col min="3" max="3" width="22.140625" style="221" bestFit="1" customWidth="1"/>
    <col min="4" max="4" width="10.7109375" style="221" bestFit="1" customWidth="1"/>
  </cols>
  <sheetData>
    <row r="1" spans="1:7" x14ac:dyDescent="0.25">
      <c r="A1" s="225" t="s">
        <v>4320</v>
      </c>
      <c r="B1" s="271" t="s">
        <v>4321</v>
      </c>
      <c r="C1" s="225" t="s">
        <v>4322</v>
      </c>
      <c r="D1" s="269" t="s">
        <v>4323</v>
      </c>
    </row>
    <row r="2" spans="1:7" x14ac:dyDescent="0.25">
      <c r="A2" s="216"/>
      <c r="B2" s="262"/>
      <c r="C2" s="216"/>
      <c r="D2" s="263"/>
    </row>
    <row r="3" spans="1:7" x14ac:dyDescent="0.25">
      <c r="A3" s="216"/>
      <c r="B3" s="262"/>
      <c r="C3" s="216"/>
      <c r="D3" s="263"/>
      <c r="E3" s="139"/>
      <c r="F3" s="139"/>
      <c r="G3" s="139"/>
    </row>
    <row r="4" spans="1:7" x14ac:dyDescent="0.25">
      <c r="B4" s="262"/>
      <c r="E4" s="139"/>
      <c r="F4" s="139"/>
      <c r="G4" s="139"/>
    </row>
    <row r="5" spans="1:7" x14ac:dyDescent="0.25">
      <c r="E5" s="139"/>
      <c r="F5" s="139"/>
      <c r="G5" s="139"/>
    </row>
    <row r="6" spans="1:7" x14ac:dyDescent="0.25">
      <c r="E6" s="139"/>
      <c r="F6" s="139"/>
      <c r="G6" s="139"/>
    </row>
    <row r="7" spans="1:7" x14ac:dyDescent="0.25">
      <c r="E7" s="139"/>
      <c r="F7" s="139"/>
      <c r="G7" s="139"/>
    </row>
    <row r="8" spans="1:7" x14ac:dyDescent="0.25">
      <c r="E8" s="139"/>
      <c r="F8" s="139"/>
      <c r="G8" s="139"/>
    </row>
    <row r="9" spans="1:7" x14ac:dyDescent="0.25">
      <c r="E9" s="139"/>
      <c r="F9" s="139"/>
      <c r="G9" s="139"/>
    </row>
    <row r="10" spans="1:7" x14ac:dyDescent="0.25">
      <c r="E10" s="139"/>
      <c r="F10" s="139"/>
      <c r="G10" s="139"/>
    </row>
    <row r="11" spans="1:7" x14ac:dyDescent="0.25">
      <c r="E11" s="139"/>
      <c r="F11" s="139"/>
      <c r="G11" s="139"/>
    </row>
    <row r="12" spans="1:7" x14ac:dyDescent="0.25">
      <c r="E12" s="139"/>
      <c r="F12" s="139"/>
      <c r="G12" s="139"/>
    </row>
    <row r="13" spans="1:7" x14ac:dyDescent="0.25">
      <c r="E13" s="139"/>
      <c r="F13" s="139"/>
      <c r="G13" s="139"/>
    </row>
    <row r="14" spans="1:7" x14ac:dyDescent="0.25">
      <c r="E14" s="139"/>
      <c r="F14" s="139"/>
      <c r="G14" s="139"/>
    </row>
    <row r="15" spans="1:7" x14ac:dyDescent="0.25">
      <c r="E15" s="139"/>
      <c r="F15" s="139"/>
      <c r="G15" s="139"/>
    </row>
    <row r="16" spans="1:7" x14ac:dyDescent="0.25">
      <c r="E16" s="139"/>
      <c r="F16" s="139"/>
      <c r="G16" s="139"/>
    </row>
    <row r="17" spans="5:7" x14ac:dyDescent="0.25">
      <c r="E17" s="139"/>
      <c r="F17" s="139"/>
      <c r="G17" s="139"/>
    </row>
    <row r="18" spans="5:7" x14ac:dyDescent="0.25">
      <c r="E18" s="139"/>
      <c r="F18" s="139"/>
      <c r="G18" s="139"/>
    </row>
  </sheetData>
  <pageMargins left="0.7" right="0.7" top="0.75" bottom="0.75" header="0.3" footer="0.3"/>
  <drawing r:id="rId1"/>
  <legacyDrawing r:id="rId2"/>
  <controls>
    <mc:AlternateContent xmlns:mc="http://schemas.openxmlformats.org/markup-compatibility/2006">
      <mc:Choice Requires="x14">
        <control shapeId="33793" r:id="rId3" name="CommandButton1">
          <controlPr defaultSize="0" autoLine="0" r:id="rId4">
            <anchor moveWithCells="1">
              <from>
                <xdr:col>7</xdr:col>
                <xdr:colOff>0</xdr:colOff>
                <xdr:row>7</xdr:row>
                <xdr:rowOff>0</xdr:rowOff>
              </from>
              <to>
                <xdr:col>9</xdr:col>
                <xdr:colOff>219075</xdr:colOff>
                <xdr:row>9</xdr:row>
                <xdr:rowOff>104775</xdr:rowOff>
              </to>
            </anchor>
          </controlPr>
        </control>
      </mc:Choice>
      <mc:Fallback>
        <control shapeId="33793" r:id="rId3" name="CommandButton1"/>
      </mc:Fallback>
    </mc:AlternateContent>
    <mc:AlternateContent xmlns:mc="http://schemas.openxmlformats.org/markup-compatibility/2006">
      <mc:Choice Requires="x14">
        <control shapeId="33794" r:id="rId5" name="CommandButton2">
          <controlPr defaultSize="0" autoLine="0" r:id="rId6">
            <anchor moveWithCells="1">
              <from>
                <xdr:col>6</xdr:col>
                <xdr:colOff>600075</xdr:colOff>
                <xdr:row>1</xdr:row>
                <xdr:rowOff>9525</xdr:rowOff>
              </from>
              <to>
                <xdr:col>10</xdr:col>
                <xdr:colOff>190500</xdr:colOff>
                <xdr:row>3</xdr:row>
                <xdr:rowOff>114300</xdr:rowOff>
              </to>
            </anchor>
          </controlPr>
        </control>
      </mc:Choice>
      <mc:Fallback>
        <control shapeId="33794" r:id="rId5" name="CommandButton2"/>
      </mc:Fallback>
    </mc:AlternateContent>
    <mc:AlternateContent xmlns:mc="http://schemas.openxmlformats.org/markup-compatibility/2006">
      <mc:Choice Requires="x14">
        <control shapeId="33795" r:id="rId7" name="CommandButton3">
          <controlPr defaultSize="0" autoLine="0" r:id="rId8">
            <anchor moveWithCells="1">
              <from>
                <xdr:col>6</xdr:col>
                <xdr:colOff>600075</xdr:colOff>
                <xdr:row>4</xdr:row>
                <xdr:rowOff>0</xdr:rowOff>
              </from>
              <to>
                <xdr:col>10</xdr:col>
                <xdr:colOff>190500</xdr:colOff>
                <xdr:row>6</xdr:row>
                <xdr:rowOff>104775</xdr:rowOff>
              </to>
            </anchor>
          </controlPr>
        </control>
      </mc:Choice>
      <mc:Fallback>
        <control shapeId="33795" r:id="rId7"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A43" sqref="A43"/>
    </sheetView>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4"/>
  <sheetViews>
    <sheetView workbookViewId="0">
      <selection sqref="A1:A2"/>
    </sheetView>
  </sheetViews>
  <sheetFormatPr defaultRowHeight="15" x14ac:dyDescent="0.25"/>
  <cols>
    <col min="1" max="1" width="11.140625" style="277" bestFit="1" customWidth="1"/>
  </cols>
  <sheetData>
    <row r="1" spans="1:6" x14ac:dyDescent="0.25">
      <c r="A1" s="277" t="s">
        <v>9218</v>
      </c>
    </row>
    <row r="2" spans="1:6" x14ac:dyDescent="0.25">
      <c r="A2" s="277">
        <v>2</v>
      </c>
    </row>
    <row r="4" spans="1:6" x14ac:dyDescent="0.25">
      <c r="C4" s="166"/>
      <c r="D4" s="166"/>
      <c r="E4" s="166"/>
      <c r="F4" s="166"/>
    </row>
    <row r="5" spans="1:6" x14ac:dyDescent="0.25">
      <c r="C5" s="166"/>
      <c r="D5" s="166"/>
      <c r="E5" s="166"/>
      <c r="F5" s="166"/>
    </row>
    <row r="6" spans="1:6" x14ac:dyDescent="0.25">
      <c r="C6" s="166"/>
      <c r="D6" s="166"/>
      <c r="E6" s="166"/>
      <c r="F6" s="166"/>
    </row>
    <row r="7" spans="1:6" x14ac:dyDescent="0.25">
      <c r="C7" s="166"/>
      <c r="D7" s="166"/>
      <c r="E7" s="166"/>
      <c r="F7" s="166"/>
    </row>
    <row r="8" spans="1:6" x14ac:dyDescent="0.25">
      <c r="C8" s="166"/>
      <c r="D8" s="166"/>
      <c r="E8" s="166"/>
      <c r="F8" s="166"/>
    </row>
    <row r="9" spans="1:6" x14ac:dyDescent="0.25">
      <c r="C9" s="166"/>
      <c r="D9" s="166"/>
      <c r="E9" s="166"/>
      <c r="F9" s="166"/>
    </row>
    <row r="10" spans="1:6" x14ac:dyDescent="0.25">
      <c r="C10" s="166"/>
      <c r="D10" s="166"/>
      <c r="E10" s="166"/>
      <c r="F10" s="166"/>
    </row>
    <row r="11" spans="1:6" x14ac:dyDescent="0.25">
      <c r="C11" s="166"/>
      <c r="D11" s="166"/>
      <c r="E11" s="166"/>
      <c r="F11" s="166"/>
    </row>
    <row r="12" spans="1:6" x14ac:dyDescent="0.25">
      <c r="C12" s="166"/>
      <c r="D12" s="166"/>
      <c r="E12" s="166"/>
      <c r="F12" s="166"/>
    </row>
    <row r="13" spans="1:6" x14ac:dyDescent="0.25">
      <c r="C13" s="166"/>
      <c r="D13" s="166"/>
      <c r="E13" s="166"/>
      <c r="F13" s="166"/>
    </row>
    <row r="14" spans="1:6" x14ac:dyDescent="0.25">
      <c r="C14" s="166"/>
      <c r="D14" s="16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A8AF18C5B9DD84FA685AC15F0E324AB" ma:contentTypeVersion="10" ma:contentTypeDescription="Create a new document." ma:contentTypeScope="" ma:versionID="93ab31c3c9bc139d53ea019e62e08653">
  <xsd:schema xmlns:xsd="http://www.w3.org/2001/XMLSchema" xmlns:xs="http://www.w3.org/2001/XMLSchema" xmlns:p="http://schemas.microsoft.com/office/2006/metadata/properties" xmlns:ns1="http://schemas.microsoft.com/sharepoint/v3" xmlns:ns2="e106a9d1-dec5-4209-b6e1-7960c891bd1d" xmlns:ns3="http://schemas.microsoft.com/sharepoint/v4" targetNamespace="http://schemas.microsoft.com/office/2006/metadata/properties" ma:root="true" ma:fieldsID="79bb6eef737c91f93e220322b153d35a" ns1:_="" ns2:_="" ns3:_="">
    <xsd:import namespace="http://schemas.microsoft.com/sharepoint/v3"/>
    <xsd:import namespace="e106a9d1-dec5-4209-b6e1-7960c891bd1d"/>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Status" minOccurs="0"/>
                <xsd:element ref="ns2:Assigned_x0020_to0" minOccurs="0"/>
                <xsd:element ref="ns2:RAG_x0020_Status" minOccurs="0"/>
                <xsd:element ref="ns3:EmailHead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106a9d1-dec5-4209-b6e1-7960c891bd1d" elementFormDefault="qualified">
    <xsd:import namespace="http://schemas.microsoft.com/office/2006/documentManagement/types"/>
    <xsd:import namespace="http://schemas.microsoft.com/office/infopath/2007/PartnerControls"/>
    <xsd:element name="Status" ma:index="13" nillable="true" ma:displayName="Status" ma:default="New" ma:description="Status" ma:format="Dropdown" ma:internalName="Status">
      <xsd:simpleType>
        <xsd:restriction base="dms:Choice">
          <xsd:enumeration value="New"/>
          <xsd:enumeration value="Completed"/>
          <xsd:enumeration value="WIP"/>
          <xsd:enumeration value="Cancelled"/>
          <xsd:enumeration value="Deferred"/>
          <xsd:enumeration value="Pending"/>
        </xsd:restriction>
      </xsd:simpleType>
    </xsd:element>
    <xsd:element name="Assigned_x0020_to0" ma:index="14" nillable="true" ma:displayName="Assigned to" ma:list="UserInfo" ma:SharePointGroup="0" ma:internalName="Assigned_x0020_to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G_x0020_Status" ma:index="15" nillable="true" ma:displayName="RAG Status" ma:default="Green" ma:description="RAG Status" ma:format="RadioButtons" ma:indexed="true" ma:internalName="RAG_x0020_Status">
      <xsd:simpleType>
        <xsd:restriction base="dms:Choice">
          <xsd:enumeration value="Green"/>
          <xsd:enumeration value="Amber"/>
          <xsd:enumeration value="Red"/>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7" nillable="true" ma:displayName="E-Mail Headers" ma:hidden="true" ma:internalName="EmailHeaders">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Props1.xml><?xml version="1.0" encoding="utf-8"?>
<ds:datastoreItem xmlns:ds="http://schemas.openxmlformats.org/officeDocument/2006/customXml" ds:itemID="{2D1EEC0C-4F47-4202-8C47-C662CDE8C8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106a9d1-dec5-4209-b6e1-7960c891bd1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9F4494-FF93-43CC-A21C-23C0FDA0A813}">
  <ds:schemaRefs>
    <ds:schemaRef ds:uri="http://schemas.microsoft.com/sharepoint/v3/contenttype/forms"/>
  </ds:schemaRefs>
</ds:datastoreItem>
</file>

<file path=customXml/itemProps3.xml><?xml version="1.0" encoding="utf-8"?>
<ds:datastoreItem xmlns:ds="http://schemas.openxmlformats.org/officeDocument/2006/customXml" ds:itemID="{F0944F4F-3D88-4CE4-B485-69DF5739C9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8</vt:i4>
      </vt:variant>
    </vt:vector>
  </HeadingPairs>
  <TitlesOfParts>
    <vt:vector size="27" baseType="lpstr">
      <vt:lpstr>Form</vt:lpstr>
      <vt:lpstr>SMC_mandatory_field_list</vt:lpstr>
      <vt:lpstr>List of Added Securities</vt:lpstr>
      <vt:lpstr>eDealer Mapping to SMC</vt:lpstr>
      <vt:lpstr>Security Type Level 1</vt:lpstr>
      <vt:lpstr>Collateral Type</vt:lpstr>
      <vt:lpstr>Attributes1</vt:lpstr>
      <vt:lpstr>Sink_data</vt:lpstr>
      <vt:lpstr>Attributes2</vt:lpstr>
      <vt:lpstr>Attributes3</vt:lpstr>
      <vt:lpstr>Attributes 4</vt:lpstr>
      <vt:lpstr>Attributes5</vt:lpstr>
      <vt:lpstr>Attributes6</vt:lpstr>
      <vt:lpstr>Attributes7</vt:lpstr>
      <vt:lpstr>Put</vt:lpstr>
      <vt:lpstr>Call</vt:lpstr>
      <vt:lpstr>Step</vt:lpstr>
      <vt:lpstr>SMCI_TEMPLATE</vt:lpstr>
      <vt:lpstr>VersionCheck</vt:lpstr>
      <vt:lpstr>Attributes1!ABX</vt:lpstr>
      <vt:lpstr>Attributes1!BOND</vt:lpstr>
      <vt:lpstr>Attributes1!CMBX</vt:lpstr>
      <vt:lpstr>Attributes7!EQY_SIC_NAME</vt:lpstr>
      <vt:lpstr>Attributes7!ISSUER_TYP</vt:lpstr>
      <vt:lpstr>MyRange</vt:lpstr>
      <vt:lpstr>Attributes1!PARTNERSHIP</vt:lpstr>
      <vt:lpstr>Attributes7!TYPE_OF_ISSUE</vt:lpstr>
    </vt:vector>
  </TitlesOfParts>
  <Company>Citigroup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Chesnokov, Ivan [ICG-OT]</dc:creator>
  <cp:lastModifiedBy>Pilat, Krystian [ICG-OPS]</cp:lastModifiedBy>
  <dcterms:created xsi:type="dcterms:W3CDTF">2015-09-10T22:53:30Z</dcterms:created>
  <dcterms:modified xsi:type="dcterms:W3CDTF">2017-12-01T14:23:35Z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0x0101002A8AF18C5B9DD84FA685AC15F0E324AB</vt:lpwstr>
  </property>
</Properties>
</file>